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Portfolio\"/>
    </mc:Choice>
  </mc:AlternateContent>
  <xr:revisionPtr revIDLastSave="0" documentId="13_ncr:1_{0C6351D1-34D2-4AE7-A5DE-6A6D49974529}" xr6:coauthVersionLast="47" xr6:coauthVersionMax="47" xr10:uidLastSave="{00000000-0000-0000-0000-000000000000}"/>
  <bookViews>
    <workbookView xWindow="-108" yWindow="-108" windowWidth="23256" windowHeight="12456" firstSheet="3" activeTab="8" xr2:uid="{00000000-000D-0000-FFFF-FFFF00000000}"/>
  </bookViews>
  <sheets>
    <sheet name="Sales_Data" sheetId="1" r:id="rId1"/>
    <sheet name="Fashion_Retail_Sales_Data" sheetId="10" r:id="rId2"/>
    <sheet name="Sales by Region" sheetId="12" r:id="rId3"/>
    <sheet name="Sales Trend" sheetId="11" r:id="rId4"/>
    <sheet name="Sales by Product" sheetId="13" r:id="rId5"/>
    <sheet name="Sales by Campaing" sheetId="15" r:id="rId6"/>
    <sheet name="Customer Type" sheetId="14" r:id="rId7"/>
    <sheet name="TABLE" sheetId="21" r:id="rId8"/>
    <sheet name="DASHBOARD" sheetId="20" r:id="rId9"/>
  </sheets>
  <definedNames>
    <definedName name="_xlnm._FilterDatabase" localSheetId="1" hidden="1">Fashion_Retail_Sales_Data!$A$2:$P$1202</definedName>
    <definedName name="_xlnm._FilterDatabase" localSheetId="0" hidden="1">Sales_Data!$A$1:$S$1201</definedName>
    <definedName name="NativeTimeline_Order_Date">#N/A</definedName>
    <definedName name="_xlnm.Print_Area" localSheetId="8">DASHBOARD!$C$1:$AE$51</definedName>
    <definedName name="Slicer_Campaign">#N/A</definedName>
    <definedName name="Slicer_Category">#N/A</definedName>
    <definedName name="Slicer_Channel">#N/A</definedName>
    <definedName name="Slicer_Customer_Type">#N/A</definedName>
    <definedName name="Slicer_Region">#N/A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21" l="1"/>
  <c r="A19" i="21"/>
  <c r="A18" i="21"/>
  <c r="N4" i="10"/>
  <c r="P4" i="10" s="1"/>
  <c r="N5" i="10"/>
  <c r="P5" i="10" s="1"/>
  <c r="N6" i="10"/>
  <c r="P6" i="10" s="1"/>
  <c r="N7" i="10"/>
  <c r="P7" i="10" s="1"/>
  <c r="N8" i="10"/>
  <c r="P8" i="10" s="1"/>
  <c r="N9" i="10"/>
  <c r="P9" i="10" s="1"/>
  <c r="N10" i="10"/>
  <c r="P10" i="10" s="1"/>
  <c r="N11" i="10"/>
  <c r="P11" i="10" s="1"/>
  <c r="N12" i="10"/>
  <c r="P12" i="10" s="1"/>
  <c r="N13" i="10"/>
  <c r="P13" i="10" s="1"/>
  <c r="N14" i="10"/>
  <c r="P14" i="10" s="1"/>
  <c r="N15" i="10"/>
  <c r="P15" i="10" s="1"/>
  <c r="N16" i="10"/>
  <c r="P16" i="10" s="1"/>
  <c r="N17" i="10"/>
  <c r="P17" i="10" s="1"/>
  <c r="N18" i="10"/>
  <c r="P18" i="10" s="1"/>
  <c r="N19" i="10"/>
  <c r="P19" i="10" s="1"/>
  <c r="N20" i="10"/>
  <c r="P20" i="10" s="1"/>
  <c r="N21" i="10"/>
  <c r="P21" i="10" s="1"/>
  <c r="N22" i="10"/>
  <c r="P22" i="10" s="1"/>
  <c r="N23" i="10"/>
  <c r="P23" i="10" s="1"/>
  <c r="N24" i="10"/>
  <c r="P24" i="10" s="1"/>
  <c r="N25" i="10"/>
  <c r="P25" i="10" s="1"/>
  <c r="N26" i="10"/>
  <c r="P26" i="10" s="1"/>
  <c r="N27" i="10"/>
  <c r="P27" i="10" s="1"/>
  <c r="N28" i="10"/>
  <c r="P28" i="10" s="1"/>
  <c r="N29" i="10"/>
  <c r="P29" i="10" s="1"/>
  <c r="N30" i="10"/>
  <c r="P30" i="10" s="1"/>
  <c r="N31" i="10"/>
  <c r="P31" i="10" s="1"/>
  <c r="N32" i="10"/>
  <c r="P32" i="10" s="1"/>
  <c r="N33" i="10"/>
  <c r="P33" i="10" s="1"/>
  <c r="N34" i="10"/>
  <c r="P34" i="10" s="1"/>
  <c r="N35" i="10"/>
  <c r="P35" i="10" s="1"/>
  <c r="N36" i="10"/>
  <c r="P36" i="10" s="1"/>
  <c r="N37" i="10"/>
  <c r="P37" i="10" s="1"/>
  <c r="N38" i="10"/>
  <c r="P38" i="10" s="1"/>
  <c r="N39" i="10"/>
  <c r="P39" i="10" s="1"/>
  <c r="N40" i="10"/>
  <c r="P40" i="10" s="1"/>
  <c r="N41" i="10"/>
  <c r="P41" i="10" s="1"/>
  <c r="N42" i="10"/>
  <c r="P42" i="10" s="1"/>
  <c r="N43" i="10"/>
  <c r="P43" i="10" s="1"/>
  <c r="N44" i="10"/>
  <c r="P44" i="10" s="1"/>
  <c r="N45" i="10"/>
  <c r="P45" i="10" s="1"/>
  <c r="N46" i="10"/>
  <c r="P46" i="10" s="1"/>
  <c r="N47" i="10"/>
  <c r="P47" i="10" s="1"/>
  <c r="N48" i="10"/>
  <c r="P48" i="10" s="1"/>
  <c r="N49" i="10"/>
  <c r="P49" i="10" s="1"/>
  <c r="N50" i="10"/>
  <c r="P50" i="10" s="1"/>
  <c r="N51" i="10"/>
  <c r="P51" i="10" s="1"/>
  <c r="N52" i="10"/>
  <c r="P52" i="10" s="1"/>
  <c r="N53" i="10"/>
  <c r="P53" i="10" s="1"/>
  <c r="N54" i="10"/>
  <c r="P54" i="10" s="1"/>
  <c r="N55" i="10"/>
  <c r="P55" i="10" s="1"/>
  <c r="N56" i="10"/>
  <c r="P56" i="10" s="1"/>
  <c r="N57" i="10"/>
  <c r="P57" i="10" s="1"/>
  <c r="N58" i="10"/>
  <c r="P58" i="10" s="1"/>
  <c r="N59" i="10"/>
  <c r="P59" i="10" s="1"/>
  <c r="N60" i="10"/>
  <c r="P60" i="10" s="1"/>
  <c r="N61" i="10"/>
  <c r="P61" i="10" s="1"/>
  <c r="N62" i="10"/>
  <c r="P62" i="10" s="1"/>
  <c r="N63" i="10"/>
  <c r="P63" i="10" s="1"/>
  <c r="N64" i="10"/>
  <c r="P64" i="10" s="1"/>
  <c r="N65" i="10"/>
  <c r="P65" i="10" s="1"/>
  <c r="N66" i="10"/>
  <c r="P66" i="10" s="1"/>
  <c r="N67" i="10"/>
  <c r="P67" i="10" s="1"/>
  <c r="N68" i="10"/>
  <c r="P68" i="10" s="1"/>
  <c r="N69" i="10"/>
  <c r="P69" i="10" s="1"/>
  <c r="N70" i="10"/>
  <c r="P70" i="10" s="1"/>
  <c r="N71" i="10"/>
  <c r="P71" i="10" s="1"/>
  <c r="N72" i="10"/>
  <c r="P72" i="10" s="1"/>
  <c r="N73" i="10"/>
  <c r="P73" i="10" s="1"/>
  <c r="N74" i="10"/>
  <c r="P74" i="10" s="1"/>
  <c r="N75" i="10"/>
  <c r="P75" i="10" s="1"/>
  <c r="N76" i="10"/>
  <c r="P76" i="10" s="1"/>
  <c r="N77" i="10"/>
  <c r="P77" i="10" s="1"/>
  <c r="N78" i="10"/>
  <c r="P78" i="10" s="1"/>
  <c r="N79" i="10"/>
  <c r="P79" i="10" s="1"/>
  <c r="N80" i="10"/>
  <c r="P80" i="10" s="1"/>
  <c r="N81" i="10"/>
  <c r="P81" i="10" s="1"/>
  <c r="N82" i="10"/>
  <c r="P82" i="10" s="1"/>
  <c r="N83" i="10"/>
  <c r="P83" i="10" s="1"/>
  <c r="N84" i="10"/>
  <c r="P84" i="10" s="1"/>
  <c r="N85" i="10"/>
  <c r="P85" i="10" s="1"/>
  <c r="N86" i="10"/>
  <c r="P86" i="10" s="1"/>
  <c r="N87" i="10"/>
  <c r="P87" i="10" s="1"/>
  <c r="N88" i="10"/>
  <c r="P88" i="10" s="1"/>
  <c r="N89" i="10"/>
  <c r="P89" i="10" s="1"/>
  <c r="N90" i="10"/>
  <c r="P90" i="10" s="1"/>
  <c r="N91" i="10"/>
  <c r="P91" i="10" s="1"/>
  <c r="N92" i="10"/>
  <c r="P92" i="10" s="1"/>
  <c r="N93" i="10"/>
  <c r="P93" i="10" s="1"/>
  <c r="N94" i="10"/>
  <c r="P94" i="10" s="1"/>
  <c r="N95" i="10"/>
  <c r="P95" i="10" s="1"/>
  <c r="N96" i="10"/>
  <c r="P96" i="10" s="1"/>
  <c r="N97" i="10"/>
  <c r="P97" i="10" s="1"/>
  <c r="N98" i="10"/>
  <c r="P98" i="10" s="1"/>
  <c r="N99" i="10"/>
  <c r="P99" i="10" s="1"/>
  <c r="N100" i="10"/>
  <c r="P100" i="10" s="1"/>
  <c r="N101" i="10"/>
  <c r="P101" i="10" s="1"/>
  <c r="N102" i="10"/>
  <c r="P102" i="10" s="1"/>
  <c r="N103" i="10"/>
  <c r="P103" i="10" s="1"/>
  <c r="N104" i="10"/>
  <c r="P104" i="10" s="1"/>
  <c r="N105" i="10"/>
  <c r="P105" i="10" s="1"/>
  <c r="N106" i="10"/>
  <c r="P106" i="10" s="1"/>
  <c r="N107" i="10"/>
  <c r="P107" i="10" s="1"/>
  <c r="N108" i="10"/>
  <c r="P108" i="10" s="1"/>
  <c r="N109" i="10"/>
  <c r="P109" i="10" s="1"/>
  <c r="N110" i="10"/>
  <c r="P110" i="10" s="1"/>
  <c r="N111" i="10"/>
  <c r="P111" i="10" s="1"/>
  <c r="N112" i="10"/>
  <c r="P112" i="10" s="1"/>
  <c r="N113" i="10"/>
  <c r="P113" i="10" s="1"/>
  <c r="N114" i="10"/>
  <c r="P114" i="10" s="1"/>
  <c r="N115" i="10"/>
  <c r="P115" i="10" s="1"/>
  <c r="N116" i="10"/>
  <c r="P116" i="10" s="1"/>
  <c r="N117" i="10"/>
  <c r="P117" i="10" s="1"/>
  <c r="N118" i="10"/>
  <c r="P118" i="10" s="1"/>
  <c r="N119" i="10"/>
  <c r="P119" i="10" s="1"/>
  <c r="N120" i="10"/>
  <c r="P120" i="10" s="1"/>
  <c r="N121" i="10"/>
  <c r="P121" i="10" s="1"/>
  <c r="N122" i="10"/>
  <c r="P122" i="10" s="1"/>
  <c r="N123" i="10"/>
  <c r="P123" i="10" s="1"/>
  <c r="N124" i="10"/>
  <c r="P124" i="10" s="1"/>
  <c r="N125" i="10"/>
  <c r="P125" i="10" s="1"/>
  <c r="N126" i="10"/>
  <c r="P126" i="10" s="1"/>
  <c r="N127" i="10"/>
  <c r="P127" i="10" s="1"/>
  <c r="N128" i="10"/>
  <c r="P128" i="10" s="1"/>
  <c r="N129" i="10"/>
  <c r="P129" i="10" s="1"/>
  <c r="N130" i="10"/>
  <c r="P130" i="10" s="1"/>
  <c r="N131" i="10"/>
  <c r="P131" i="10" s="1"/>
  <c r="N132" i="10"/>
  <c r="P132" i="10" s="1"/>
  <c r="N133" i="10"/>
  <c r="P133" i="10" s="1"/>
  <c r="N134" i="10"/>
  <c r="P134" i="10" s="1"/>
  <c r="N135" i="10"/>
  <c r="P135" i="10" s="1"/>
  <c r="N136" i="10"/>
  <c r="P136" i="10" s="1"/>
  <c r="N137" i="10"/>
  <c r="P137" i="10" s="1"/>
  <c r="N138" i="10"/>
  <c r="P138" i="10" s="1"/>
  <c r="N139" i="10"/>
  <c r="P139" i="10" s="1"/>
  <c r="N140" i="10"/>
  <c r="P140" i="10" s="1"/>
  <c r="N141" i="10"/>
  <c r="P141" i="10" s="1"/>
  <c r="N142" i="10"/>
  <c r="P142" i="10" s="1"/>
  <c r="N143" i="10"/>
  <c r="P143" i="10" s="1"/>
  <c r="N144" i="10"/>
  <c r="P144" i="10" s="1"/>
  <c r="N145" i="10"/>
  <c r="P145" i="10" s="1"/>
  <c r="N146" i="10"/>
  <c r="P146" i="10" s="1"/>
  <c r="N147" i="10"/>
  <c r="P147" i="10" s="1"/>
  <c r="N148" i="10"/>
  <c r="P148" i="10" s="1"/>
  <c r="N149" i="10"/>
  <c r="P149" i="10" s="1"/>
  <c r="N150" i="10"/>
  <c r="P150" i="10" s="1"/>
  <c r="N151" i="10"/>
  <c r="P151" i="10" s="1"/>
  <c r="N152" i="10"/>
  <c r="P152" i="10" s="1"/>
  <c r="N153" i="10"/>
  <c r="P153" i="10" s="1"/>
  <c r="N154" i="10"/>
  <c r="P154" i="10" s="1"/>
  <c r="N155" i="10"/>
  <c r="P155" i="10" s="1"/>
  <c r="N156" i="10"/>
  <c r="P156" i="10" s="1"/>
  <c r="N157" i="10"/>
  <c r="P157" i="10" s="1"/>
  <c r="N158" i="10"/>
  <c r="P158" i="10" s="1"/>
  <c r="N159" i="10"/>
  <c r="P159" i="10" s="1"/>
  <c r="N160" i="10"/>
  <c r="P160" i="10" s="1"/>
  <c r="N161" i="10"/>
  <c r="P161" i="10" s="1"/>
  <c r="N162" i="10"/>
  <c r="P162" i="10" s="1"/>
  <c r="N163" i="10"/>
  <c r="P163" i="10" s="1"/>
  <c r="N164" i="10"/>
  <c r="P164" i="10" s="1"/>
  <c r="N165" i="10"/>
  <c r="P165" i="10" s="1"/>
  <c r="N166" i="10"/>
  <c r="P166" i="10" s="1"/>
  <c r="N167" i="10"/>
  <c r="P167" i="10" s="1"/>
  <c r="N168" i="10"/>
  <c r="P168" i="10" s="1"/>
  <c r="N169" i="10"/>
  <c r="P169" i="10" s="1"/>
  <c r="N170" i="10"/>
  <c r="P170" i="10" s="1"/>
  <c r="N171" i="10"/>
  <c r="P171" i="10" s="1"/>
  <c r="N172" i="10"/>
  <c r="P172" i="10" s="1"/>
  <c r="N173" i="10"/>
  <c r="P173" i="10" s="1"/>
  <c r="N174" i="10"/>
  <c r="P174" i="10" s="1"/>
  <c r="N175" i="10"/>
  <c r="P175" i="10" s="1"/>
  <c r="N176" i="10"/>
  <c r="P176" i="10" s="1"/>
  <c r="N177" i="10"/>
  <c r="P177" i="10" s="1"/>
  <c r="N178" i="10"/>
  <c r="P178" i="10" s="1"/>
  <c r="N179" i="10"/>
  <c r="P179" i="10" s="1"/>
  <c r="N180" i="10"/>
  <c r="P180" i="10" s="1"/>
  <c r="N181" i="10"/>
  <c r="P181" i="10" s="1"/>
  <c r="N182" i="10"/>
  <c r="P182" i="10" s="1"/>
  <c r="N183" i="10"/>
  <c r="P183" i="10" s="1"/>
  <c r="N184" i="10"/>
  <c r="P184" i="10" s="1"/>
  <c r="N185" i="10"/>
  <c r="P185" i="10" s="1"/>
  <c r="N186" i="10"/>
  <c r="P186" i="10" s="1"/>
  <c r="N187" i="10"/>
  <c r="P187" i="10" s="1"/>
  <c r="N188" i="10"/>
  <c r="P188" i="10" s="1"/>
  <c r="N189" i="10"/>
  <c r="P189" i="10" s="1"/>
  <c r="N190" i="10"/>
  <c r="P190" i="10" s="1"/>
  <c r="N191" i="10"/>
  <c r="P191" i="10" s="1"/>
  <c r="N192" i="10"/>
  <c r="P192" i="10" s="1"/>
  <c r="N193" i="10"/>
  <c r="P193" i="10" s="1"/>
  <c r="N194" i="10"/>
  <c r="P194" i="10" s="1"/>
  <c r="N195" i="10"/>
  <c r="P195" i="10" s="1"/>
  <c r="N196" i="10"/>
  <c r="P196" i="10" s="1"/>
  <c r="N197" i="10"/>
  <c r="P197" i="10" s="1"/>
  <c r="N198" i="10"/>
  <c r="P198" i="10" s="1"/>
  <c r="N199" i="10"/>
  <c r="P199" i="10" s="1"/>
  <c r="N200" i="10"/>
  <c r="P200" i="10" s="1"/>
  <c r="N201" i="10"/>
  <c r="P201" i="10" s="1"/>
  <c r="N202" i="10"/>
  <c r="P202" i="10" s="1"/>
  <c r="N203" i="10"/>
  <c r="P203" i="10" s="1"/>
  <c r="N204" i="10"/>
  <c r="P204" i="10" s="1"/>
  <c r="N205" i="10"/>
  <c r="P205" i="10" s="1"/>
  <c r="N206" i="10"/>
  <c r="P206" i="10" s="1"/>
  <c r="N207" i="10"/>
  <c r="P207" i="10" s="1"/>
  <c r="N208" i="10"/>
  <c r="P208" i="10" s="1"/>
  <c r="N209" i="10"/>
  <c r="P209" i="10" s="1"/>
  <c r="N210" i="10"/>
  <c r="P210" i="10" s="1"/>
  <c r="N211" i="10"/>
  <c r="P211" i="10" s="1"/>
  <c r="N212" i="10"/>
  <c r="P212" i="10" s="1"/>
  <c r="N213" i="10"/>
  <c r="P213" i="10" s="1"/>
  <c r="N214" i="10"/>
  <c r="P214" i="10" s="1"/>
  <c r="N215" i="10"/>
  <c r="P215" i="10" s="1"/>
  <c r="N216" i="10"/>
  <c r="P216" i="10" s="1"/>
  <c r="N217" i="10"/>
  <c r="P217" i="10" s="1"/>
  <c r="N218" i="10"/>
  <c r="P218" i="10" s="1"/>
  <c r="N219" i="10"/>
  <c r="P219" i="10" s="1"/>
  <c r="N220" i="10"/>
  <c r="P220" i="10" s="1"/>
  <c r="N221" i="10"/>
  <c r="P221" i="10" s="1"/>
  <c r="N222" i="10"/>
  <c r="P222" i="10" s="1"/>
  <c r="N223" i="10"/>
  <c r="P223" i="10" s="1"/>
  <c r="N224" i="10"/>
  <c r="P224" i="10" s="1"/>
  <c r="N225" i="10"/>
  <c r="P225" i="10" s="1"/>
  <c r="N226" i="10"/>
  <c r="P226" i="10" s="1"/>
  <c r="N227" i="10"/>
  <c r="P227" i="10" s="1"/>
  <c r="N228" i="10"/>
  <c r="P228" i="10" s="1"/>
  <c r="N229" i="10"/>
  <c r="P229" i="10" s="1"/>
  <c r="N230" i="10"/>
  <c r="P230" i="10" s="1"/>
  <c r="N231" i="10"/>
  <c r="P231" i="10" s="1"/>
  <c r="N232" i="10"/>
  <c r="P232" i="10" s="1"/>
  <c r="N233" i="10"/>
  <c r="P233" i="10" s="1"/>
  <c r="N234" i="10"/>
  <c r="P234" i="10" s="1"/>
  <c r="N235" i="10"/>
  <c r="P235" i="10" s="1"/>
  <c r="N236" i="10"/>
  <c r="P236" i="10" s="1"/>
  <c r="N237" i="10"/>
  <c r="P237" i="10" s="1"/>
  <c r="N238" i="10"/>
  <c r="P238" i="10" s="1"/>
  <c r="N239" i="10"/>
  <c r="P239" i="10" s="1"/>
  <c r="N240" i="10"/>
  <c r="P240" i="10" s="1"/>
  <c r="N241" i="10"/>
  <c r="P241" i="10" s="1"/>
  <c r="N242" i="10"/>
  <c r="P242" i="10" s="1"/>
  <c r="N243" i="10"/>
  <c r="P243" i="10" s="1"/>
  <c r="N244" i="10"/>
  <c r="P244" i="10" s="1"/>
  <c r="N245" i="10"/>
  <c r="P245" i="10" s="1"/>
  <c r="N246" i="10"/>
  <c r="P246" i="10" s="1"/>
  <c r="N247" i="10"/>
  <c r="P247" i="10" s="1"/>
  <c r="N248" i="10"/>
  <c r="P248" i="10" s="1"/>
  <c r="N249" i="10"/>
  <c r="P249" i="10" s="1"/>
  <c r="N250" i="10"/>
  <c r="P250" i="10" s="1"/>
  <c r="N251" i="10"/>
  <c r="P251" i="10" s="1"/>
  <c r="N252" i="10"/>
  <c r="P252" i="10" s="1"/>
  <c r="N253" i="10"/>
  <c r="P253" i="10" s="1"/>
  <c r="N254" i="10"/>
  <c r="P254" i="10" s="1"/>
  <c r="N255" i="10"/>
  <c r="P255" i="10" s="1"/>
  <c r="N256" i="10"/>
  <c r="P256" i="10" s="1"/>
  <c r="N257" i="10"/>
  <c r="P257" i="10" s="1"/>
  <c r="N258" i="10"/>
  <c r="P258" i="10" s="1"/>
  <c r="N259" i="10"/>
  <c r="P259" i="10" s="1"/>
  <c r="N260" i="10"/>
  <c r="P260" i="10" s="1"/>
  <c r="N261" i="10"/>
  <c r="P261" i="10" s="1"/>
  <c r="N262" i="10"/>
  <c r="P262" i="10" s="1"/>
  <c r="N263" i="10"/>
  <c r="P263" i="10" s="1"/>
  <c r="N264" i="10"/>
  <c r="P264" i="10" s="1"/>
  <c r="N265" i="10"/>
  <c r="P265" i="10" s="1"/>
  <c r="N266" i="10"/>
  <c r="P266" i="10" s="1"/>
  <c r="N267" i="10"/>
  <c r="P267" i="10" s="1"/>
  <c r="N268" i="10"/>
  <c r="P268" i="10" s="1"/>
  <c r="N269" i="10"/>
  <c r="P269" i="10" s="1"/>
  <c r="N270" i="10"/>
  <c r="P270" i="10" s="1"/>
  <c r="N271" i="10"/>
  <c r="P271" i="10" s="1"/>
  <c r="N272" i="10"/>
  <c r="P272" i="10" s="1"/>
  <c r="N273" i="10"/>
  <c r="P273" i="10" s="1"/>
  <c r="N274" i="10"/>
  <c r="P274" i="10" s="1"/>
  <c r="N275" i="10"/>
  <c r="P275" i="10" s="1"/>
  <c r="N276" i="10"/>
  <c r="P276" i="10" s="1"/>
  <c r="N277" i="10"/>
  <c r="P277" i="10" s="1"/>
  <c r="N278" i="10"/>
  <c r="P278" i="10" s="1"/>
  <c r="N279" i="10"/>
  <c r="P279" i="10" s="1"/>
  <c r="N280" i="10"/>
  <c r="P280" i="10" s="1"/>
  <c r="N281" i="10"/>
  <c r="P281" i="10" s="1"/>
  <c r="N282" i="10"/>
  <c r="P282" i="10" s="1"/>
  <c r="N283" i="10"/>
  <c r="P283" i="10" s="1"/>
  <c r="N284" i="10"/>
  <c r="P284" i="10" s="1"/>
  <c r="N285" i="10"/>
  <c r="P285" i="10" s="1"/>
  <c r="N286" i="10"/>
  <c r="P286" i="10" s="1"/>
  <c r="N287" i="10"/>
  <c r="P287" i="10" s="1"/>
  <c r="N288" i="10"/>
  <c r="P288" i="10" s="1"/>
  <c r="N289" i="10"/>
  <c r="P289" i="10" s="1"/>
  <c r="N290" i="10"/>
  <c r="P290" i="10" s="1"/>
  <c r="N291" i="10"/>
  <c r="P291" i="10" s="1"/>
  <c r="N292" i="10"/>
  <c r="P292" i="10" s="1"/>
  <c r="N293" i="10"/>
  <c r="P293" i="10" s="1"/>
  <c r="N294" i="10"/>
  <c r="P294" i="10" s="1"/>
  <c r="N295" i="10"/>
  <c r="P295" i="10" s="1"/>
  <c r="N296" i="10"/>
  <c r="P296" i="10" s="1"/>
  <c r="N297" i="10"/>
  <c r="P297" i="10" s="1"/>
  <c r="N298" i="10"/>
  <c r="P298" i="10" s="1"/>
  <c r="N299" i="10"/>
  <c r="P299" i="10" s="1"/>
  <c r="N300" i="10"/>
  <c r="P300" i="10" s="1"/>
  <c r="N301" i="10"/>
  <c r="P301" i="10" s="1"/>
  <c r="N302" i="10"/>
  <c r="P302" i="10" s="1"/>
  <c r="N303" i="10"/>
  <c r="P303" i="10" s="1"/>
  <c r="N304" i="10"/>
  <c r="P304" i="10" s="1"/>
  <c r="N305" i="10"/>
  <c r="P305" i="10" s="1"/>
  <c r="N306" i="10"/>
  <c r="P306" i="10" s="1"/>
  <c r="N307" i="10"/>
  <c r="P307" i="10" s="1"/>
  <c r="N308" i="10"/>
  <c r="P308" i="10" s="1"/>
  <c r="N309" i="10"/>
  <c r="P309" i="10" s="1"/>
  <c r="N310" i="10"/>
  <c r="P310" i="10" s="1"/>
  <c r="N311" i="10"/>
  <c r="P311" i="10" s="1"/>
  <c r="N312" i="10"/>
  <c r="P312" i="10" s="1"/>
  <c r="N313" i="10"/>
  <c r="P313" i="10" s="1"/>
  <c r="N314" i="10"/>
  <c r="P314" i="10" s="1"/>
  <c r="N315" i="10"/>
  <c r="P315" i="10" s="1"/>
  <c r="N316" i="10"/>
  <c r="P316" i="10" s="1"/>
  <c r="N317" i="10"/>
  <c r="P317" i="10" s="1"/>
  <c r="N318" i="10"/>
  <c r="P318" i="10" s="1"/>
  <c r="N319" i="10"/>
  <c r="P319" i="10" s="1"/>
  <c r="N320" i="10"/>
  <c r="P320" i="10" s="1"/>
  <c r="N321" i="10"/>
  <c r="P321" i="10" s="1"/>
  <c r="N322" i="10"/>
  <c r="P322" i="10" s="1"/>
  <c r="N323" i="10"/>
  <c r="P323" i="10" s="1"/>
  <c r="N324" i="10"/>
  <c r="P324" i="10" s="1"/>
  <c r="N325" i="10"/>
  <c r="P325" i="10" s="1"/>
  <c r="N326" i="10"/>
  <c r="P326" i="10" s="1"/>
  <c r="N327" i="10"/>
  <c r="P327" i="10" s="1"/>
  <c r="N328" i="10"/>
  <c r="P328" i="10" s="1"/>
  <c r="N329" i="10"/>
  <c r="P329" i="10" s="1"/>
  <c r="N330" i="10"/>
  <c r="P330" i="10" s="1"/>
  <c r="N331" i="10"/>
  <c r="P331" i="10" s="1"/>
  <c r="N332" i="10"/>
  <c r="P332" i="10" s="1"/>
  <c r="N333" i="10"/>
  <c r="P333" i="10" s="1"/>
  <c r="N334" i="10"/>
  <c r="P334" i="10" s="1"/>
  <c r="N335" i="10"/>
  <c r="P335" i="10" s="1"/>
  <c r="N336" i="10"/>
  <c r="P336" i="10" s="1"/>
  <c r="N337" i="10"/>
  <c r="P337" i="10" s="1"/>
  <c r="N338" i="10"/>
  <c r="P338" i="10" s="1"/>
  <c r="N339" i="10"/>
  <c r="P339" i="10" s="1"/>
  <c r="N340" i="10"/>
  <c r="P340" i="10" s="1"/>
  <c r="N341" i="10"/>
  <c r="P341" i="10" s="1"/>
  <c r="N342" i="10"/>
  <c r="P342" i="10" s="1"/>
  <c r="N343" i="10"/>
  <c r="P343" i="10" s="1"/>
  <c r="N344" i="10"/>
  <c r="P344" i="10" s="1"/>
  <c r="N345" i="10"/>
  <c r="P345" i="10" s="1"/>
  <c r="N346" i="10"/>
  <c r="P346" i="10" s="1"/>
  <c r="N347" i="10"/>
  <c r="P347" i="10" s="1"/>
  <c r="N348" i="10"/>
  <c r="P348" i="10" s="1"/>
  <c r="N349" i="10"/>
  <c r="P349" i="10" s="1"/>
  <c r="N350" i="10"/>
  <c r="P350" i="10" s="1"/>
  <c r="N351" i="10"/>
  <c r="P351" i="10" s="1"/>
  <c r="N352" i="10"/>
  <c r="P352" i="10" s="1"/>
  <c r="N353" i="10"/>
  <c r="P353" i="10" s="1"/>
  <c r="N354" i="10"/>
  <c r="P354" i="10" s="1"/>
  <c r="N355" i="10"/>
  <c r="P355" i="10" s="1"/>
  <c r="N356" i="10"/>
  <c r="P356" i="10" s="1"/>
  <c r="N357" i="10"/>
  <c r="P357" i="10" s="1"/>
  <c r="N358" i="10"/>
  <c r="P358" i="10" s="1"/>
  <c r="N359" i="10"/>
  <c r="P359" i="10" s="1"/>
  <c r="N360" i="10"/>
  <c r="P360" i="10" s="1"/>
  <c r="N361" i="10"/>
  <c r="P361" i="10" s="1"/>
  <c r="N362" i="10"/>
  <c r="P362" i="10" s="1"/>
  <c r="N363" i="10"/>
  <c r="P363" i="10" s="1"/>
  <c r="N364" i="10"/>
  <c r="P364" i="10" s="1"/>
  <c r="N365" i="10"/>
  <c r="P365" i="10" s="1"/>
  <c r="N366" i="10"/>
  <c r="P366" i="10" s="1"/>
  <c r="N367" i="10"/>
  <c r="P367" i="10" s="1"/>
  <c r="N368" i="10"/>
  <c r="P368" i="10" s="1"/>
  <c r="N369" i="10"/>
  <c r="P369" i="10" s="1"/>
  <c r="N370" i="10"/>
  <c r="P370" i="10" s="1"/>
  <c r="N371" i="10"/>
  <c r="P371" i="10" s="1"/>
  <c r="N372" i="10"/>
  <c r="P372" i="10" s="1"/>
  <c r="N373" i="10"/>
  <c r="P373" i="10" s="1"/>
  <c r="N374" i="10"/>
  <c r="P374" i="10" s="1"/>
  <c r="N375" i="10"/>
  <c r="P375" i="10" s="1"/>
  <c r="N376" i="10"/>
  <c r="P376" i="10" s="1"/>
  <c r="N377" i="10"/>
  <c r="P377" i="10" s="1"/>
  <c r="N378" i="10"/>
  <c r="P378" i="10" s="1"/>
  <c r="N379" i="10"/>
  <c r="P379" i="10" s="1"/>
  <c r="N380" i="10"/>
  <c r="P380" i="10" s="1"/>
  <c r="N381" i="10"/>
  <c r="P381" i="10" s="1"/>
  <c r="N382" i="10"/>
  <c r="P382" i="10" s="1"/>
  <c r="N383" i="10"/>
  <c r="P383" i="10" s="1"/>
  <c r="N384" i="10"/>
  <c r="P384" i="10" s="1"/>
  <c r="N385" i="10"/>
  <c r="P385" i="10" s="1"/>
  <c r="N386" i="10"/>
  <c r="P386" i="10" s="1"/>
  <c r="N387" i="10"/>
  <c r="P387" i="10" s="1"/>
  <c r="N388" i="10"/>
  <c r="P388" i="10" s="1"/>
  <c r="N389" i="10"/>
  <c r="P389" i="10" s="1"/>
  <c r="N390" i="10"/>
  <c r="P390" i="10" s="1"/>
  <c r="N391" i="10"/>
  <c r="P391" i="10" s="1"/>
  <c r="N392" i="10"/>
  <c r="P392" i="10" s="1"/>
  <c r="N393" i="10"/>
  <c r="P393" i="10" s="1"/>
  <c r="N394" i="10"/>
  <c r="P394" i="10" s="1"/>
  <c r="N395" i="10"/>
  <c r="P395" i="10" s="1"/>
  <c r="N396" i="10"/>
  <c r="P396" i="10" s="1"/>
  <c r="N397" i="10"/>
  <c r="P397" i="10" s="1"/>
  <c r="N398" i="10"/>
  <c r="P398" i="10" s="1"/>
  <c r="N399" i="10"/>
  <c r="P399" i="10" s="1"/>
  <c r="N400" i="10"/>
  <c r="P400" i="10" s="1"/>
  <c r="N401" i="10"/>
  <c r="P401" i="10" s="1"/>
  <c r="N402" i="10"/>
  <c r="P402" i="10" s="1"/>
  <c r="N403" i="10"/>
  <c r="P403" i="10" s="1"/>
  <c r="N404" i="10"/>
  <c r="P404" i="10" s="1"/>
  <c r="N405" i="10"/>
  <c r="P405" i="10" s="1"/>
  <c r="N406" i="10"/>
  <c r="P406" i="10" s="1"/>
  <c r="N407" i="10"/>
  <c r="P407" i="10" s="1"/>
  <c r="N408" i="10"/>
  <c r="P408" i="10" s="1"/>
  <c r="N409" i="10"/>
  <c r="P409" i="10" s="1"/>
  <c r="N410" i="10"/>
  <c r="P410" i="10" s="1"/>
  <c r="N411" i="10"/>
  <c r="P411" i="10" s="1"/>
  <c r="N412" i="10"/>
  <c r="P412" i="10" s="1"/>
  <c r="N413" i="10"/>
  <c r="P413" i="10" s="1"/>
  <c r="N414" i="10"/>
  <c r="P414" i="10" s="1"/>
  <c r="N415" i="10"/>
  <c r="P415" i="10" s="1"/>
  <c r="N416" i="10"/>
  <c r="P416" i="10" s="1"/>
  <c r="N417" i="10"/>
  <c r="P417" i="10" s="1"/>
  <c r="N418" i="10"/>
  <c r="P418" i="10" s="1"/>
  <c r="N419" i="10"/>
  <c r="P419" i="10" s="1"/>
  <c r="N420" i="10"/>
  <c r="P420" i="10" s="1"/>
  <c r="N421" i="10"/>
  <c r="P421" i="10" s="1"/>
  <c r="N422" i="10"/>
  <c r="P422" i="10" s="1"/>
  <c r="N423" i="10"/>
  <c r="P423" i="10" s="1"/>
  <c r="N424" i="10"/>
  <c r="P424" i="10" s="1"/>
  <c r="N425" i="10"/>
  <c r="P425" i="10" s="1"/>
  <c r="N426" i="10"/>
  <c r="P426" i="10" s="1"/>
  <c r="N427" i="10"/>
  <c r="P427" i="10" s="1"/>
  <c r="N428" i="10"/>
  <c r="P428" i="10" s="1"/>
  <c r="N429" i="10"/>
  <c r="P429" i="10" s="1"/>
  <c r="N430" i="10"/>
  <c r="P430" i="10" s="1"/>
  <c r="N431" i="10"/>
  <c r="P431" i="10" s="1"/>
  <c r="N432" i="10"/>
  <c r="P432" i="10" s="1"/>
  <c r="N433" i="10"/>
  <c r="P433" i="10" s="1"/>
  <c r="N434" i="10"/>
  <c r="P434" i="10" s="1"/>
  <c r="N435" i="10"/>
  <c r="P435" i="10" s="1"/>
  <c r="N436" i="10"/>
  <c r="P436" i="10" s="1"/>
  <c r="N437" i="10"/>
  <c r="P437" i="10" s="1"/>
  <c r="N438" i="10"/>
  <c r="P438" i="10" s="1"/>
  <c r="N439" i="10"/>
  <c r="P439" i="10" s="1"/>
  <c r="N440" i="10"/>
  <c r="P440" i="10" s="1"/>
  <c r="N441" i="10"/>
  <c r="P441" i="10" s="1"/>
  <c r="N442" i="10"/>
  <c r="P442" i="10" s="1"/>
  <c r="N443" i="10"/>
  <c r="P443" i="10" s="1"/>
  <c r="N444" i="10"/>
  <c r="P444" i="10" s="1"/>
  <c r="N445" i="10"/>
  <c r="P445" i="10" s="1"/>
  <c r="N446" i="10"/>
  <c r="P446" i="10" s="1"/>
  <c r="N447" i="10"/>
  <c r="P447" i="10" s="1"/>
  <c r="N448" i="10"/>
  <c r="P448" i="10" s="1"/>
  <c r="N449" i="10"/>
  <c r="P449" i="10" s="1"/>
  <c r="N450" i="10"/>
  <c r="P450" i="10" s="1"/>
  <c r="N451" i="10"/>
  <c r="P451" i="10" s="1"/>
  <c r="N452" i="10"/>
  <c r="P452" i="10" s="1"/>
  <c r="N453" i="10"/>
  <c r="P453" i="10" s="1"/>
  <c r="N454" i="10"/>
  <c r="P454" i="10" s="1"/>
  <c r="N455" i="10"/>
  <c r="P455" i="10" s="1"/>
  <c r="N456" i="10"/>
  <c r="P456" i="10" s="1"/>
  <c r="N457" i="10"/>
  <c r="P457" i="10" s="1"/>
  <c r="N458" i="10"/>
  <c r="P458" i="10" s="1"/>
  <c r="N459" i="10"/>
  <c r="P459" i="10" s="1"/>
  <c r="N460" i="10"/>
  <c r="P460" i="10" s="1"/>
  <c r="N461" i="10"/>
  <c r="P461" i="10" s="1"/>
  <c r="N462" i="10"/>
  <c r="P462" i="10" s="1"/>
  <c r="N463" i="10"/>
  <c r="P463" i="10" s="1"/>
  <c r="N464" i="10"/>
  <c r="P464" i="10" s="1"/>
  <c r="N465" i="10"/>
  <c r="P465" i="10" s="1"/>
  <c r="N466" i="10"/>
  <c r="P466" i="10" s="1"/>
  <c r="N467" i="10"/>
  <c r="P467" i="10" s="1"/>
  <c r="N468" i="10"/>
  <c r="P468" i="10" s="1"/>
  <c r="N469" i="10"/>
  <c r="P469" i="10" s="1"/>
  <c r="N470" i="10"/>
  <c r="P470" i="10" s="1"/>
  <c r="N471" i="10"/>
  <c r="P471" i="10" s="1"/>
  <c r="N472" i="10"/>
  <c r="P472" i="10" s="1"/>
  <c r="N473" i="10"/>
  <c r="P473" i="10" s="1"/>
  <c r="N474" i="10"/>
  <c r="P474" i="10" s="1"/>
  <c r="N475" i="10"/>
  <c r="P475" i="10" s="1"/>
  <c r="N476" i="10"/>
  <c r="P476" i="10" s="1"/>
  <c r="N477" i="10"/>
  <c r="P477" i="10" s="1"/>
  <c r="N478" i="10"/>
  <c r="P478" i="10" s="1"/>
  <c r="N479" i="10"/>
  <c r="P479" i="10" s="1"/>
  <c r="N480" i="10"/>
  <c r="P480" i="10" s="1"/>
  <c r="N481" i="10"/>
  <c r="P481" i="10" s="1"/>
  <c r="N482" i="10"/>
  <c r="P482" i="10" s="1"/>
  <c r="N483" i="10"/>
  <c r="P483" i="10" s="1"/>
  <c r="N484" i="10"/>
  <c r="P484" i="10" s="1"/>
  <c r="N485" i="10"/>
  <c r="P485" i="10" s="1"/>
  <c r="N486" i="10"/>
  <c r="P486" i="10" s="1"/>
  <c r="N487" i="10"/>
  <c r="P487" i="10" s="1"/>
  <c r="N488" i="10"/>
  <c r="P488" i="10" s="1"/>
  <c r="N489" i="10"/>
  <c r="P489" i="10" s="1"/>
  <c r="N490" i="10"/>
  <c r="P490" i="10" s="1"/>
  <c r="N491" i="10"/>
  <c r="P491" i="10" s="1"/>
  <c r="N492" i="10"/>
  <c r="P492" i="10" s="1"/>
  <c r="N493" i="10"/>
  <c r="P493" i="10" s="1"/>
  <c r="N494" i="10"/>
  <c r="P494" i="10" s="1"/>
  <c r="N495" i="10"/>
  <c r="P495" i="10" s="1"/>
  <c r="N496" i="10"/>
  <c r="P496" i="10" s="1"/>
  <c r="N497" i="10"/>
  <c r="P497" i="10" s="1"/>
  <c r="N498" i="10"/>
  <c r="P498" i="10" s="1"/>
  <c r="N499" i="10"/>
  <c r="P499" i="10" s="1"/>
  <c r="N500" i="10"/>
  <c r="P500" i="10" s="1"/>
  <c r="N501" i="10"/>
  <c r="P501" i="10" s="1"/>
  <c r="N502" i="10"/>
  <c r="P502" i="10" s="1"/>
  <c r="N503" i="10"/>
  <c r="P503" i="10" s="1"/>
  <c r="N504" i="10"/>
  <c r="P504" i="10" s="1"/>
  <c r="N505" i="10"/>
  <c r="P505" i="10" s="1"/>
  <c r="N506" i="10"/>
  <c r="P506" i="10" s="1"/>
  <c r="N507" i="10"/>
  <c r="P507" i="10" s="1"/>
  <c r="N508" i="10"/>
  <c r="P508" i="10" s="1"/>
  <c r="N509" i="10"/>
  <c r="P509" i="10" s="1"/>
  <c r="N510" i="10"/>
  <c r="P510" i="10" s="1"/>
  <c r="N511" i="10"/>
  <c r="P511" i="10" s="1"/>
  <c r="N512" i="10"/>
  <c r="P512" i="10" s="1"/>
  <c r="N513" i="10"/>
  <c r="P513" i="10" s="1"/>
  <c r="N514" i="10"/>
  <c r="P514" i="10" s="1"/>
  <c r="N515" i="10"/>
  <c r="P515" i="10" s="1"/>
  <c r="N516" i="10"/>
  <c r="P516" i="10" s="1"/>
  <c r="N517" i="10"/>
  <c r="P517" i="10" s="1"/>
  <c r="N518" i="10"/>
  <c r="P518" i="10" s="1"/>
  <c r="N519" i="10"/>
  <c r="P519" i="10" s="1"/>
  <c r="N520" i="10"/>
  <c r="P520" i="10" s="1"/>
  <c r="N521" i="10"/>
  <c r="P521" i="10" s="1"/>
  <c r="N522" i="10"/>
  <c r="P522" i="10" s="1"/>
  <c r="N523" i="10"/>
  <c r="P523" i="10" s="1"/>
  <c r="N524" i="10"/>
  <c r="P524" i="10" s="1"/>
  <c r="N525" i="10"/>
  <c r="P525" i="10" s="1"/>
  <c r="N526" i="10"/>
  <c r="P526" i="10" s="1"/>
  <c r="N527" i="10"/>
  <c r="P527" i="10" s="1"/>
  <c r="N528" i="10"/>
  <c r="P528" i="10" s="1"/>
  <c r="N529" i="10"/>
  <c r="P529" i="10" s="1"/>
  <c r="N530" i="10"/>
  <c r="P530" i="10" s="1"/>
  <c r="N531" i="10"/>
  <c r="P531" i="10" s="1"/>
  <c r="N532" i="10"/>
  <c r="P532" i="10" s="1"/>
  <c r="N533" i="10"/>
  <c r="P533" i="10" s="1"/>
  <c r="N534" i="10"/>
  <c r="P534" i="10" s="1"/>
  <c r="N535" i="10"/>
  <c r="P535" i="10" s="1"/>
  <c r="N536" i="10"/>
  <c r="P536" i="10" s="1"/>
  <c r="N537" i="10"/>
  <c r="P537" i="10" s="1"/>
  <c r="N538" i="10"/>
  <c r="P538" i="10" s="1"/>
  <c r="N539" i="10"/>
  <c r="P539" i="10" s="1"/>
  <c r="N540" i="10"/>
  <c r="P540" i="10" s="1"/>
  <c r="N541" i="10"/>
  <c r="P541" i="10" s="1"/>
  <c r="N542" i="10"/>
  <c r="P542" i="10" s="1"/>
  <c r="N543" i="10"/>
  <c r="P543" i="10" s="1"/>
  <c r="N544" i="10"/>
  <c r="P544" i="10" s="1"/>
  <c r="N545" i="10"/>
  <c r="P545" i="10" s="1"/>
  <c r="N546" i="10"/>
  <c r="P546" i="10" s="1"/>
  <c r="N547" i="10"/>
  <c r="P547" i="10" s="1"/>
  <c r="N548" i="10"/>
  <c r="P548" i="10" s="1"/>
  <c r="N549" i="10"/>
  <c r="P549" i="10" s="1"/>
  <c r="N550" i="10"/>
  <c r="P550" i="10" s="1"/>
  <c r="N551" i="10"/>
  <c r="P551" i="10" s="1"/>
  <c r="N552" i="10"/>
  <c r="P552" i="10" s="1"/>
  <c r="N553" i="10"/>
  <c r="P553" i="10" s="1"/>
  <c r="N554" i="10"/>
  <c r="P554" i="10" s="1"/>
  <c r="N555" i="10"/>
  <c r="P555" i="10" s="1"/>
  <c r="N556" i="10"/>
  <c r="P556" i="10" s="1"/>
  <c r="N557" i="10"/>
  <c r="P557" i="10" s="1"/>
  <c r="N558" i="10"/>
  <c r="P558" i="10" s="1"/>
  <c r="N559" i="10"/>
  <c r="P559" i="10" s="1"/>
  <c r="N560" i="10"/>
  <c r="P560" i="10" s="1"/>
  <c r="N561" i="10"/>
  <c r="P561" i="10" s="1"/>
  <c r="N562" i="10"/>
  <c r="P562" i="10" s="1"/>
  <c r="N563" i="10"/>
  <c r="P563" i="10" s="1"/>
  <c r="N564" i="10"/>
  <c r="P564" i="10" s="1"/>
  <c r="N565" i="10"/>
  <c r="P565" i="10" s="1"/>
  <c r="N566" i="10"/>
  <c r="P566" i="10" s="1"/>
  <c r="N567" i="10"/>
  <c r="P567" i="10" s="1"/>
  <c r="N568" i="10"/>
  <c r="P568" i="10" s="1"/>
  <c r="N569" i="10"/>
  <c r="P569" i="10" s="1"/>
  <c r="N570" i="10"/>
  <c r="P570" i="10" s="1"/>
  <c r="N571" i="10"/>
  <c r="P571" i="10" s="1"/>
  <c r="N572" i="10"/>
  <c r="P572" i="10" s="1"/>
  <c r="N573" i="10"/>
  <c r="P573" i="10" s="1"/>
  <c r="N574" i="10"/>
  <c r="P574" i="10" s="1"/>
  <c r="N575" i="10"/>
  <c r="P575" i="10" s="1"/>
  <c r="N576" i="10"/>
  <c r="P576" i="10" s="1"/>
  <c r="N577" i="10"/>
  <c r="P577" i="10" s="1"/>
  <c r="N578" i="10"/>
  <c r="P578" i="10" s="1"/>
  <c r="N579" i="10"/>
  <c r="P579" i="10" s="1"/>
  <c r="N580" i="10"/>
  <c r="P580" i="10" s="1"/>
  <c r="N581" i="10"/>
  <c r="P581" i="10" s="1"/>
  <c r="N582" i="10"/>
  <c r="P582" i="10" s="1"/>
  <c r="N583" i="10"/>
  <c r="P583" i="10" s="1"/>
  <c r="N584" i="10"/>
  <c r="P584" i="10" s="1"/>
  <c r="N585" i="10"/>
  <c r="P585" i="10" s="1"/>
  <c r="N586" i="10"/>
  <c r="P586" i="10" s="1"/>
  <c r="N587" i="10"/>
  <c r="P587" i="10" s="1"/>
  <c r="N588" i="10"/>
  <c r="P588" i="10" s="1"/>
  <c r="N589" i="10"/>
  <c r="P589" i="10" s="1"/>
  <c r="N590" i="10"/>
  <c r="P590" i="10" s="1"/>
  <c r="N591" i="10"/>
  <c r="P591" i="10" s="1"/>
  <c r="N592" i="10"/>
  <c r="P592" i="10" s="1"/>
  <c r="N593" i="10"/>
  <c r="P593" i="10" s="1"/>
  <c r="N594" i="10"/>
  <c r="P594" i="10" s="1"/>
  <c r="N595" i="10"/>
  <c r="P595" i="10" s="1"/>
  <c r="N596" i="10"/>
  <c r="P596" i="10" s="1"/>
  <c r="N597" i="10"/>
  <c r="P597" i="10" s="1"/>
  <c r="N598" i="10"/>
  <c r="P598" i="10" s="1"/>
  <c r="N599" i="10"/>
  <c r="P599" i="10" s="1"/>
  <c r="N600" i="10"/>
  <c r="P600" i="10" s="1"/>
  <c r="N601" i="10"/>
  <c r="P601" i="10" s="1"/>
  <c r="N602" i="10"/>
  <c r="P602" i="10" s="1"/>
  <c r="N603" i="10"/>
  <c r="P603" i="10" s="1"/>
  <c r="N604" i="10"/>
  <c r="P604" i="10" s="1"/>
  <c r="N605" i="10"/>
  <c r="P605" i="10" s="1"/>
  <c r="N606" i="10"/>
  <c r="P606" i="10" s="1"/>
  <c r="N607" i="10"/>
  <c r="P607" i="10" s="1"/>
  <c r="N608" i="10"/>
  <c r="P608" i="10" s="1"/>
  <c r="N609" i="10"/>
  <c r="P609" i="10" s="1"/>
  <c r="N610" i="10"/>
  <c r="P610" i="10" s="1"/>
  <c r="N611" i="10"/>
  <c r="P611" i="10" s="1"/>
  <c r="N612" i="10"/>
  <c r="P612" i="10" s="1"/>
  <c r="N613" i="10"/>
  <c r="P613" i="10" s="1"/>
  <c r="N614" i="10"/>
  <c r="P614" i="10" s="1"/>
  <c r="N615" i="10"/>
  <c r="P615" i="10" s="1"/>
  <c r="N616" i="10"/>
  <c r="P616" i="10" s="1"/>
  <c r="N617" i="10"/>
  <c r="P617" i="10" s="1"/>
  <c r="N618" i="10"/>
  <c r="P618" i="10" s="1"/>
  <c r="N619" i="10"/>
  <c r="P619" i="10" s="1"/>
  <c r="N620" i="10"/>
  <c r="P620" i="10" s="1"/>
  <c r="N621" i="10"/>
  <c r="P621" i="10" s="1"/>
  <c r="N622" i="10"/>
  <c r="P622" i="10" s="1"/>
  <c r="N623" i="10"/>
  <c r="P623" i="10" s="1"/>
  <c r="N624" i="10"/>
  <c r="P624" i="10" s="1"/>
  <c r="N625" i="10"/>
  <c r="P625" i="10" s="1"/>
  <c r="N626" i="10"/>
  <c r="P626" i="10" s="1"/>
  <c r="N627" i="10"/>
  <c r="P627" i="10" s="1"/>
  <c r="N628" i="10"/>
  <c r="P628" i="10" s="1"/>
  <c r="N629" i="10"/>
  <c r="P629" i="10" s="1"/>
  <c r="N630" i="10"/>
  <c r="P630" i="10" s="1"/>
  <c r="N631" i="10"/>
  <c r="P631" i="10" s="1"/>
  <c r="N632" i="10"/>
  <c r="P632" i="10" s="1"/>
  <c r="N633" i="10"/>
  <c r="P633" i="10" s="1"/>
  <c r="N634" i="10"/>
  <c r="P634" i="10" s="1"/>
  <c r="N635" i="10"/>
  <c r="P635" i="10" s="1"/>
  <c r="N636" i="10"/>
  <c r="P636" i="10" s="1"/>
  <c r="N637" i="10"/>
  <c r="P637" i="10" s="1"/>
  <c r="N638" i="10"/>
  <c r="P638" i="10" s="1"/>
  <c r="N639" i="10"/>
  <c r="P639" i="10" s="1"/>
  <c r="N640" i="10"/>
  <c r="P640" i="10" s="1"/>
  <c r="N641" i="10"/>
  <c r="P641" i="10" s="1"/>
  <c r="N642" i="10"/>
  <c r="P642" i="10" s="1"/>
  <c r="N643" i="10"/>
  <c r="P643" i="10" s="1"/>
  <c r="N644" i="10"/>
  <c r="P644" i="10" s="1"/>
  <c r="N645" i="10"/>
  <c r="P645" i="10" s="1"/>
  <c r="N646" i="10"/>
  <c r="P646" i="10" s="1"/>
  <c r="N647" i="10"/>
  <c r="P647" i="10" s="1"/>
  <c r="N648" i="10"/>
  <c r="P648" i="10" s="1"/>
  <c r="N649" i="10"/>
  <c r="P649" i="10" s="1"/>
  <c r="N650" i="10"/>
  <c r="P650" i="10" s="1"/>
  <c r="N651" i="10"/>
  <c r="P651" i="10" s="1"/>
  <c r="N652" i="10"/>
  <c r="P652" i="10" s="1"/>
  <c r="N653" i="10"/>
  <c r="P653" i="10" s="1"/>
  <c r="N654" i="10"/>
  <c r="P654" i="10" s="1"/>
  <c r="N655" i="10"/>
  <c r="P655" i="10" s="1"/>
  <c r="N656" i="10"/>
  <c r="P656" i="10" s="1"/>
  <c r="N657" i="10"/>
  <c r="P657" i="10" s="1"/>
  <c r="N658" i="10"/>
  <c r="P658" i="10" s="1"/>
  <c r="N659" i="10"/>
  <c r="P659" i="10" s="1"/>
  <c r="N660" i="10"/>
  <c r="P660" i="10" s="1"/>
  <c r="N661" i="10"/>
  <c r="P661" i="10" s="1"/>
  <c r="N662" i="10"/>
  <c r="P662" i="10" s="1"/>
  <c r="N663" i="10"/>
  <c r="P663" i="10" s="1"/>
  <c r="N664" i="10"/>
  <c r="P664" i="10" s="1"/>
  <c r="N665" i="10"/>
  <c r="P665" i="10" s="1"/>
  <c r="N666" i="10"/>
  <c r="P666" i="10" s="1"/>
  <c r="N667" i="10"/>
  <c r="P667" i="10" s="1"/>
  <c r="N668" i="10"/>
  <c r="P668" i="10" s="1"/>
  <c r="N669" i="10"/>
  <c r="P669" i="10" s="1"/>
  <c r="N670" i="10"/>
  <c r="P670" i="10" s="1"/>
  <c r="N671" i="10"/>
  <c r="P671" i="10" s="1"/>
  <c r="N672" i="10"/>
  <c r="P672" i="10" s="1"/>
  <c r="N673" i="10"/>
  <c r="P673" i="10" s="1"/>
  <c r="N674" i="10"/>
  <c r="P674" i="10" s="1"/>
  <c r="N675" i="10"/>
  <c r="P675" i="10" s="1"/>
  <c r="N676" i="10"/>
  <c r="P676" i="10" s="1"/>
  <c r="N677" i="10"/>
  <c r="P677" i="10" s="1"/>
  <c r="N678" i="10"/>
  <c r="P678" i="10" s="1"/>
  <c r="N679" i="10"/>
  <c r="P679" i="10" s="1"/>
  <c r="N680" i="10"/>
  <c r="P680" i="10" s="1"/>
  <c r="N681" i="10"/>
  <c r="P681" i="10" s="1"/>
  <c r="N682" i="10"/>
  <c r="P682" i="10" s="1"/>
  <c r="N683" i="10"/>
  <c r="P683" i="10" s="1"/>
  <c r="N684" i="10"/>
  <c r="P684" i="10" s="1"/>
  <c r="N685" i="10"/>
  <c r="P685" i="10" s="1"/>
  <c r="N686" i="10"/>
  <c r="P686" i="10" s="1"/>
  <c r="N687" i="10"/>
  <c r="P687" i="10" s="1"/>
  <c r="N688" i="10"/>
  <c r="P688" i="10" s="1"/>
  <c r="N689" i="10"/>
  <c r="P689" i="10" s="1"/>
  <c r="N690" i="10"/>
  <c r="P690" i="10" s="1"/>
  <c r="N691" i="10"/>
  <c r="P691" i="10" s="1"/>
  <c r="N692" i="10"/>
  <c r="P692" i="10" s="1"/>
  <c r="N693" i="10"/>
  <c r="P693" i="10" s="1"/>
  <c r="N694" i="10"/>
  <c r="P694" i="10" s="1"/>
  <c r="N695" i="10"/>
  <c r="P695" i="10" s="1"/>
  <c r="N696" i="10"/>
  <c r="P696" i="10" s="1"/>
  <c r="N697" i="10"/>
  <c r="P697" i="10" s="1"/>
  <c r="N698" i="10"/>
  <c r="P698" i="10" s="1"/>
  <c r="N699" i="10"/>
  <c r="P699" i="10" s="1"/>
  <c r="N700" i="10"/>
  <c r="P700" i="10" s="1"/>
  <c r="N701" i="10"/>
  <c r="P701" i="10" s="1"/>
  <c r="N702" i="10"/>
  <c r="P702" i="10" s="1"/>
  <c r="N703" i="10"/>
  <c r="P703" i="10" s="1"/>
  <c r="N704" i="10"/>
  <c r="P704" i="10" s="1"/>
  <c r="N705" i="10"/>
  <c r="P705" i="10" s="1"/>
  <c r="N706" i="10"/>
  <c r="P706" i="10" s="1"/>
  <c r="N707" i="10"/>
  <c r="P707" i="10" s="1"/>
  <c r="N708" i="10"/>
  <c r="P708" i="10" s="1"/>
  <c r="N709" i="10"/>
  <c r="P709" i="10" s="1"/>
  <c r="N710" i="10"/>
  <c r="P710" i="10" s="1"/>
  <c r="N711" i="10"/>
  <c r="P711" i="10" s="1"/>
  <c r="N712" i="10"/>
  <c r="P712" i="10" s="1"/>
  <c r="N713" i="10"/>
  <c r="P713" i="10" s="1"/>
  <c r="N714" i="10"/>
  <c r="P714" i="10" s="1"/>
  <c r="N715" i="10"/>
  <c r="P715" i="10" s="1"/>
  <c r="N716" i="10"/>
  <c r="P716" i="10" s="1"/>
  <c r="N717" i="10"/>
  <c r="P717" i="10" s="1"/>
  <c r="N718" i="10"/>
  <c r="P718" i="10" s="1"/>
  <c r="N719" i="10"/>
  <c r="P719" i="10" s="1"/>
  <c r="N720" i="10"/>
  <c r="P720" i="10" s="1"/>
  <c r="N721" i="10"/>
  <c r="P721" i="10" s="1"/>
  <c r="N722" i="10"/>
  <c r="P722" i="10" s="1"/>
  <c r="N723" i="10"/>
  <c r="P723" i="10" s="1"/>
  <c r="N724" i="10"/>
  <c r="P724" i="10" s="1"/>
  <c r="N725" i="10"/>
  <c r="P725" i="10" s="1"/>
  <c r="N726" i="10"/>
  <c r="P726" i="10" s="1"/>
  <c r="N727" i="10"/>
  <c r="P727" i="10" s="1"/>
  <c r="N728" i="10"/>
  <c r="P728" i="10" s="1"/>
  <c r="N729" i="10"/>
  <c r="P729" i="10" s="1"/>
  <c r="N730" i="10"/>
  <c r="P730" i="10" s="1"/>
  <c r="N731" i="10"/>
  <c r="P731" i="10" s="1"/>
  <c r="N732" i="10"/>
  <c r="P732" i="10" s="1"/>
  <c r="N733" i="10"/>
  <c r="P733" i="10" s="1"/>
  <c r="N734" i="10"/>
  <c r="P734" i="10" s="1"/>
  <c r="N735" i="10"/>
  <c r="P735" i="10" s="1"/>
  <c r="N736" i="10"/>
  <c r="P736" i="10" s="1"/>
  <c r="N737" i="10"/>
  <c r="P737" i="10" s="1"/>
  <c r="N738" i="10"/>
  <c r="P738" i="10" s="1"/>
  <c r="N739" i="10"/>
  <c r="P739" i="10" s="1"/>
  <c r="N740" i="10"/>
  <c r="P740" i="10" s="1"/>
  <c r="N741" i="10"/>
  <c r="P741" i="10" s="1"/>
  <c r="N742" i="10"/>
  <c r="P742" i="10" s="1"/>
  <c r="N743" i="10"/>
  <c r="P743" i="10" s="1"/>
  <c r="N744" i="10"/>
  <c r="P744" i="10" s="1"/>
  <c r="N745" i="10"/>
  <c r="P745" i="10" s="1"/>
  <c r="N746" i="10"/>
  <c r="P746" i="10" s="1"/>
  <c r="N747" i="10"/>
  <c r="P747" i="10" s="1"/>
  <c r="N748" i="10"/>
  <c r="P748" i="10" s="1"/>
  <c r="N749" i="10"/>
  <c r="P749" i="10" s="1"/>
  <c r="N750" i="10"/>
  <c r="P750" i="10" s="1"/>
  <c r="N751" i="10"/>
  <c r="P751" i="10" s="1"/>
  <c r="N752" i="10"/>
  <c r="P752" i="10" s="1"/>
  <c r="N753" i="10"/>
  <c r="P753" i="10" s="1"/>
  <c r="N754" i="10"/>
  <c r="P754" i="10" s="1"/>
  <c r="N755" i="10"/>
  <c r="P755" i="10" s="1"/>
  <c r="N756" i="10"/>
  <c r="P756" i="10" s="1"/>
  <c r="N757" i="10"/>
  <c r="P757" i="10" s="1"/>
  <c r="N758" i="10"/>
  <c r="P758" i="10" s="1"/>
  <c r="N759" i="10"/>
  <c r="P759" i="10" s="1"/>
  <c r="N760" i="10"/>
  <c r="P760" i="10" s="1"/>
  <c r="N761" i="10"/>
  <c r="P761" i="10" s="1"/>
  <c r="N762" i="10"/>
  <c r="P762" i="10" s="1"/>
  <c r="N763" i="10"/>
  <c r="P763" i="10" s="1"/>
  <c r="N764" i="10"/>
  <c r="P764" i="10" s="1"/>
  <c r="N765" i="10"/>
  <c r="P765" i="10" s="1"/>
  <c r="N766" i="10"/>
  <c r="P766" i="10" s="1"/>
  <c r="N767" i="10"/>
  <c r="P767" i="10" s="1"/>
  <c r="N768" i="10"/>
  <c r="P768" i="10" s="1"/>
  <c r="N769" i="10"/>
  <c r="P769" i="10" s="1"/>
  <c r="N770" i="10"/>
  <c r="P770" i="10" s="1"/>
  <c r="N771" i="10"/>
  <c r="P771" i="10" s="1"/>
  <c r="N772" i="10"/>
  <c r="P772" i="10" s="1"/>
  <c r="N773" i="10"/>
  <c r="P773" i="10" s="1"/>
  <c r="N774" i="10"/>
  <c r="P774" i="10" s="1"/>
  <c r="N775" i="10"/>
  <c r="P775" i="10" s="1"/>
  <c r="N776" i="10"/>
  <c r="P776" i="10" s="1"/>
  <c r="N777" i="10"/>
  <c r="P777" i="10" s="1"/>
  <c r="N778" i="10"/>
  <c r="P778" i="10" s="1"/>
  <c r="N779" i="10"/>
  <c r="P779" i="10" s="1"/>
  <c r="N780" i="10"/>
  <c r="P780" i="10" s="1"/>
  <c r="N781" i="10"/>
  <c r="P781" i="10" s="1"/>
  <c r="N782" i="10"/>
  <c r="P782" i="10" s="1"/>
  <c r="N783" i="10"/>
  <c r="P783" i="10" s="1"/>
  <c r="N784" i="10"/>
  <c r="P784" i="10" s="1"/>
  <c r="N785" i="10"/>
  <c r="P785" i="10" s="1"/>
  <c r="N786" i="10"/>
  <c r="P786" i="10" s="1"/>
  <c r="N787" i="10"/>
  <c r="P787" i="10" s="1"/>
  <c r="N788" i="10"/>
  <c r="P788" i="10" s="1"/>
  <c r="N789" i="10"/>
  <c r="P789" i="10" s="1"/>
  <c r="N790" i="10"/>
  <c r="P790" i="10" s="1"/>
  <c r="N791" i="10"/>
  <c r="P791" i="10" s="1"/>
  <c r="N792" i="10"/>
  <c r="P792" i="10" s="1"/>
  <c r="N793" i="10"/>
  <c r="P793" i="10" s="1"/>
  <c r="N794" i="10"/>
  <c r="P794" i="10" s="1"/>
  <c r="N795" i="10"/>
  <c r="P795" i="10" s="1"/>
  <c r="N796" i="10"/>
  <c r="P796" i="10" s="1"/>
  <c r="N797" i="10"/>
  <c r="P797" i="10" s="1"/>
  <c r="N798" i="10"/>
  <c r="P798" i="10" s="1"/>
  <c r="N799" i="10"/>
  <c r="P799" i="10" s="1"/>
  <c r="N800" i="10"/>
  <c r="P800" i="10" s="1"/>
  <c r="N801" i="10"/>
  <c r="P801" i="10" s="1"/>
  <c r="N802" i="10"/>
  <c r="P802" i="10" s="1"/>
  <c r="N803" i="10"/>
  <c r="P803" i="10" s="1"/>
  <c r="N804" i="10"/>
  <c r="P804" i="10" s="1"/>
  <c r="N805" i="10"/>
  <c r="P805" i="10" s="1"/>
  <c r="N806" i="10"/>
  <c r="P806" i="10" s="1"/>
  <c r="N807" i="10"/>
  <c r="P807" i="10" s="1"/>
  <c r="N808" i="10"/>
  <c r="P808" i="10" s="1"/>
  <c r="N809" i="10"/>
  <c r="P809" i="10" s="1"/>
  <c r="N810" i="10"/>
  <c r="P810" i="10" s="1"/>
  <c r="N811" i="10"/>
  <c r="P811" i="10" s="1"/>
  <c r="N812" i="10"/>
  <c r="P812" i="10" s="1"/>
  <c r="N813" i="10"/>
  <c r="P813" i="10" s="1"/>
  <c r="N814" i="10"/>
  <c r="P814" i="10" s="1"/>
  <c r="N815" i="10"/>
  <c r="P815" i="10" s="1"/>
  <c r="N816" i="10"/>
  <c r="P816" i="10" s="1"/>
  <c r="N817" i="10"/>
  <c r="P817" i="10" s="1"/>
  <c r="N818" i="10"/>
  <c r="P818" i="10" s="1"/>
  <c r="N819" i="10"/>
  <c r="P819" i="10" s="1"/>
  <c r="N820" i="10"/>
  <c r="P820" i="10" s="1"/>
  <c r="N821" i="10"/>
  <c r="P821" i="10" s="1"/>
  <c r="N822" i="10"/>
  <c r="P822" i="10" s="1"/>
  <c r="N823" i="10"/>
  <c r="P823" i="10" s="1"/>
  <c r="N824" i="10"/>
  <c r="P824" i="10" s="1"/>
  <c r="N825" i="10"/>
  <c r="P825" i="10" s="1"/>
  <c r="N826" i="10"/>
  <c r="P826" i="10" s="1"/>
  <c r="N827" i="10"/>
  <c r="P827" i="10" s="1"/>
  <c r="N828" i="10"/>
  <c r="P828" i="10" s="1"/>
  <c r="N829" i="10"/>
  <c r="P829" i="10" s="1"/>
  <c r="N830" i="10"/>
  <c r="P830" i="10" s="1"/>
  <c r="N831" i="10"/>
  <c r="P831" i="10" s="1"/>
  <c r="N832" i="10"/>
  <c r="P832" i="10" s="1"/>
  <c r="N833" i="10"/>
  <c r="P833" i="10" s="1"/>
  <c r="N834" i="10"/>
  <c r="P834" i="10" s="1"/>
  <c r="N835" i="10"/>
  <c r="P835" i="10" s="1"/>
  <c r="N836" i="10"/>
  <c r="P836" i="10" s="1"/>
  <c r="N837" i="10"/>
  <c r="P837" i="10" s="1"/>
  <c r="N838" i="10"/>
  <c r="P838" i="10" s="1"/>
  <c r="N839" i="10"/>
  <c r="P839" i="10" s="1"/>
  <c r="N840" i="10"/>
  <c r="P840" i="10" s="1"/>
  <c r="N841" i="10"/>
  <c r="P841" i="10" s="1"/>
  <c r="N842" i="10"/>
  <c r="P842" i="10" s="1"/>
  <c r="N843" i="10"/>
  <c r="P843" i="10" s="1"/>
  <c r="N844" i="10"/>
  <c r="P844" i="10" s="1"/>
  <c r="N845" i="10"/>
  <c r="P845" i="10" s="1"/>
  <c r="N846" i="10"/>
  <c r="P846" i="10" s="1"/>
  <c r="N847" i="10"/>
  <c r="P847" i="10" s="1"/>
  <c r="N848" i="10"/>
  <c r="P848" i="10" s="1"/>
  <c r="N849" i="10"/>
  <c r="P849" i="10" s="1"/>
  <c r="N850" i="10"/>
  <c r="P850" i="10" s="1"/>
  <c r="N851" i="10"/>
  <c r="P851" i="10" s="1"/>
  <c r="N852" i="10"/>
  <c r="P852" i="10" s="1"/>
  <c r="N853" i="10"/>
  <c r="P853" i="10" s="1"/>
  <c r="N854" i="10"/>
  <c r="P854" i="10" s="1"/>
  <c r="N855" i="10"/>
  <c r="P855" i="10" s="1"/>
  <c r="N856" i="10"/>
  <c r="P856" i="10" s="1"/>
  <c r="N857" i="10"/>
  <c r="P857" i="10" s="1"/>
  <c r="N858" i="10"/>
  <c r="P858" i="10" s="1"/>
  <c r="N859" i="10"/>
  <c r="P859" i="10" s="1"/>
  <c r="N860" i="10"/>
  <c r="P860" i="10" s="1"/>
  <c r="N861" i="10"/>
  <c r="P861" i="10" s="1"/>
  <c r="N862" i="10"/>
  <c r="P862" i="10" s="1"/>
  <c r="N863" i="10"/>
  <c r="P863" i="10" s="1"/>
  <c r="N864" i="10"/>
  <c r="P864" i="10" s="1"/>
  <c r="N865" i="10"/>
  <c r="P865" i="10" s="1"/>
  <c r="N866" i="10"/>
  <c r="P866" i="10" s="1"/>
  <c r="N867" i="10"/>
  <c r="P867" i="10" s="1"/>
  <c r="N868" i="10"/>
  <c r="P868" i="10" s="1"/>
  <c r="N869" i="10"/>
  <c r="P869" i="10" s="1"/>
  <c r="N870" i="10"/>
  <c r="P870" i="10" s="1"/>
  <c r="N871" i="10"/>
  <c r="P871" i="10" s="1"/>
  <c r="N872" i="10"/>
  <c r="P872" i="10" s="1"/>
  <c r="N873" i="10"/>
  <c r="P873" i="10" s="1"/>
  <c r="N874" i="10"/>
  <c r="P874" i="10" s="1"/>
  <c r="N875" i="10"/>
  <c r="P875" i="10" s="1"/>
  <c r="N876" i="10"/>
  <c r="P876" i="10" s="1"/>
  <c r="N877" i="10"/>
  <c r="P877" i="10" s="1"/>
  <c r="N878" i="10"/>
  <c r="P878" i="10" s="1"/>
  <c r="N879" i="10"/>
  <c r="P879" i="10" s="1"/>
  <c r="N880" i="10"/>
  <c r="P880" i="10" s="1"/>
  <c r="N881" i="10"/>
  <c r="P881" i="10" s="1"/>
  <c r="N882" i="10"/>
  <c r="P882" i="10" s="1"/>
  <c r="N883" i="10"/>
  <c r="P883" i="10" s="1"/>
  <c r="N884" i="10"/>
  <c r="P884" i="10" s="1"/>
  <c r="N885" i="10"/>
  <c r="P885" i="10" s="1"/>
  <c r="N886" i="10"/>
  <c r="P886" i="10" s="1"/>
  <c r="N887" i="10"/>
  <c r="P887" i="10" s="1"/>
  <c r="N888" i="10"/>
  <c r="P888" i="10" s="1"/>
  <c r="N889" i="10"/>
  <c r="P889" i="10" s="1"/>
  <c r="N890" i="10"/>
  <c r="P890" i="10" s="1"/>
  <c r="N891" i="10"/>
  <c r="P891" i="10" s="1"/>
  <c r="N892" i="10"/>
  <c r="P892" i="10" s="1"/>
  <c r="N893" i="10"/>
  <c r="P893" i="10" s="1"/>
  <c r="N894" i="10"/>
  <c r="P894" i="10" s="1"/>
  <c r="N895" i="10"/>
  <c r="P895" i="10" s="1"/>
  <c r="N896" i="10"/>
  <c r="P896" i="10" s="1"/>
  <c r="N897" i="10"/>
  <c r="P897" i="10" s="1"/>
  <c r="N898" i="10"/>
  <c r="P898" i="10" s="1"/>
  <c r="N899" i="10"/>
  <c r="P899" i="10" s="1"/>
  <c r="N900" i="10"/>
  <c r="P900" i="10" s="1"/>
  <c r="N901" i="10"/>
  <c r="P901" i="10" s="1"/>
  <c r="N902" i="10"/>
  <c r="P902" i="10" s="1"/>
  <c r="N903" i="10"/>
  <c r="P903" i="10" s="1"/>
  <c r="N904" i="10"/>
  <c r="P904" i="10" s="1"/>
  <c r="N905" i="10"/>
  <c r="P905" i="10" s="1"/>
  <c r="N906" i="10"/>
  <c r="P906" i="10" s="1"/>
  <c r="N907" i="10"/>
  <c r="P907" i="10" s="1"/>
  <c r="N908" i="10"/>
  <c r="P908" i="10" s="1"/>
  <c r="N909" i="10"/>
  <c r="P909" i="10" s="1"/>
  <c r="N910" i="10"/>
  <c r="P910" i="10" s="1"/>
  <c r="N911" i="10"/>
  <c r="P911" i="10" s="1"/>
  <c r="N912" i="10"/>
  <c r="P912" i="10" s="1"/>
  <c r="N913" i="10"/>
  <c r="P913" i="10" s="1"/>
  <c r="N914" i="10"/>
  <c r="P914" i="10" s="1"/>
  <c r="N915" i="10"/>
  <c r="P915" i="10" s="1"/>
  <c r="N916" i="10"/>
  <c r="P916" i="10" s="1"/>
  <c r="N917" i="10"/>
  <c r="P917" i="10" s="1"/>
  <c r="N918" i="10"/>
  <c r="P918" i="10" s="1"/>
  <c r="N919" i="10"/>
  <c r="P919" i="10" s="1"/>
  <c r="N920" i="10"/>
  <c r="P920" i="10" s="1"/>
  <c r="N921" i="10"/>
  <c r="P921" i="10" s="1"/>
  <c r="N922" i="10"/>
  <c r="P922" i="10" s="1"/>
  <c r="N923" i="10"/>
  <c r="P923" i="10" s="1"/>
  <c r="N924" i="10"/>
  <c r="P924" i="10" s="1"/>
  <c r="N925" i="10"/>
  <c r="P925" i="10" s="1"/>
  <c r="N926" i="10"/>
  <c r="P926" i="10" s="1"/>
  <c r="N927" i="10"/>
  <c r="P927" i="10" s="1"/>
  <c r="N928" i="10"/>
  <c r="P928" i="10" s="1"/>
  <c r="N929" i="10"/>
  <c r="P929" i="10" s="1"/>
  <c r="N930" i="10"/>
  <c r="P930" i="10" s="1"/>
  <c r="N931" i="10"/>
  <c r="P931" i="10" s="1"/>
  <c r="N932" i="10"/>
  <c r="P932" i="10" s="1"/>
  <c r="N933" i="10"/>
  <c r="P933" i="10" s="1"/>
  <c r="N934" i="10"/>
  <c r="P934" i="10" s="1"/>
  <c r="N935" i="10"/>
  <c r="P935" i="10" s="1"/>
  <c r="N936" i="10"/>
  <c r="P936" i="10" s="1"/>
  <c r="N937" i="10"/>
  <c r="P937" i="10" s="1"/>
  <c r="N938" i="10"/>
  <c r="P938" i="10" s="1"/>
  <c r="N939" i="10"/>
  <c r="P939" i="10" s="1"/>
  <c r="N940" i="10"/>
  <c r="P940" i="10" s="1"/>
  <c r="N941" i="10"/>
  <c r="P941" i="10" s="1"/>
  <c r="N942" i="10"/>
  <c r="P942" i="10" s="1"/>
  <c r="N943" i="10"/>
  <c r="P943" i="10" s="1"/>
  <c r="N944" i="10"/>
  <c r="P944" i="10" s="1"/>
  <c r="N945" i="10"/>
  <c r="P945" i="10" s="1"/>
  <c r="N946" i="10"/>
  <c r="P946" i="10" s="1"/>
  <c r="N947" i="10"/>
  <c r="P947" i="10" s="1"/>
  <c r="N948" i="10"/>
  <c r="P948" i="10" s="1"/>
  <c r="N949" i="10"/>
  <c r="P949" i="10" s="1"/>
  <c r="N950" i="10"/>
  <c r="P950" i="10" s="1"/>
  <c r="N951" i="10"/>
  <c r="P951" i="10" s="1"/>
  <c r="N952" i="10"/>
  <c r="P952" i="10" s="1"/>
  <c r="N953" i="10"/>
  <c r="P953" i="10" s="1"/>
  <c r="N954" i="10"/>
  <c r="P954" i="10" s="1"/>
  <c r="N955" i="10"/>
  <c r="P955" i="10" s="1"/>
  <c r="N956" i="10"/>
  <c r="P956" i="10" s="1"/>
  <c r="N957" i="10"/>
  <c r="P957" i="10" s="1"/>
  <c r="N958" i="10"/>
  <c r="P958" i="10" s="1"/>
  <c r="N959" i="10"/>
  <c r="P959" i="10" s="1"/>
  <c r="N960" i="10"/>
  <c r="P960" i="10" s="1"/>
  <c r="N961" i="10"/>
  <c r="P961" i="10" s="1"/>
  <c r="N962" i="10"/>
  <c r="P962" i="10" s="1"/>
  <c r="N963" i="10"/>
  <c r="P963" i="10" s="1"/>
  <c r="N964" i="10"/>
  <c r="P964" i="10" s="1"/>
  <c r="N965" i="10"/>
  <c r="P965" i="10" s="1"/>
  <c r="N966" i="10"/>
  <c r="P966" i="10" s="1"/>
  <c r="N967" i="10"/>
  <c r="P967" i="10" s="1"/>
  <c r="N968" i="10"/>
  <c r="P968" i="10" s="1"/>
  <c r="N969" i="10"/>
  <c r="P969" i="10" s="1"/>
  <c r="N970" i="10"/>
  <c r="P970" i="10" s="1"/>
  <c r="N971" i="10"/>
  <c r="P971" i="10" s="1"/>
  <c r="N972" i="10"/>
  <c r="P972" i="10" s="1"/>
  <c r="N973" i="10"/>
  <c r="P973" i="10" s="1"/>
  <c r="N974" i="10"/>
  <c r="P974" i="10" s="1"/>
  <c r="N975" i="10"/>
  <c r="P975" i="10" s="1"/>
  <c r="N976" i="10"/>
  <c r="P976" i="10" s="1"/>
  <c r="N977" i="10"/>
  <c r="P977" i="10" s="1"/>
  <c r="N978" i="10"/>
  <c r="P978" i="10" s="1"/>
  <c r="N979" i="10"/>
  <c r="P979" i="10" s="1"/>
  <c r="N980" i="10"/>
  <c r="P980" i="10" s="1"/>
  <c r="N981" i="10"/>
  <c r="P981" i="10" s="1"/>
  <c r="N982" i="10"/>
  <c r="P982" i="10" s="1"/>
  <c r="N983" i="10"/>
  <c r="P983" i="10" s="1"/>
  <c r="N984" i="10"/>
  <c r="P984" i="10" s="1"/>
  <c r="N985" i="10"/>
  <c r="P985" i="10" s="1"/>
  <c r="N986" i="10"/>
  <c r="P986" i="10" s="1"/>
  <c r="N987" i="10"/>
  <c r="P987" i="10" s="1"/>
  <c r="N988" i="10"/>
  <c r="P988" i="10" s="1"/>
  <c r="N989" i="10"/>
  <c r="P989" i="10" s="1"/>
  <c r="N990" i="10"/>
  <c r="P990" i="10" s="1"/>
  <c r="N991" i="10"/>
  <c r="P991" i="10" s="1"/>
  <c r="N992" i="10"/>
  <c r="P992" i="10" s="1"/>
  <c r="N993" i="10"/>
  <c r="P993" i="10" s="1"/>
  <c r="N994" i="10"/>
  <c r="P994" i="10" s="1"/>
  <c r="N995" i="10"/>
  <c r="P995" i="10" s="1"/>
  <c r="N996" i="10"/>
  <c r="P996" i="10" s="1"/>
  <c r="N997" i="10"/>
  <c r="P997" i="10" s="1"/>
  <c r="N998" i="10"/>
  <c r="P998" i="10" s="1"/>
  <c r="N999" i="10"/>
  <c r="P999" i="10" s="1"/>
  <c r="N1000" i="10"/>
  <c r="P1000" i="10" s="1"/>
  <c r="N1001" i="10"/>
  <c r="P1001" i="10" s="1"/>
  <c r="N1002" i="10"/>
  <c r="P1002" i="10" s="1"/>
  <c r="N1003" i="10"/>
  <c r="P1003" i="10" s="1"/>
  <c r="N1004" i="10"/>
  <c r="P1004" i="10" s="1"/>
  <c r="N1005" i="10"/>
  <c r="P1005" i="10" s="1"/>
  <c r="N1006" i="10"/>
  <c r="P1006" i="10" s="1"/>
  <c r="N1007" i="10"/>
  <c r="P1007" i="10" s="1"/>
  <c r="N1008" i="10"/>
  <c r="P1008" i="10" s="1"/>
  <c r="N1009" i="10"/>
  <c r="P1009" i="10" s="1"/>
  <c r="N1010" i="10"/>
  <c r="P1010" i="10" s="1"/>
  <c r="N1011" i="10"/>
  <c r="P1011" i="10" s="1"/>
  <c r="N1012" i="10"/>
  <c r="P1012" i="10" s="1"/>
  <c r="N1013" i="10"/>
  <c r="P1013" i="10" s="1"/>
  <c r="N1014" i="10"/>
  <c r="P1014" i="10" s="1"/>
  <c r="N1015" i="10"/>
  <c r="P1015" i="10" s="1"/>
  <c r="N1016" i="10"/>
  <c r="P1016" i="10" s="1"/>
  <c r="N1017" i="10"/>
  <c r="P1017" i="10" s="1"/>
  <c r="N1018" i="10"/>
  <c r="P1018" i="10" s="1"/>
  <c r="N1019" i="10"/>
  <c r="P1019" i="10" s="1"/>
  <c r="N1020" i="10"/>
  <c r="P1020" i="10" s="1"/>
  <c r="N1021" i="10"/>
  <c r="P1021" i="10" s="1"/>
  <c r="N1022" i="10"/>
  <c r="P1022" i="10" s="1"/>
  <c r="N1023" i="10"/>
  <c r="P1023" i="10" s="1"/>
  <c r="N1024" i="10"/>
  <c r="P1024" i="10" s="1"/>
  <c r="N1025" i="10"/>
  <c r="P1025" i="10" s="1"/>
  <c r="N1026" i="10"/>
  <c r="P1026" i="10" s="1"/>
  <c r="N1027" i="10"/>
  <c r="P1027" i="10" s="1"/>
  <c r="N1028" i="10"/>
  <c r="P1028" i="10" s="1"/>
  <c r="N1029" i="10"/>
  <c r="P1029" i="10" s="1"/>
  <c r="N1030" i="10"/>
  <c r="P1030" i="10" s="1"/>
  <c r="N1031" i="10"/>
  <c r="P1031" i="10" s="1"/>
  <c r="N1032" i="10"/>
  <c r="P1032" i="10" s="1"/>
  <c r="N1033" i="10"/>
  <c r="P1033" i="10" s="1"/>
  <c r="N1034" i="10"/>
  <c r="P1034" i="10" s="1"/>
  <c r="N1035" i="10"/>
  <c r="P1035" i="10" s="1"/>
  <c r="N1036" i="10"/>
  <c r="P1036" i="10" s="1"/>
  <c r="N1037" i="10"/>
  <c r="P1037" i="10" s="1"/>
  <c r="N1038" i="10"/>
  <c r="P1038" i="10" s="1"/>
  <c r="N1039" i="10"/>
  <c r="P1039" i="10" s="1"/>
  <c r="N1040" i="10"/>
  <c r="P1040" i="10" s="1"/>
  <c r="N1041" i="10"/>
  <c r="P1041" i="10" s="1"/>
  <c r="N1042" i="10"/>
  <c r="P1042" i="10" s="1"/>
  <c r="N1043" i="10"/>
  <c r="P1043" i="10" s="1"/>
  <c r="N1044" i="10"/>
  <c r="P1044" i="10" s="1"/>
  <c r="N1045" i="10"/>
  <c r="P1045" i="10" s="1"/>
  <c r="N1046" i="10"/>
  <c r="P1046" i="10" s="1"/>
  <c r="N1047" i="10"/>
  <c r="P1047" i="10" s="1"/>
  <c r="N1048" i="10"/>
  <c r="P1048" i="10" s="1"/>
  <c r="N1049" i="10"/>
  <c r="P1049" i="10" s="1"/>
  <c r="N1050" i="10"/>
  <c r="P1050" i="10" s="1"/>
  <c r="N1051" i="10"/>
  <c r="P1051" i="10" s="1"/>
  <c r="N1052" i="10"/>
  <c r="P1052" i="10" s="1"/>
  <c r="N1053" i="10"/>
  <c r="P1053" i="10" s="1"/>
  <c r="N1054" i="10"/>
  <c r="P1054" i="10" s="1"/>
  <c r="N1055" i="10"/>
  <c r="P1055" i="10" s="1"/>
  <c r="N1056" i="10"/>
  <c r="P1056" i="10" s="1"/>
  <c r="N1057" i="10"/>
  <c r="P1057" i="10" s="1"/>
  <c r="N1058" i="10"/>
  <c r="P1058" i="10" s="1"/>
  <c r="N1059" i="10"/>
  <c r="P1059" i="10" s="1"/>
  <c r="N1060" i="10"/>
  <c r="P1060" i="10" s="1"/>
  <c r="N1061" i="10"/>
  <c r="P1061" i="10" s="1"/>
  <c r="N1062" i="10"/>
  <c r="P1062" i="10" s="1"/>
  <c r="N1063" i="10"/>
  <c r="P1063" i="10" s="1"/>
  <c r="N1064" i="10"/>
  <c r="P1064" i="10" s="1"/>
  <c r="N1065" i="10"/>
  <c r="P1065" i="10" s="1"/>
  <c r="N1066" i="10"/>
  <c r="P1066" i="10" s="1"/>
  <c r="N1067" i="10"/>
  <c r="P1067" i="10" s="1"/>
  <c r="N1068" i="10"/>
  <c r="P1068" i="10" s="1"/>
  <c r="N1069" i="10"/>
  <c r="P1069" i="10" s="1"/>
  <c r="N1070" i="10"/>
  <c r="P1070" i="10" s="1"/>
  <c r="N1071" i="10"/>
  <c r="P1071" i="10" s="1"/>
  <c r="N1072" i="10"/>
  <c r="P1072" i="10" s="1"/>
  <c r="N1073" i="10"/>
  <c r="P1073" i="10" s="1"/>
  <c r="N1074" i="10"/>
  <c r="P1074" i="10" s="1"/>
  <c r="N1075" i="10"/>
  <c r="P1075" i="10" s="1"/>
  <c r="N1076" i="10"/>
  <c r="P1076" i="10" s="1"/>
  <c r="N1077" i="10"/>
  <c r="P1077" i="10" s="1"/>
  <c r="N1078" i="10"/>
  <c r="P1078" i="10" s="1"/>
  <c r="N1079" i="10"/>
  <c r="P1079" i="10" s="1"/>
  <c r="N1080" i="10"/>
  <c r="P1080" i="10" s="1"/>
  <c r="N1081" i="10"/>
  <c r="P1081" i="10" s="1"/>
  <c r="N1082" i="10"/>
  <c r="P1082" i="10" s="1"/>
  <c r="N1083" i="10"/>
  <c r="P1083" i="10" s="1"/>
  <c r="N1084" i="10"/>
  <c r="P1084" i="10" s="1"/>
  <c r="N1085" i="10"/>
  <c r="P1085" i="10" s="1"/>
  <c r="N1086" i="10"/>
  <c r="P1086" i="10" s="1"/>
  <c r="N1087" i="10"/>
  <c r="P1087" i="10" s="1"/>
  <c r="N1088" i="10"/>
  <c r="P1088" i="10" s="1"/>
  <c r="N1089" i="10"/>
  <c r="P1089" i="10" s="1"/>
  <c r="N1090" i="10"/>
  <c r="P1090" i="10" s="1"/>
  <c r="N1091" i="10"/>
  <c r="P1091" i="10" s="1"/>
  <c r="N1092" i="10"/>
  <c r="P1092" i="10" s="1"/>
  <c r="N1093" i="10"/>
  <c r="P1093" i="10" s="1"/>
  <c r="N1094" i="10"/>
  <c r="P1094" i="10" s="1"/>
  <c r="N1095" i="10"/>
  <c r="P1095" i="10" s="1"/>
  <c r="N1096" i="10"/>
  <c r="P1096" i="10" s="1"/>
  <c r="N1097" i="10"/>
  <c r="P1097" i="10" s="1"/>
  <c r="N1098" i="10"/>
  <c r="P1098" i="10" s="1"/>
  <c r="N1099" i="10"/>
  <c r="P1099" i="10" s="1"/>
  <c r="N1100" i="10"/>
  <c r="P1100" i="10" s="1"/>
  <c r="N1101" i="10"/>
  <c r="P1101" i="10" s="1"/>
  <c r="N1102" i="10"/>
  <c r="P1102" i="10" s="1"/>
  <c r="N1103" i="10"/>
  <c r="P1103" i="10" s="1"/>
  <c r="N1104" i="10"/>
  <c r="P1104" i="10" s="1"/>
  <c r="N1105" i="10"/>
  <c r="P1105" i="10" s="1"/>
  <c r="N1106" i="10"/>
  <c r="P1106" i="10" s="1"/>
  <c r="N1107" i="10"/>
  <c r="P1107" i="10" s="1"/>
  <c r="N1108" i="10"/>
  <c r="P1108" i="10" s="1"/>
  <c r="N1109" i="10"/>
  <c r="P1109" i="10" s="1"/>
  <c r="N1110" i="10"/>
  <c r="P1110" i="10" s="1"/>
  <c r="N1111" i="10"/>
  <c r="P1111" i="10" s="1"/>
  <c r="N1112" i="10"/>
  <c r="P1112" i="10" s="1"/>
  <c r="N1113" i="10"/>
  <c r="P1113" i="10" s="1"/>
  <c r="N1114" i="10"/>
  <c r="P1114" i="10" s="1"/>
  <c r="N1115" i="10"/>
  <c r="P1115" i="10" s="1"/>
  <c r="N1116" i="10"/>
  <c r="P1116" i="10" s="1"/>
  <c r="N1117" i="10"/>
  <c r="P1117" i="10" s="1"/>
  <c r="N1118" i="10"/>
  <c r="P1118" i="10" s="1"/>
  <c r="N1119" i="10"/>
  <c r="P1119" i="10" s="1"/>
  <c r="N1120" i="10"/>
  <c r="P1120" i="10" s="1"/>
  <c r="N1121" i="10"/>
  <c r="P1121" i="10" s="1"/>
  <c r="N1122" i="10"/>
  <c r="P1122" i="10" s="1"/>
  <c r="N1123" i="10"/>
  <c r="P1123" i="10" s="1"/>
  <c r="N1124" i="10"/>
  <c r="P1124" i="10" s="1"/>
  <c r="N1125" i="10"/>
  <c r="P1125" i="10" s="1"/>
  <c r="N1126" i="10"/>
  <c r="P1126" i="10" s="1"/>
  <c r="N1127" i="10"/>
  <c r="P1127" i="10" s="1"/>
  <c r="N1128" i="10"/>
  <c r="P1128" i="10" s="1"/>
  <c r="N1129" i="10"/>
  <c r="P1129" i="10" s="1"/>
  <c r="N1130" i="10"/>
  <c r="P1130" i="10" s="1"/>
  <c r="N1131" i="10"/>
  <c r="P1131" i="10" s="1"/>
  <c r="N1132" i="10"/>
  <c r="P1132" i="10" s="1"/>
  <c r="N1133" i="10"/>
  <c r="P1133" i="10" s="1"/>
  <c r="N1134" i="10"/>
  <c r="P1134" i="10" s="1"/>
  <c r="N1135" i="10"/>
  <c r="P1135" i="10" s="1"/>
  <c r="N1136" i="10"/>
  <c r="P1136" i="10" s="1"/>
  <c r="N1137" i="10"/>
  <c r="P1137" i="10" s="1"/>
  <c r="N1138" i="10"/>
  <c r="P1138" i="10" s="1"/>
  <c r="N1139" i="10"/>
  <c r="P1139" i="10" s="1"/>
  <c r="N1140" i="10"/>
  <c r="P1140" i="10" s="1"/>
  <c r="N1141" i="10"/>
  <c r="P1141" i="10" s="1"/>
  <c r="N1142" i="10"/>
  <c r="P1142" i="10" s="1"/>
  <c r="N1143" i="10"/>
  <c r="P1143" i="10" s="1"/>
  <c r="N1144" i="10"/>
  <c r="P1144" i="10" s="1"/>
  <c r="N1145" i="10"/>
  <c r="P1145" i="10" s="1"/>
  <c r="N1146" i="10"/>
  <c r="P1146" i="10" s="1"/>
  <c r="N1147" i="10"/>
  <c r="P1147" i="10" s="1"/>
  <c r="N1148" i="10"/>
  <c r="P1148" i="10" s="1"/>
  <c r="N1149" i="10"/>
  <c r="P1149" i="10" s="1"/>
  <c r="N1150" i="10"/>
  <c r="P1150" i="10" s="1"/>
  <c r="N1151" i="10"/>
  <c r="P1151" i="10" s="1"/>
  <c r="N1152" i="10"/>
  <c r="P1152" i="10" s="1"/>
  <c r="N1153" i="10"/>
  <c r="P1153" i="10" s="1"/>
  <c r="N1154" i="10"/>
  <c r="P1154" i="10" s="1"/>
  <c r="N1155" i="10"/>
  <c r="P1155" i="10" s="1"/>
  <c r="N1156" i="10"/>
  <c r="P1156" i="10" s="1"/>
  <c r="N1157" i="10"/>
  <c r="P1157" i="10" s="1"/>
  <c r="N1158" i="10"/>
  <c r="P1158" i="10" s="1"/>
  <c r="N1159" i="10"/>
  <c r="P1159" i="10" s="1"/>
  <c r="N1160" i="10"/>
  <c r="P1160" i="10" s="1"/>
  <c r="N1161" i="10"/>
  <c r="P1161" i="10" s="1"/>
  <c r="N1162" i="10"/>
  <c r="P1162" i="10" s="1"/>
  <c r="N1163" i="10"/>
  <c r="P1163" i="10" s="1"/>
  <c r="N1164" i="10"/>
  <c r="P1164" i="10" s="1"/>
  <c r="N1165" i="10"/>
  <c r="P1165" i="10" s="1"/>
  <c r="N1166" i="10"/>
  <c r="P1166" i="10" s="1"/>
  <c r="N1167" i="10"/>
  <c r="P1167" i="10" s="1"/>
  <c r="N1168" i="10"/>
  <c r="P1168" i="10" s="1"/>
  <c r="N1169" i="10"/>
  <c r="P1169" i="10" s="1"/>
  <c r="N1170" i="10"/>
  <c r="P1170" i="10" s="1"/>
  <c r="N1171" i="10"/>
  <c r="P1171" i="10" s="1"/>
  <c r="N1172" i="10"/>
  <c r="P1172" i="10" s="1"/>
  <c r="N1173" i="10"/>
  <c r="P1173" i="10" s="1"/>
  <c r="N1174" i="10"/>
  <c r="P1174" i="10" s="1"/>
  <c r="N1175" i="10"/>
  <c r="P1175" i="10" s="1"/>
  <c r="N1176" i="10"/>
  <c r="P1176" i="10" s="1"/>
  <c r="N1177" i="10"/>
  <c r="P1177" i="10" s="1"/>
  <c r="N1178" i="10"/>
  <c r="P1178" i="10" s="1"/>
  <c r="N1179" i="10"/>
  <c r="P1179" i="10" s="1"/>
  <c r="N1180" i="10"/>
  <c r="P1180" i="10" s="1"/>
  <c r="N1181" i="10"/>
  <c r="P1181" i="10" s="1"/>
  <c r="N1182" i="10"/>
  <c r="P1182" i="10" s="1"/>
  <c r="N1183" i="10"/>
  <c r="P1183" i="10" s="1"/>
  <c r="N1184" i="10"/>
  <c r="P1184" i="10" s="1"/>
  <c r="N1185" i="10"/>
  <c r="P1185" i="10" s="1"/>
  <c r="N1186" i="10"/>
  <c r="P1186" i="10" s="1"/>
  <c r="N1187" i="10"/>
  <c r="P1187" i="10" s="1"/>
  <c r="N1188" i="10"/>
  <c r="P1188" i="10" s="1"/>
  <c r="N1189" i="10"/>
  <c r="P1189" i="10" s="1"/>
  <c r="N1190" i="10"/>
  <c r="P1190" i="10" s="1"/>
  <c r="N1191" i="10"/>
  <c r="P1191" i="10" s="1"/>
  <c r="N1192" i="10"/>
  <c r="P1192" i="10" s="1"/>
  <c r="N1193" i="10"/>
  <c r="P1193" i="10" s="1"/>
  <c r="N1194" i="10"/>
  <c r="P1194" i="10" s="1"/>
  <c r="N1195" i="10"/>
  <c r="P1195" i="10" s="1"/>
  <c r="N1196" i="10"/>
  <c r="P1196" i="10" s="1"/>
  <c r="N1197" i="10"/>
  <c r="P1197" i="10" s="1"/>
  <c r="N1198" i="10"/>
  <c r="P1198" i="10" s="1"/>
  <c r="N1199" i="10"/>
  <c r="P1199" i="10" s="1"/>
  <c r="N1200" i="10"/>
  <c r="P1200" i="10" s="1"/>
  <c r="N1201" i="10"/>
  <c r="P1201" i="10" s="1"/>
  <c r="N1202" i="10"/>
  <c r="P1202" i="10" s="1"/>
  <c r="N3" i="10"/>
  <c r="P3" i="10" s="1"/>
</calcChain>
</file>

<file path=xl/sharedStrings.xml><?xml version="1.0" encoding="utf-8"?>
<sst xmlns="http://schemas.openxmlformats.org/spreadsheetml/2006/main" count="19364" uniqueCount="1274">
  <si>
    <t>Order_ID</t>
  </si>
  <si>
    <t>Order_Date</t>
  </si>
  <si>
    <t>Product</t>
  </si>
  <si>
    <t>Category</t>
  </si>
  <si>
    <t>Channel</t>
  </si>
  <si>
    <t>Region</t>
  </si>
  <si>
    <t>Customer_Type</t>
  </si>
  <si>
    <t>Campaign</t>
  </si>
  <si>
    <t>Quantity</t>
  </si>
  <si>
    <t>Unit_Price_NGN</t>
  </si>
  <si>
    <t>Discount_Pct</t>
  </si>
  <si>
    <t>Gross_Sales_NGN</t>
  </si>
  <si>
    <t>Discount_Amount_NGN</t>
  </si>
  <si>
    <t>Net_Sales_NGN</t>
  </si>
  <si>
    <t>Estimated_Cost_NGN</t>
  </si>
  <si>
    <t>Estimated_Profit_NGN</t>
  </si>
  <si>
    <t>Month</t>
  </si>
  <si>
    <t>Year</t>
  </si>
  <si>
    <t>Month_Number</t>
  </si>
  <si>
    <t>ORD-00559</t>
  </si>
  <si>
    <t>Belt</t>
  </si>
  <si>
    <t>Accessories</t>
  </si>
  <si>
    <t>Physical Store</t>
  </si>
  <si>
    <t>Oyo</t>
  </si>
  <si>
    <t>Returning</t>
  </si>
  <si>
    <t>None</t>
  </si>
  <si>
    <t>Jan</t>
  </si>
  <si>
    <t>ORD-00743</t>
  </si>
  <si>
    <t>Sneakers</t>
  </si>
  <si>
    <t>Footwear</t>
  </si>
  <si>
    <t>Delta</t>
  </si>
  <si>
    <t>New</t>
  </si>
  <si>
    <t>ORD-00146</t>
  </si>
  <si>
    <t>Jeans</t>
  </si>
  <si>
    <t>Clothing</t>
  </si>
  <si>
    <t>Rivers</t>
  </si>
  <si>
    <t>ORD-00189</t>
  </si>
  <si>
    <t>Abuja</t>
  </si>
  <si>
    <t>ORD-01178</t>
  </si>
  <si>
    <t>ORD-01138</t>
  </si>
  <si>
    <t>Lagos</t>
  </si>
  <si>
    <t>ORD-00723</t>
  </si>
  <si>
    <t>Website</t>
  </si>
  <si>
    <t>ORD-00990</t>
  </si>
  <si>
    <t>WhatsApp</t>
  </si>
  <si>
    <t>ORD-00308</t>
  </si>
  <si>
    <t>Cap</t>
  </si>
  <si>
    <t>ORD-00773</t>
  </si>
  <si>
    <t>Polo Shirt</t>
  </si>
  <si>
    <t>ORD-00720</t>
  </si>
  <si>
    <t>T-Shirt</t>
  </si>
  <si>
    <t>ORD-00955</t>
  </si>
  <si>
    <t>ORD-00656</t>
  </si>
  <si>
    <t>ORD-00195</t>
  </si>
  <si>
    <t>ORD-00528</t>
  </si>
  <si>
    <t>ORD-00752</t>
  </si>
  <si>
    <t>Instagram</t>
  </si>
  <si>
    <t>ORD-00830</t>
  </si>
  <si>
    <t>ORD-01155</t>
  </si>
  <si>
    <t>ORD-01027</t>
  </si>
  <si>
    <t>ORD-00381</t>
  </si>
  <si>
    <t>ORD-01066</t>
  </si>
  <si>
    <t>ORD-00756</t>
  </si>
  <si>
    <t>ORD-00039</t>
  </si>
  <si>
    <t>Sandals</t>
  </si>
  <si>
    <t>ORD-00820</t>
  </si>
  <si>
    <t>ORD-00075</t>
  </si>
  <si>
    <t>ORD-01112</t>
  </si>
  <si>
    <t>ORD-00242</t>
  </si>
  <si>
    <t>ORD-00261</t>
  </si>
  <si>
    <t>ORD-00916</t>
  </si>
  <si>
    <t>Dress</t>
  </si>
  <si>
    <t>ORD-00282</t>
  </si>
  <si>
    <t>ORD-00033</t>
  </si>
  <si>
    <t>ORD-00017</t>
  </si>
  <si>
    <t>Hoodie</t>
  </si>
  <si>
    <t>ORD-00358</t>
  </si>
  <si>
    <t>ORD-00834</t>
  </si>
  <si>
    <t>ORD-00689</t>
  </si>
  <si>
    <t>ORD-00886</t>
  </si>
  <si>
    <t>ORD-01052</t>
  </si>
  <si>
    <t>ORD-01007</t>
  </si>
  <si>
    <t>Handbag</t>
  </si>
  <si>
    <t>ORD-00230</t>
  </si>
  <si>
    <t>ORD-00665</t>
  </si>
  <si>
    <t>ORD-00681</t>
  </si>
  <si>
    <t>ORD-01123</t>
  </si>
  <si>
    <t>ORD-00456</t>
  </si>
  <si>
    <t>ORD-00993</t>
  </si>
  <si>
    <t>ORD-01025</t>
  </si>
  <si>
    <t>ORD-00910</t>
  </si>
  <si>
    <t>Feb</t>
  </si>
  <si>
    <t>ORD-00696</t>
  </si>
  <si>
    <t>ORD-00566</t>
  </si>
  <si>
    <t>Valentine Promo</t>
  </si>
  <si>
    <t>ORD-01002</t>
  </si>
  <si>
    <t>ORD-00048</t>
  </si>
  <si>
    <t>ORD-00384</t>
  </si>
  <si>
    <t>ORD-00280</t>
  </si>
  <si>
    <t>ORD-01199</t>
  </si>
  <si>
    <t>ORD-00409</t>
  </si>
  <si>
    <t>ORD-00226</t>
  </si>
  <si>
    <t>ORD-01195</t>
  </si>
  <si>
    <t>ORD-01107</t>
  </si>
  <si>
    <t>ORD-00467</t>
  </si>
  <si>
    <t>ORD-01191</t>
  </si>
  <si>
    <t>ORD-00087</t>
  </si>
  <si>
    <t>ORD-00513</t>
  </si>
  <si>
    <t>ORD-01000</t>
  </si>
  <si>
    <t>ORD-00999</t>
  </si>
  <si>
    <t>ORD-01051</t>
  </si>
  <si>
    <t>ORD-00617</t>
  </si>
  <si>
    <t>ORD-01075</t>
  </si>
  <si>
    <t>ORD-00645</t>
  </si>
  <si>
    <t>ORD-00494</t>
  </si>
  <si>
    <t>ORD-00821</t>
  </si>
  <si>
    <t>ORD-00313</t>
  </si>
  <si>
    <t>ORD-00652</t>
  </si>
  <si>
    <t>ORD-00292</t>
  </si>
  <si>
    <t>ORD-00855</t>
  </si>
  <si>
    <t>ORD-00560</t>
  </si>
  <si>
    <t>ORD-00614</t>
  </si>
  <si>
    <t>ORD-01168</t>
  </si>
  <si>
    <t>ORD-00200</t>
  </si>
  <si>
    <t>ORD-00932</t>
  </si>
  <si>
    <t>ORD-01033</t>
  </si>
  <si>
    <t>ORD-00927</t>
  </si>
  <si>
    <t>ORD-00661</t>
  </si>
  <si>
    <t>ORD-00485</t>
  </si>
  <si>
    <t>ORD-00981</t>
  </si>
  <si>
    <t>ORD-00629</t>
  </si>
  <si>
    <t>Mar</t>
  </si>
  <si>
    <t>ORD-01151</t>
  </si>
  <si>
    <t>Easter Sale</t>
  </si>
  <si>
    <t>ORD-01049</t>
  </si>
  <si>
    <t>ORD-00414</t>
  </si>
  <si>
    <t>ORD-01176</t>
  </si>
  <si>
    <t>ORD-00890</t>
  </si>
  <si>
    <t>ORD-00540</t>
  </si>
  <si>
    <t>ORD-00076</t>
  </si>
  <si>
    <t>ORD-00690</t>
  </si>
  <si>
    <t>ORD-00612</t>
  </si>
  <si>
    <t>ORD-01038</t>
  </si>
  <si>
    <t>ORD-00829</t>
  </si>
  <si>
    <t>ORD-01045</t>
  </si>
  <si>
    <t>ORD-00996</t>
  </si>
  <si>
    <t>ORD-00722</t>
  </si>
  <si>
    <t>ORD-00587</t>
  </si>
  <si>
    <t>ORD-00875</t>
  </si>
  <si>
    <t>ORD-00423</t>
  </si>
  <si>
    <t>ORD-00775</t>
  </si>
  <si>
    <t>ORD-00666</t>
  </si>
  <si>
    <t>ORD-00490</t>
  </si>
  <si>
    <t>ORD-00604</t>
  </si>
  <si>
    <t>ORD-00962</t>
  </si>
  <si>
    <t>ORD-00557</t>
  </si>
  <si>
    <t>ORD-00684</t>
  </si>
  <si>
    <t>ORD-00931</t>
  </si>
  <si>
    <t>ORD-00007</t>
  </si>
  <si>
    <t>ORD-00780</t>
  </si>
  <si>
    <t>ORD-00508</t>
  </si>
  <si>
    <t>ORD-00744</t>
  </si>
  <si>
    <t>ORD-00387</t>
  </si>
  <si>
    <t>ORD-00465</t>
  </si>
  <si>
    <t>ORD-00044</t>
  </si>
  <si>
    <t>Apr</t>
  </si>
  <si>
    <t>ORD-00627</t>
  </si>
  <si>
    <t>ORD-00347</t>
  </si>
  <si>
    <t>ORD-00825</t>
  </si>
  <si>
    <t>ORD-00621</t>
  </si>
  <si>
    <t>ORD-00567</t>
  </si>
  <si>
    <t>ORD-00407</t>
  </si>
  <si>
    <t>ORD-00118</t>
  </si>
  <si>
    <t>ORD-00944</t>
  </si>
  <si>
    <t>ORD-01032</t>
  </si>
  <si>
    <t>ORD-00593</t>
  </si>
  <si>
    <t>ORD-00098</t>
  </si>
  <si>
    <t>ORD-00206</t>
  </si>
  <si>
    <t>ORD-00247</t>
  </si>
  <si>
    <t>ORD-01057</t>
  </si>
  <si>
    <t>ORD-00589</t>
  </si>
  <si>
    <t>ORD-00203</t>
  </si>
  <si>
    <t>ORD-00795</t>
  </si>
  <si>
    <t>ORD-00544</t>
  </si>
  <si>
    <t>ORD-00650</t>
  </si>
  <si>
    <t>ORD-01055</t>
  </si>
  <si>
    <t>ORD-00692</t>
  </si>
  <si>
    <t>ORD-00438</t>
  </si>
  <si>
    <t>ORD-00693</t>
  </si>
  <si>
    <t>ORD-00618</t>
  </si>
  <si>
    <t>ORD-00695</t>
  </si>
  <si>
    <t>ORD-00740</t>
  </si>
  <si>
    <t>ORD-00145</t>
  </si>
  <si>
    <t>ORD-00923</t>
  </si>
  <si>
    <t>ORD-00393</t>
  </si>
  <si>
    <t>ORD-00326</t>
  </si>
  <si>
    <t>ORD-00870</t>
  </si>
  <si>
    <t>ORD-00573</t>
  </si>
  <si>
    <t>ORD-00725</t>
  </si>
  <si>
    <t>ORD-00322</t>
  </si>
  <si>
    <t>ORD-00004</t>
  </si>
  <si>
    <t>May</t>
  </si>
  <si>
    <t>ORD-00156</t>
  </si>
  <si>
    <t>ORD-00685</t>
  </si>
  <si>
    <t>ORD-00616</t>
  </si>
  <si>
    <t>ORD-00851</t>
  </si>
  <si>
    <t>ORD-00260</t>
  </si>
  <si>
    <t>ORD-00982</t>
  </si>
  <si>
    <t>ORD-00998</t>
  </si>
  <si>
    <t>ORD-00824</t>
  </si>
  <si>
    <t>ORD-01020</t>
  </si>
  <si>
    <t>ORD-01054</t>
  </si>
  <si>
    <t>ORD-01100</t>
  </si>
  <si>
    <t>ORD-00009</t>
  </si>
  <si>
    <t>ORD-00777</t>
  </si>
  <si>
    <t>ORD-00605</t>
  </si>
  <si>
    <t>ORD-00484</t>
  </si>
  <si>
    <t>ORD-00089</t>
  </si>
  <si>
    <t>ORD-01085</t>
  </si>
  <si>
    <t>ORD-00608</t>
  </si>
  <si>
    <t>ORD-00747</t>
  </si>
  <si>
    <t>ORD-00741</t>
  </si>
  <si>
    <t>ORD-00841</t>
  </si>
  <si>
    <t>ORD-00788</t>
  </si>
  <si>
    <t>ORD-00165</t>
  </si>
  <si>
    <t>ORD-00429</t>
  </si>
  <si>
    <t>ORD-00184</t>
  </si>
  <si>
    <t>ORD-00688</t>
  </si>
  <si>
    <t>ORD-00791</t>
  </si>
  <si>
    <t>ORD-01141</t>
  </si>
  <si>
    <t>ORD-00536</t>
  </si>
  <si>
    <t>ORD-00959</t>
  </si>
  <si>
    <t>ORD-00173</t>
  </si>
  <si>
    <t>ORD-00899</t>
  </si>
  <si>
    <t>ORD-01026</t>
  </si>
  <si>
    <t>ORD-00294</t>
  </si>
  <si>
    <t>ORD-00182</t>
  </si>
  <si>
    <t>ORD-00958</t>
  </si>
  <si>
    <t>ORD-00199</t>
  </si>
  <si>
    <t>ORD-00207</t>
  </si>
  <si>
    <t>Mid-Year Sale</t>
  </si>
  <si>
    <t>Jun</t>
  </si>
  <si>
    <t>ORD-01044</t>
  </si>
  <si>
    <t>ORD-00341</t>
  </si>
  <si>
    <t>ORD-00569</t>
  </si>
  <si>
    <t>ORD-00268</t>
  </si>
  <si>
    <t>ORD-00894</t>
  </si>
  <si>
    <t>ORD-00805</t>
  </si>
  <si>
    <t>ORD-00243</t>
  </si>
  <si>
    <t>ORD-00372</t>
  </si>
  <si>
    <t>ORD-01179</t>
  </si>
  <si>
    <t>ORD-00213</t>
  </si>
  <si>
    <t>ORD-00056</t>
  </si>
  <si>
    <t>ORD-00930</t>
  </si>
  <si>
    <t>ORD-00948</t>
  </si>
  <si>
    <t>ORD-00599</t>
  </si>
  <si>
    <t>ORD-00035</t>
  </si>
  <si>
    <t>ORD-00464</t>
  </si>
  <si>
    <t>ORD-01010</t>
  </si>
  <si>
    <t>ORD-00452</t>
  </si>
  <si>
    <t>ORD-01189</t>
  </si>
  <si>
    <t>ORD-00754</t>
  </si>
  <si>
    <t>ORD-01056</t>
  </si>
  <si>
    <t>ORD-00734</t>
  </si>
  <si>
    <t>ORD-00468</t>
  </si>
  <si>
    <t>ORD-00488</t>
  </si>
  <si>
    <t>ORD-00420</t>
  </si>
  <si>
    <t>ORD-00888</t>
  </si>
  <si>
    <t>ORD-00538</t>
  </si>
  <si>
    <t>ORD-00252</t>
  </si>
  <si>
    <t>ORD-00949</t>
  </si>
  <si>
    <t>ORD-01104</t>
  </si>
  <si>
    <t>Jul</t>
  </si>
  <si>
    <t>ORD-00609</t>
  </si>
  <si>
    <t>ORD-00167</t>
  </si>
  <si>
    <t>ORD-01150</t>
  </si>
  <si>
    <t>ORD-01029</t>
  </si>
  <si>
    <t>ORD-01099</t>
  </si>
  <si>
    <t>ORD-00071</t>
  </si>
  <si>
    <t>ORD-00132</t>
  </si>
  <si>
    <t>ORD-00479</t>
  </si>
  <si>
    <t>ORD-00026</t>
  </si>
  <si>
    <t>ORD-00256</t>
  </si>
  <si>
    <t>ORD-00403</t>
  </si>
  <si>
    <t>ORD-00730</t>
  </si>
  <si>
    <t>ORD-00920</t>
  </si>
  <si>
    <t>ORD-00811</t>
  </si>
  <si>
    <t>ORD-00797</t>
  </si>
  <si>
    <t>ORD-00162</t>
  </si>
  <si>
    <t>ORD-01043</t>
  </si>
  <si>
    <t>ORD-00090</t>
  </si>
  <si>
    <t>ORD-00057</t>
  </si>
  <si>
    <t>ORD-00868</t>
  </si>
  <si>
    <t>ORD-00492</t>
  </si>
  <si>
    <t>ORD-00155</t>
  </si>
  <si>
    <t>ORD-00615</t>
  </si>
  <si>
    <t>ORD-00049</t>
  </si>
  <si>
    <t>ORD-00111</t>
  </si>
  <si>
    <t>ORD-00197</t>
  </si>
  <si>
    <t>ORD-00646</t>
  </si>
  <si>
    <t>Aug</t>
  </si>
  <si>
    <t>ORD-00906</t>
  </si>
  <si>
    <t>ORD-01177</t>
  </si>
  <si>
    <t>ORD-00818</t>
  </si>
  <si>
    <t>ORD-01067</t>
  </si>
  <si>
    <t>ORD-00460</t>
  </si>
  <si>
    <t>ORD-00069</t>
  </si>
  <si>
    <t>ORD-00411</t>
  </si>
  <si>
    <t>ORD-00840</t>
  </si>
  <si>
    <t>ORD-00352</t>
  </si>
  <si>
    <t>ORD-01163</t>
  </si>
  <si>
    <t>ORD-00148</t>
  </si>
  <si>
    <t>ORD-00537</t>
  </si>
  <si>
    <t>ORD-00738</t>
  </si>
  <si>
    <t>ORD-00231</t>
  </si>
  <si>
    <t>ORD-01157</t>
  </si>
  <si>
    <t>ORD-01161</t>
  </si>
  <si>
    <t>ORD-00694</t>
  </si>
  <si>
    <t>ORD-00817</t>
  </si>
  <si>
    <t>ORD-00717</t>
  </si>
  <si>
    <t>ORD-00227</t>
  </si>
  <si>
    <t>ORD-00120</t>
  </si>
  <si>
    <t>ORD-00085</t>
  </si>
  <si>
    <t>ORD-00691</t>
  </si>
  <si>
    <t>ORD-00638</t>
  </si>
  <si>
    <t>ORD-00444</t>
  </si>
  <si>
    <t>ORD-00763</t>
  </si>
  <si>
    <t>ORD-00577</t>
  </si>
  <si>
    <t>ORD-00988</t>
  </si>
  <si>
    <t>ORD-00647</t>
  </si>
  <si>
    <t>ORD-00040</t>
  </si>
  <si>
    <t>ORD-00714</t>
  </si>
  <si>
    <t>ORD-00873</t>
  </si>
  <si>
    <t>ORD-01127</t>
  </si>
  <si>
    <t>Sep</t>
  </si>
  <si>
    <t>ORD-00271</t>
  </si>
  <si>
    <t>ORD-00340</t>
  </si>
  <si>
    <t>ORD-00153</t>
  </si>
  <si>
    <t>ORD-00644</t>
  </si>
  <si>
    <t>ORD-00598</t>
  </si>
  <si>
    <t>ORD-01081</t>
  </si>
  <si>
    <t>ORD-00570</t>
  </si>
  <si>
    <t>ORD-01119</t>
  </si>
  <si>
    <t>ORD-00018</t>
  </si>
  <si>
    <t>ORD-00257</t>
  </si>
  <si>
    <t>ORD-00191</t>
  </si>
  <si>
    <t>ORD-00204</t>
  </si>
  <si>
    <t>ORD-00525</t>
  </si>
  <si>
    <t>ORD-00369</t>
  </si>
  <si>
    <t>ORD-00749</t>
  </si>
  <si>
    <t>ORD-01167</t>
  </si>
  <si>
    <t>ORD-00971</t>
  </si>
  <si>
    <t>ORD-00753</t>
  </si>
  <si>
    <t>ORD-00183</t>
  </si>
  <si>
    <t>ORD-00305</t>
  </si>
  <si>
    <t>ORD-00424</t>
  </si>
  <si>
    <t>ORD-01132</t>
  </si>
  <si>
    <t>ORD-00575</t>
  </si>
  <si>
    <t>ORD-01012</t>
  </si>
  <si>
    <t>ORD-00318</t>
  </si>
  <si>
    <t>ORD-00059</t>
  </si>
  <si>
    <t>ORD-00770</t>
  </si>
  <si>
    <t>ORD-01130</t>
  </si>
  <si>
    <t>ORD-01060</t>
  </si>
  <si>
    <t>Oct</t>
  </si>
  <si>
    <t>ORD-00015</t>
  </si>
  <si>
    <t>ORD-00706</t>
  </si>
  <si>
    <t>ORD-00410</t>
  </si>
  <si>
    <t>ORD-00160</t>
  </si>
  <si>
    <t>ORD-00249</t>
  </si>
  <si>
    <t>ORD-00625</t>
  </si>
  <si>
    <t>ORD-00233</t>
  </si>
  <si>
    <t>ORD-00889</t>
  </si>
  <si>
    <t>ORD-00912</t>
  </si>
  <si>
    <t>ORD-00379</t>
  </si>
  <si>
    <t>ORD-00914</t>
  </si>
  <si>
    <t>ORD-00810</t>
  </si>
  <si>
    <t>ORD-00083</t>
  </si>
  <si>
    <t>ORD-01142</t>
  </si>
  <si>
    <t>ORD-00159</t>
  </si>
  <si>
    <t>ORD-00782</t>
  </si>
  <si>
    <t>ORD-00063</t>
  </si>
  <si>
    <t>ORD-01047</t>
  </si>
  <si>
    <t>ORD-00837</t>
  </si>
  <si>
    <t>ORD-00251</t>
  </si>
  <si>
    <t>ORD-00659</t>
  </si>
  <si>
    <t>ORD-00297</t>
  </si>
  <si>
    <t>ORD-01115</t>
  </si>
  <si>
    <t>Black Friday</t>
  </si>
  <si>
    <t>Nov</t>
  </si>
  <si>
    <t>ORD-00935</t>
  </si>
  <si>
    <t>ORD-00869</t>
  </si>
  <si>
    <t>ORD-00295</t>
  </si>
  <si>
    <t>ORD-00703</t>
  </si>
  <si>
    <t>ORD-00038</t>
  </si>
  <si>
    <t>ORD-00762</t>
  </si>
  <si>
    <t>ORD-00138</t>
  </si>
  <si>
    <t>ORD-01126</t>
  </si>
  <si>
    <t>ORD-00746</t>
  </si>
  <si>
    <t>ORD-00757</t>
  </si>
  <si>
    <t>ORD-00283</t>
  </si>
  <si>
    <t>ORD-00822</t>
  </si>
  <si>
    <t>ORD-01140</t>
  </si>
  <si>
    <t>ORD-00735</t>
  </si>
  <si>
    <t>ORD-00904</t>
  </si>
  <si>
    <t>ORD-01196</t>
  </si>
  <si>
    <t>ORD-00938</t>
  </si>
  <si>
    <t>ORD-01182</t>
  </si>
  <si>
    <t>ORD-00758</t>
  </si>
  <si>
    <t>ORD-00956</t>
  </si>
  <si>
    <t>ORD-01065</t>
  </si>
  <si>
    <t>ORD-00006</t>
  </si>
  <si>
    <t>ORD-00764</t>
  </si>
  <si>
    <t>ORD-01083</t>
  </si>
  <si>
    <t>ORD-00368</t>
  </si>
  <si>
    <t>Christmas Promo</t>
  </si>
  <si>
    <t>Dec</t>
  </si>
  <si>
    <t>ORD-00653</t>
  </si>
  <si>
    <t>ORD-00210</t>
  </si>
  <si>
    <t>ORD-00065</t>
  </si>
  <si>
    <t>ORD-00178</t>
  </si>
  <si>
    <t>ORD-01068</t>
  </si>
  <si>
    <t>ORD-00457</t>
  </si>
  <si>
    <t>ORD-01135</t>
  </si>
  <si>
    <t>ORD-00355</t>
  </si>
  <si>
    <t>ORD-01006</t>
  </si>
  <si>
    <t>ORD-00900</t>
  </si>
  <si>
    <t>ORD-00011</t>
  </si>
  <si>
    <t>ORD-00640</t>
  </si>
  <si>
    <t>ORD-00836</t>
  </si>
  <si>
    <t>ORD-00185</t>
  </si>
  <si>
    <t>ORD-00879</t>
  </si>
  <si>
    <t>ORD-00478</t>
  </si>
  <si>
    <t>ORD-00649</t>
  </si>
  <si>
    <t>ORD-00710</t>
  </si>
  <si>
    <t>ORD-00848</t>
  </si>
  <si>
    <t>ORD-00357</t>
  </si>
  <si>
    <t>ORD-00502</t>
  </si>
  <si>
    <t>ORD-00623</t>
  </si>
  <si>
    <t>ORD-00676</t>
  </si>
  <si>
    <t>ORD-00838</t>
  </si>
  <si>
    <t>ORD-01106</t>
  </si>
  <si>
    <t>ORD-01041</t>
  </si>
  <si>
    <t>ORD-00667</t>
  </si>
  <si>
    <t>ORD-00319</t>
  </si>
  <si>
    <t>ORD-00864</t>
  </si>
  <si>
    <t>ORD-01092</t>
  </si>
  <si>
    <t>ORD-00505</t>
  </si>
  <si>
    <t>ORD-00534</t>
  </si>
  <si>
    <t>ORD-01070</t>
  </si>
  <si>
    <t>ORD-01139</t>
  </si>
  <si>
    <t>ORD-00765</t>
  </si>
  <si>
    <t>ORD-01131</t>
  </si>
  <si>
    <t>ORD-00084</t>
  </si>
  <si>
    <t>ORD-00375</t>
  </si>
  <si>
    <t>ORD-00072</t>
  </si>
  <si>
    <t>ORD-00150</t>
  </si>
  <si>
    <t>ORD-00546</t>
  </si>
  <si>
    <t>ORD-00013</t>
  </si>
  <si>
    <t>ORD-00876</t>
  </si>
  <si>
    <t>ORD-00477</t>
  </si>
  <si>
    <t>ORD-00036</t>
  </si>
  <si>
    <t>ORD-00578</t>
  </si>
  <si>
    <t>ORD-01136</t>
  </si>
  <si>
    <t>ORD-00523</t>
  </si>
  <si>
    <t>ORD-01082</t>
  </si>
  <si>
    <t>ORD-00799</t>
  </si>
  <si>
    <t>ORD-00081</t>
  </si>
  <si>
    <t>ORD-00110</t>
  </si>
  <si>
    <t>ORD-00970</t>
  </si>
  <si>
    <t>ORD-00839</t>
  </si>
  <si>
    <t>ORD-00421</t>
  </si>
  <si>
    <t>ORD-00432</t>
  </si>
  <si>
    <t>ORD-00380</t>
  </si>
  <si>
    <t>ORD-00417</t>
  </si>
  <si>
    <t>ORD-00107</t>
  </si>
  <si>
    <t>ORD-00441</t>
  </si>
  <si>
    <t>ORD-00215</t>
  </si>
  <si>
    <t>ORD-01147</t>
  </si>
  <si>
    <t>ORD-00285</t>
  </si>
  <si>
    <t>ORD-00157</t>
  </si>
  <si>
    <t>ORD-01079</t>
  </si>
  <si>
    <t>ORD-00581</t>
  </si>
  <si>
    <t>ORD-00217</t>
  </si>
  <si>
    <t>ORD-00054</t>
  </si>
  <si>
    <t>ORD-00781</t>
  </si>
  <si>
    <t>ORD-01095</t>
  </si>
  <si>
    <t>ORD-00172</t>
  </si>
  <si>
    <t>ORD-00198</t>
  </si>
  <si>
    <t>ORD-00547</t>
  </si>
  <si>
    <t>ORD-01037</t>
  </si>
  <si>
    <t>ORD-00096</t>
  </si>
  <si>
    <t>ORD-00276</t>
  </si>
  <si>
    <t>ORD-00396</t>
  </si>
  <si>
    <t>ORD-01118</t>
  </si>
  <si>
    <t>ORD-00878</t>
  </si>
  <si>
    <t>ORD-00392</t>
  </si>
  <si>
    <t>ORD-01173</t>
  </si>
  <si>
    <t>ORD-00082</t>
  </si>
  <si>
    <t>ORD-00859</t>
  </si>
  <si>
    <t>ORD-00804</t>
  </si>
  <si>
    <t>ORD-00785</t>
  </si>
  <si>
    <t>ORD-00700</t>
  </si>
  <si>
    <t>ORD-00913</t>
  </si>
  <si>
    <t>ORD-00354</t>
  </si>
  <si>
    <t>ORD-01143</t>
  </si>
  <si>
    <t>ORD-00588</t>
  </si>
  <si>
    <t>ORD-00596</t>
  </si>
  <si>
    <t>ORD-00907</t>
  </si>
  <si>
    <t>ORD-00229</t>
  </si>
  <si>
    <t>ORD-00572</t>
  </si>
  <si>
    <t>ORD-00992</t>
  </si>
  <si>
    <t>ORD-00141</t>
  </si>
  <si>
    <t>ORD-00362</t>
  </si>
  <si>
    <t>ORD-00937</t>
  </si>
  <si>
    <t>ORD-00302</t>
  </si>
  <si>
    <t>ORD-00422</t>
  </si>
  <si>
    <t>ORD-00462</t>
  </si>
  <si>
    <t>ORD-00597</t>
  </si>
  <si>
    <t>ORD-00563</t>
  </si>
  <si>
    <t>ORD-00527</t>
  </si>
  <si>
    <t>ORD-00947</t>
  </si>
  <si>
    <t>ORD-00192</t>
  </si>
  <si>
    <t>ORD-00236</t>
  </si>
  <si>
    <t>ORD-00350</t>
  </si>
  <si>
    <t>ORD-01198</t>
  </si>
  <si>
    <t>ORD-00425</t>
  </si>
  <si>
    <t>ORD-01014</t>
  </si>
  <si>
    <t>ORD-00061</t>
  </si>
  <si>
    <t>ORD-00473</t>
  </si>
  <si>
    <t>ORD-00401</t>
  </si>
  <si>
    <t>ORD-00558</t>
  </si>
  <si>
    <t>ORD-00016</t>
  </si>
  <si>
    <t>ORD-00221</t>
  </si>
  <si>
    <t>ORD-00518</t>
  </si>
  <si>
    <t>ORD-00168</t>
  </si>
  <si>
    <t>ORD-01073</t>
  </si>
  <si>
    <t>ORD-00005</t>
  </si>
  <si>
    <t>ORD-00721</t>
  </si>
  <si>
    <t>ORD-00950</t>
  </si>
  <si>
    <t>ORD-00223</t>
  </si>
  <si>
    <t>ORD-00288</t>
  </si>
  <si>
    <t>ORD-00969</t>
  </si>
  <si>
    <t>ORD-00496</t>
  </si>
  <si>
    <t>ORD-00181</t>
  </si>
  <si>
    <t>ORD-00664</t>
  </si>
  <si>
    <t>ORD-00353</t>
  </si>
  <si>
    <t>ORD-00021</t>
  </si>
  <si>
    <t>ORD-00877</t>
  </si>
  <si>
    <t>ORD-00550</t>
  </si>
  <si>
    <t>ORD-00901</t>
  </si>
  <si>
    <t>ORD-00472</t>
  </si>
  <si>
    <t>ORD-00244</t>
  </si>
  <si>
    <t>ORD-01125</t>
  </si>
  <si>
    <t>ORD-00802</t>
  </si>
  <si>
    <t>ORD-01042</t>
  </si>
  <si>
    <t>ORD-00680</t>
  </si>
  <si>
    <t>ORD-00119</t>
  </si>
  <si>
    <t>ORD-00334</t>
  </si>
  <si>
    <t>ORD-00565</t>
  </si>
  <si>
    <t>ORD-01074</t>
  </si>
  <si>
    <t>ORD-00175</t>
  </si>
  <si>
    <t>ORD-00269</t>
  </si>
  <si>
    <t>ORD-00946</t>
  </si>
  <si>
    <t>ORD-00450</t>
  </si>
  <si>
    <t>ORD-00073</t>
  </si>
  <si>
    <t>ORD-01113</t>
  </si>
  <si>
    <t>ORD-00989</t>
  </si>
  <si>
    <t>ORD-01108</t>
  </si>
  <si>
    <t>ORD-00250</t>
  </si>
  <si>
    <t>ORD-00370</t>
  </si>
  <si>
    <t>ORD-00382</t>
  </si>
  <si>
    <t>ORD-00458</t>
  </si>
  <si>
    <t>ORD-00921</t>
  </si>
  <si>
    <t>ORD-00515</t>
  </si>
  <si>
    <t>ORD-00793</t>
  </si>
  <si>
    <t>ORD-00105</t>
  </si>
  <si>
    <t>ORD-00095</t>
  </si>
  <si>
    <t>ORD-00727</t>
  </si>
  <si>
    <t>ORD-00480</t>
  </si>
  <si>
    <t>ORD-01166</t>
  </si>
  <si>
    <t>ORD-00046</t>
  </si>
  <si>
    <t>ORD-00205</t>
  </si>
  <si>
    <t>ORD-00459</t>
  </si>
  <si>
    <t>ORD-00023</t>
  </si>
  <si>
    <t>ORD-00545</t>
  </si>
  <si>
    <t>ORD-00284</t>
  </si>
  <si>
    <t>ORD-00331</t>
  </si>
  <si>
    <t>ORD-00767</t>
  </si>
  <si>
    <t>ORD-00963</t>
  </si>
  <si>
    <t>ORD-00365</t>
  </si>
  <si>
    <t>ORD-00708</t>
  </si>
  <si>
    <t>ORD-00813</t>
  </si>
  <si>
    <t>ORD-00246</t>
  </si>
  <si>
    <t>ORD-00549</t>
  </si>
  <si>
    <t>ORD-00077</t>
  </si>
  <si>
    <t>ORD-01190</t>
  </si>
  <si>
    <t>ORD-00986</t>
  </si>
  <si>
    <t>ORD-00359</t>
  </si>
  <si>
    <t>ORD-00639</t>
  </si>
  <si>
    <t>ORD-01059</t>
  </si>
  <si>
    <t>ORD-00124</t>
  </si>
  <si>
    <t>ORD-00277</t>
  </si>
  <si>
    <t>ORD-00985</t>
  </si>
  <si>
    <t>ORD-00669</t>
  </si>
  <si>
    <t>ORD-00663</t>
  </si>
  <si>
    <t>ORD-00739</t>
  </si>
  <si>
    <t>ORD-00635</t>
  </si>
  <si>
    <t>ORD-00874</t>
  </si>
  <si>
    <t>ORD-00687</t>
  </si>
  <si>
    <t>ORD-00274</t>
  </si>
  <si>
    <t>ORD-00510</t>
  </si>
  <si>
    <t>ORD-00122</t>
  </si>
  <si>
    <t>ORD-00602</t>
  </si>
  <si>
    <t>ORD-00715</t>
  </si>
  <si>
    <t>ORD-01117</t>
  </si>
  <si>
    <t>ORD-00642</t>
  </si>
  <si>
    <t>ORD-00613</t>
  </si>
  <si>
    <t>ORD-00240</t>
  </si>
  <si>
    <t>ORD-00718</t>
  </si>
  <si>
    <t>ORD-00806</t>
  </si>
  <si>
    <t>ORD-00832</t>
  </si>
  <si>
    <t>ORD-00356</t>
  </si>
  <si>
    <t>ORD-00177</t>
  </si>
  <si>
    <t>ORD-00987</t>
  </si>
  <si>
    <t>ORD-00800</t>
  </si>
  <si>
    <t>ORD-00127</t>
  </si>
  <si>
    <t>ORD-00742</t>
  </si>
  <si>
    <t>ORD-00333</t>
  </si>
  <si>
    <t>ORD-00903</t>
  </si>
  <si>
    <t>ORD-00228</t>
  </si>
  <si>
    <t>ORD-00030</t>
  </si>
  <si>
    <t>ORD-01158</t>
  </si>
  <si>
    <t>ORD-00142</t>
  </si>
  <si>
    <t>ORD-00116</t>
  </si>
  <si>
    <t>ORD-00042</t>
  </si>
  <si>
    <t>ORD-00262</t>
  </si>
  <si>
    <t>ORD-00052</t>
  </si>
  <si>
    <t>ORD-00863</t>
  </si>
  <si>
    <t>ORD-00436</t>
  </si>
  <si>
    <t>ORD-00263</t>
  </si>
  <si>
    <t>ORD-00296</t>
  </si>
  <si>
    <t>ORD-00729</t>
  </si>
  <si>
    <t>ORD-00776</t>
  </si>
  <si>
    <t>ORD-00293</t>
  </si>
  <si>
    <t>ORD-00872</t>
  </si>
  <si>
    <t>ORD-00787</t>
  </si>
  <si>
    <t>ORD-01137</t>
  </si>
  <si>
    <t>ORD-00125</t>
  </si>
  <si>
    <t>ORD-00586</t>
  </si>
  <si>
    <t>ORD-00941</t>
  </si>
  <si>
    <t>ORD-00798</t>
  </si>
  <si>
    <t>ORD-01183</t>
  </si>
  <si>
    <t>ORD-00337</t>
  </si>
  <si>
    <t>ORD-01146</t>
  </si>
  <si>
    <t>ORD-00202</t>
  </si>
  <si>
    <t>ORD-01005</t>
  </si>
  <si>
    <t>ORD-00447</t>
  </si>
  <si>
    <t>ORD-00766</t>
  </si>
  <si>
    <t>ORD-00918</t>
  </si>
  <si>
    <t>ORD-00080</t>
  </si>
  <si>
    <t>ORD-00978</t>
  </si>
  <si>
    <t>ORD-01090</t>
  </si>
  <si>
    <t>ORD-00699</t>
  </si>
  <si>
    <t>ORD-00415</t>
  </si>
  <si>
    <t>ORD-00812</t>
  </si>
  <si>
    <t>ORD-00037</t>
  </si>
  <si>
    <t>ORD-00778</t>
  </si>
  <si>
    <t>ORD-00633</t>
  </si>
  <si>
    <t>ORD-00853</t>
  </si>
  <si>
    <t>ORD-00389</t>
  </si>
  <si>
    <t>ORD-00253</t>
  </si>
  <si>
    <t>ORD-00166</t>
  </si>
  <si>
    <t>ORD-01011</t>
  </si>
  <si>
    <t>ORD-00994</t>
  </si>
  <si>
    <t>ORD-00303</t>
  </si>
  <si>
    <t>ORD-00102</t>
  </si>
  <si>
    <t>ORD-00701</t>
  </si>
  <si>
    <t>ORD-01096</t>
  </si>
  <si>
    <t>ORD-00783</t>
  </si>
  <si>
    <t>ORD-00394</t>
  </si>
  <si>
    <t>ORD-01098</t>
  </si>
  <si>
    <t>ORD-00697</t>
  </si>
  <si>
    <t>ORD-01034</t>
  </si>
  <si>
    <t>ORD-00582</t>
  </si>
  <si>
    <t>ORD-00186</t>
  </si>
  <si>
    <t>ORD-00707</t>
  </si>
  <si>
    <t>ORD-00657</t>
  </si>
  <si>
    <t>ORD-00265</t>
  </si>
  <si>
    <t>ORD-00826</t>
  </si>
  <si>
    <t>ORD-00201</t>
  </si>
  <si>
    <t>ORD-00134</t>
  </si>
  <si>
    <t>ORD-01084</t>
  </si>
  <si>
    <t>ORD-00980</t>
  </si>
  <si>
    <t>ORD-00133</t>
  </si>
  <si>
    <t>ORD-00442</t>
  </si>
  <si>
    <t>ORD-00330</t>
  </si>
  <si>
    <t>ORD-00455</t>
  </si>
  <si>
    <t>ORD-00630</t>
  </si>
  <si>
    <t>ORD-01019</t>
  </si>
  <si>
    <t>ORD-01185</t>
  </si>
  <si>
    <t>ORD-00320</t>
  </si>
  <si>
    <t>ORD-00660</t>
  </si>
  <si>
    <t>ORD-00218</t>
  </si>
  <si>
    <t>ORD-00880</t>
  </si>
  <si>
    <t>ORD-00180</t>
  </si>
  <si>
    <t>ORD-00147</t>
  </si>
  <si>
    <t>ORD-00103</t>
  </si>
  <si>
    <t>ORD-00637</t>
  </si>
  <si>
    <t>ORD-00129</t>
  </si>
  <si>
    <t>ORD-00724</t>
  </si>
  <si>
    <t>ORD-01008</t>
  </si>
  <si>
    <t>ORD-00032</t>
  </si>
  <si>
    <t>ORD-00078</t>
  </si>
  <si>
    <t>ORD-00137</t>
  </si>
  <si>
    <t>ORD-00469</t>
  </si>
  <si>
    <t>ORD-00286</t>
  </si>
  <si>
    <t>ORD-00745</t>
  </si>
  <si>
    <t>ORD-00495</t>
  </si>
  <si>
    <t>ORD-00317</t>
  </si>
  <si>
    <t>ORD-00321</t>
  </si>
  <si>
    <t>ORD-00445</t>
  </si>
  <si>
    <t>ORD-00239</t>
  </si>
  <si>
    <t>ORD-00169</t>
  </si>
  <si>
    <t>ORD-01069</t>
  </si>
  <si>
    <t>ORD-00866</t>
  </si>
  <si>
    <t>ORD-00705</t>
  </si>
  <si>
    <t>ORD-00892</t>
  </si>
  <si>
    <t>ORD-00408</t>
  </si>
  <si>
    <t>ORD-00885</t>
  </si>
  <si>
    <t>ORD-01035</t>
  </si>
  <si>
    <t>ORD-00140</t>
  </si>
  <si>
    <t>ORD-00790</t>
  </si>
  <si>
    <t>ORD-00668</t>
  </si>
  <si>
    <t>ORD-00893</t>
  </si>
  <si>
    <t>ORD-00991</t>
  </si>
  <si>
    <t>ORD-00626</t>
  </si>
  <si>
    <t>ORD-00504</t>
  </si>
  <si>
    <t>ORD-00911</t>
  </si>
  <si>
    <t>ORD-00628</t>
  </si>
  <si>
    <t>ORD-00487</t>
  </si>
  <si>
    <t>ORD-00571</t>
  </si>
  <si>
    <t>ORD-01028</t>
  </si>
  <si>
    <t>ORD-00507</t>
  </si>
  <si>
    <t>ORD-00400</t>
  </si>
  <si>
    <t>ORD-00555</t>
  </si>
  <si>
    <t>ORD-00298</t>
  </si>
  <si>
    <t>ORD-00126</t>
  </si>
  <si>
    <t>ORD-00634</t>
  </si>
  <si>
    <t>ORD-00846</t>
  </si>
  <si>
    <t>ORD-00099</t>
  </si>
  <si>
    <t>ORD-00139</t>
  </si>
  <si>
    <t>ORD-00561</t>
  </si>
  <si>
    <t>ORD-00486</t>
  </si>
  <si>
    <t>ORD-00281</t>
  </si>
  <si>
    <t>ORD-00264</t>
  </si>
  <si>
    <t>ORD-00028</t>
  </si>
  <si>
    <t>ORD-01087</t>
  </si>
  <si>
    <t>ORD-00220</t>
  </si>
  <si>
    <t>ORD-01171</t>
  </si>
  <si>
    <t>ORD-00543</t>
  </si>
  <si>
    <t>ORD-00898</t>
  </si>
  <si>
    <t>ORD-00374</t>
  </si>
  <si>
    <t>ORD-00751</t>
  </si>
  <si>
    <t>ORD-01174</t>
  </si>
  <si>
    <t>ORD-00377</t>
  </si>
  <si>
    <t>ORD-00702</t>
  </si>
  <si>
    <t>ORD-01023</t>
  </si>
  <si>
    <t>ORD-01129</t>
  </si>
  <si>
    <t>ORD-00343</t>
  </si>
  <si>
    <t>ORD-00509</t>
  </si>
  <si>
    <t>ORD-00144</t>
  </si>
  <si>
    <t>ORD-00670</t>
  </si>
  <si>
    <t>ORD-00418</t>
  </si>
  <si>
    <t>ORD-00961</t>
  </si>
  <si>
    <t>ORD-00024</t>
  </si>
  <si>
    <t>ORD-00254</t>
  </si>
  <si>
    <t>ORD-01018</t>
  </si>
  <si>
    <t>ORD-00053</t>
  </si>
  <si>
    <t>ORD-00336</t>
  </si>
  <si>
    <t>ORD-01144</t>
  </si>
  <si>
    <t>ORD-00968</t>
  </si>
  <si>
    <t>ORD-00965</t>
  </si>
  <si>
    <t>ORD-00526</t>
  </si>
  <si>
    <t>ORD-00551</t>
  </si>
  <si>
    <t>ORD-01153</t>
  </si>
  <si>
    <t>ORD-00887</t>
  </si>
  <si>
    <t>ORD-01072</t>
  </si>
  <si>
    <t>ORD-00136</t>
  </si>
  <si>
    <t>ORD-01078</t>
  </si>
  <si>
    <t>ORD-00833</t>
  </si>
  <si>
    <t>ORD-01046</t>
  </si>
  <si>
    <t>ORD-00556</t>
  </si>
  <si>
    <t>ORD-00466</t>
  </si>
  <si>
    <t>ORD-00682</t>
  </si>
  <si>
    <t>ORD-00979</t>
  </si>
  <si>
    <t>ORD-00732</t>
  </si>
  <si>
    <t>ORD-00562</t>
  </si>
  <si>
    <t>ORD-00426</t>
  </si>
  <si>
    <t>ORD-00658</t>
  </si>
  <si>
    <t>ORD-00064</t>
  </si>
  <si>
    <t>ORD-00984</t>
  </si>
  <si>
    <t>ORD-01111</t>
  </si>
  <si>
    <t>ORD-00909</t>
  </si>
  <si>
    <t>ORD-00737</t>
  </si>
  <si>
    <t>ORD-00772</t>
  </si>
  <si>
    <t>ORD-00100</t>
  </si>
  <si>
    <t>ORD-00662</t>
  </si>
  <si>
    <t>ORD-00290</t>
  </si>
  <si>
    <t>ORD-01089</t>
  </si>
  <si>
    <t>ORD-01170</t>
  </si>
  <si>
    <t>ORD-00385</t>
  </si>
  <si>
    <t>ORD-00397</t>
  </si>
  <si>
    <t>ORD-00416</t>
  </si>
  <si>
    <t>ORD-00055</t>
  </si>
  <si>
    <t>ORD-00152</t>
  </si>
  <si>
    <t>ORD-01009</t>
  </si>
  <si>
    <t>ORD-00511</t>
  </si>
  <si>
    <t>ORD-00519</t>
  </si>
  <si>
    <t>ORD-00443</t>
  </si>
  <si>
    <t>ORD-00427</t>
  </si>
  <si>
    <t>ORD-00952</t>
  </si>
  <si>
    <t>ORD-00499</t>
  </si>
  <si>
    <t>ORD-00983</t>
  </si>
  <si>
    <t>ORD-01188</t>
  </si>
  <si>
    <t>ORD-00591</t>
  </si>
  <si>
    <t>ORD-00678</t>
  </si>
  <si>
    <t>ORD-00404</t>
  </si>
  <si>
    <t>ORD-01116</t>
  </si>
  <si>
    <t>ORD-00514</t>
  </si>
  <si>
    <t>ORD-00325</t>
  </si>
  <si>
    <t>ORD-00115</t>
  </si>
  <si>
    <t>ORD-01031</t>
  </si>
  <si>
    <t>ORD-00966</t>
  </si>
  <si>
    <t>ORD-00698</t>
  </si>
  <si>
    <t>ORD-00019</t>
  </si>
  <si>
    <t>ORD-01128</t>
  </si>
  <si>
    <t>ORD-00121</t>
  </si>
  <si>
    <t>ORD-00225</t>
  </si>
  <si>
    <t>ORD-00675</t>
  </si>
  <si>
    <t>ORD-01039</t>
  </si>
  <si>
    <t>ORD-00446</t>
  </si>
  <si>
    <t>ORD-00164</t>
  </si>
  <si>
    <t>ORD-00520</t>
  </si>
  <si>
    <t>ORD-01165</t>
  </si>
  <si>
    <t>ORD-00470</t>
  </si>
  <si>
    <t>ORD-00383</t>
  </si>
  <si>
    <t>ORD-00827</t>
  </si>
  <si>
    <t>ORD-01036</t>
  </si>
  <si>
    <t>ORD-01120</t>
  </si>
  <si>
    <t>ORD-00936</t>
  </si>
  <si>
    <t>ORD-00603</t>
  </si>
  <si>
    <t>ORD-00712</t>
  </si>
  <si>
    <t>ORD-00273</t>
  </si>
  <si>
    <t>ORD-00399</t>
  </si>
  <si>
    <t>ORD-00619</t>
  </si>
  <si>
    <t>ORD-00940</t>
  </si>
  <si>
    <t>ORD-00361</t>
  </si>
  <si>
    <t>ORD-00884</t>
  </si>
  <si>
    <t>ORD-00580</t>
  </si>
  <si>
    <t>ORD-00070</t>
  </si>
  <si>
    <t>ORD-00590</t>
  </si>
  <si>
    <t>ORD-00493</t>
  </si>
  <si>
    <t>ORD-00170</t>
  </si>
  <si>
    <t>ORD-00158</t>
  </si>
  <si>
    <t>ORD-00583</t>
  </si>
  <si>
    <t>ORD-00106</t>
  </si>
  <si>
    <t>ORD-00363</t>
  </si>
  <si>
    <t>ORD-00917</t>
  </si>
  <si>
    <t>ORD-00010</t>
  </si>
  <si>
    <t>ORD-00574</t>
  </si>
  <si>
    <t>ORD-00552</t>
  </si>
  <si>
    <t>ORD-01159</t>
  </si>
  <si>
    <t>ORD-00309</t>
  </si>
  <si>
    <t>ORD-00957</t>
  </si>
  <si>
    <t>ORD-00047</t>
  </si>
  <si>
    <t>ORD-00388</t>
  </si>
  <si>
    <t>ORD-00041</t>
  </si>
  <si>
    <t>ORD-00760</t>
  </si>
  <si>
    <t>ORD-01076</t>
  </si>
  <si>
    <t>ORD-00929</t>
  </si>
  <si>
    <t>ORD-00857</t>
  </si>
  <si>
    <t>ORD-00091</t>
  </si>
  <si>
    <t>ORD-01180</t>
  </si>
  <si>
    <t>ORD-00500</t>
  </si>
  <si>
    <t>ORD-00610</t>
  </si>
  <si>
    <t>ORD-00759</t>
  </si>
  <si>
    <t>ORD-00270</t>
  </si>
  <si>
    <t>ORD-00338</t>
  </si>
  <si>
    <t>ORD-00327</t>
  </si>
  <si>
    <t>ORD-00068</t>
  </si>
  <si>
    <t>ORD-00367</t>
  </si>
  <si>
    <t>ORD-00828</t>
  </si>
  <si>
    <t>ORD-00643</t>
  </si>
  <si>
    <t>ORD-01024</t>
  </si>
  <si>
    <t>ORD-00109</t>
  </si>
  <si>
    <t>ORD-00454</t>
  </si>
  <si>
    <t>ORD-00542</t>
  </si>
  <si>
    <t>ORD-00130</t>
  </si>
  <si>
    <t>ORD-00606</t>
  </si>
  <si>
    <t>ORD-00530</t>
  </si>
  <si>
    <t>ORD-00232</t>
  </si>
  <si>
    <t>ORD-00594</t>
  </si>
  <si>
    <t>ORD-00771</t>
  </si>
  <si>
    <t>ORD-00928</t>
  </si>
  <si>
    <t>ORD-00784</t>
  </si>
  <si>
    <t>ORD-00214</t>
  </si>
  <si>
    <t>ORD-00332</t>
  </si>
  <si>
    <t>ORD-00360</t>
  </si>
  <si>
    <t>ORD-00655</t>
  </si>
  <si>
    <t>ORD-00995</t>
  </si>
  <si>
    <t>ORD-00097</t>
  </si>
  <si>
    <t>ORD-01101</t>
  </si>
  <si>
    <t>ORD-00972</t>
  </si>
  <si>
    <t>ORD-00592</t>
  </si>
  <si>
    <t>ORD-00012</t>
  </si>
  <si>
    <t>ORD-00677</t>
  </si>
  <si>
    <t>ORD-00815</t>
  </si>
  <si>
    <t>ORD-01154</t>
  </si>
  <si>
    <t>ORD-01030</t>
  </si>
  <si>
    <t>ORD-00686</t>
  </si>
  <si>
    <t>ORD-00945</t>
  </si>
  <si>
    <t>ORD-00858</t>
  </si>
  <si>
    <t>ORD-01122</t>
  </si>
  <si>
    <t>ORD-00816</t>
  </si>
  <si>
    <t>ORD-00964</t>
  </si>
  <si>
    <t>ORD-00489</t>
  </si>
  <si>
    <t>ORD-00835</t>
  </si>
  <si>
    <t>ORD-00238</t>
  </si>
  <si>
    <t>ORD-00196</t>
  </si>
  <si>
    <t>ORD-00216</t>
  </si>
  <si>
    <t>ORD-00060</t>
  </si>
  <si>
    <t>ORD-01148</t>
  </si>
  <si>
    <t>ORD-01062</t>
  </si>
  <si>
    <t>ORD-01022</t>
  </si>
  <si>
    <t>ORD-01013</t>
  </si>
  <si>
    <t>ORD-00794</t>
  </si>
  <si>
    <t>ORD-00211</t>
  </si>
  <si>
    <t>ORD-00953</t>
  </si>
  <si>
    <t>ORD-00548</t>
  </si>
  <si>
    <t>ORD-00711</t>
  </si>
  <si>
    <t>ORD-00315</t>
  </si>
  <si>
    <t>ORD-00529</t>
  </si>
  <si>
    <t>ORD-00481</t>
  </si>
  <si>
    <t>ORD-01162</t>
  </si>
  <si>
    <t>ORD-00861</t>
  </si>
  <si>
    <t>ORD-00395</t>
  </si>
  <si>
    <t>ORD-00541</t>
  </si>
  <si>
    <t>ORD-01088</t>
  </si>
  <si>
    <t>ORD-00278</t>
  </si>
  <si>
    <t>ORD-00845</t>
  </si>
  <si>
    <t>ORD-00474</t>
  </si>
  <si>
    <t>ORD-00925</t>
  </si>
  <si>
    <t>ORD-00651</t>
  </si>
  <si>
    <t>ORD-00323</t>
  </si>
  <si>
    <t>ORD-00031</t>
  </si>
  <si>
    <t>ORD-00934</t>
  </si>
  <si>
    <t>ORD-00289</t>
  </si>
  <si>
    <t>ORD-00154</t>
  </si>
  <si>
    <t>ORD-00736</t>
  </si>
  <si>
    <t>ORD-00997</t>
  </si>
  <si>
    <t>ORD-00299</t>
  </si>
  <si>
    <t>ORD-00636</t>
  </si>
  <si>
    <t>ORD-00034</t>
  </si>
  <si>
    <t>ORD-00709</t>
  </si>
  <si>
    <t>ORD-00823</t>
  </si>
  <si>
    <t>ORD-00748</t>
  </si>
  <si>
    <t>ORD-00731</t>
  </si>
  <si>
    <t>ORD-00620</t>
  </si>
  <si>
    <t>ORD-00897</t>
  </si>
  <si>
    <t>ORD-00386</t>
  </si>
  <si>
    <t>ORD-01175</t>
  </si>
  <si>
    <t>ORD-00774</t>
  </si>
  <si>
    <t>ORD-00428</t>
  </si>
  <si>
    <t>ORD-00373</t>
  </si>
  <si>
    <t>ORD-00585</t>
  </si>
  <si>
    <t>ORD-00539</t>
  </si>
  <si>
    <t>ORD-00291</t>
  </si>
  <si>
    <t>ORD-00977</t>
  </si>
  <si>
    <t>ORD-00266</t>
  </si>
  <si>
    <t>ORD-00149</t>
  </si>
  <si>
    <t>ORD-00020</t>
  </si>
  <si>
    <t>ORD-00595</t>
  </si>
  <si>
    <t>ORD-00001</t>
  </si>
  <si>
    <t>ORD-00339</t>
  </si>
  <si>
    <t>ORD-00174</t>
  </si>
  <si>
    <t>ORD-00114</t>
  </si>
  <si>
    <t>ORD-00814</t>
  </si>
  <si>
    <t>ORD-01058</t>
  </si>
  <si>
    <t>ORD-00412</t>
  </si>
  <si>
    <t>ORD-00314</t>
  </si>
  <si>
    <t>ORD-00512</t>
  </si>
  <si>
    <t>ORD-00108</t>
  </si>
  <si>
    <t>ORD-00831</t>
  </si>
  <si>
    <t>ORD-00008</t>
  </si>
  <si>
    <t>ORD-00179</t>
  </si>
  <si>
    <t>ORD-00413</t>
  </si>
  <si>
    <t>ORD-00769</t>
  </si>
  <si>
    <t>ORD-00883</t>
  </si>
  <si>
    <t>ORD-00463</t>
  </si>
  <si>
    <t>ORD-00704</t>
  </si>
  <si>
    <t>ORD-00310</t>
  </si>
  <si>
    <t>ORD-00531</t>
  </si>
  <si>
    <t>ORD-00209</t>
  </si>
  <si>
    <t>ORD-00234</t>
  </si>
  <si>
    <t>ORD-00066</t>
  </si>
  <si>
    <t>ORD-00726</t>
  </si>
  <si>
    <t>ORD-00188</t>
  </si>
  <si>
    <t>ORD-00564</t>
  </si>
  <si>
    <t>ORD-00524</t>
  </si>
  <si>
    <t>ORD-01086</t>
  </si>
  <si>
    <t>ORD-00671</t>
  </si>
  <si>
    <t>ORD-00161</t>
  </si>
  <si>
    <t>ORD-00312</t>
  </si>
  <si>
    <t>ORD-01160</t>
  </si>
  <si>
    <t>ORD-00430</t>
  </si>
  <si>
    <t>ORD-00491</t>
  </si>
  <si>
    <t>ORD-00850</t>
  </si>
  <si>
    <t>ORD-00435</t>
  </si>
  <si>
    <t>ORD-00113</t>
  </si>
  <si>
    <t>ORD-01181</t>
  </si>
  <si>
    <t>ORD-01114</t>
  </si>
  <si>
    <t>ORD-00475</t>
  </si>
  <si>
    <t>ORD-00371</t>
  </si>
  <si>
    <t>ORD-00335</t>
  </si>
  <si>
    <t>ORD-00190</t>
  </si>
  <si>
    <t>ORD-00043</t>
  </si>
  <si>
    <t>ORD-00755</t>
  </si>
  <si>
    <t>ORD-00713</t>
  </si>
  <si>
    <t>ORD-00607</t>
  </si>
  <si>
    <t>ORD-00624</t>
  </si>
  <si>
    <t>ORD-00622</t>
  </si>
  <si>
    <t>ORD-00750</t>
  </si>
  <si>
    <t>ORD-00279</t>
  </si>
  <si>
    <t>ORD-00974</t>
  </si>
  <si>
    <t>ORD-01015</t>
  </si>
  <si>
    <t>ORD-00522</t>
  </si>
  <si>
    <t>ORD-00951</t>
  </si>
  <si>
    <t>ORD-00761</t>
  </si>
  <si>
    <t>ORD-00351</t>
  </si>
  <si>
    <t>ORD-00451</t>
  </si>
  <si>
    <t>ORD-01197</t>
  </si>
  <si>
    <t>ORD-00208</t>
  </si>
  <si>
    <t>ORD-00960</t>
  </si>
  <si>
    <t>ORD-00768</t>
  </si>
  <si>
    <t>ORD-00674</t>
  </si>
  <si>
    <t>ORD-00584</t>
  </si>
  <si>
    <t>ORD-00719</t>
  </si>
  <si>
    <t>ORD-00402</t>
  </si>
  <si>
    <t>ORD-00275</t>
  </si>
  <si>
    <t>ORD-01110</t>
  </si>
  <si>
    <t>ORD-01187</t>
  </si>
  <si>
    <t>ORD-01134</t>
  </si>
  <si>
    <t>ORD-01016</t>
  </si>
  <si>
    <t>ORD-00803</t>
  </si>
  <si>
    <t>ORD-00521</t>
  </si>
  <si>
    <t>ORD-00926</t>
  </si>
  <si>
    <t>ORD-01133</t>
  </si>
  <si>
    <t>ORD-00259</t>
  </si>
  <si>
    <t>ORD-00517</t>
  </si>
  <si>
    <t>ORD-00482</t>
  </si>
  <si>
    <t>ORD-00176</t>
  </si>
  <si>
    <t>ORD-00092</t>
  </si>
  <si>
    <t>ORD-00483</t>
  </si>
  <si>
    <t>ORD-01001</t>
  </si>
  <si>
    <t>ORD-00973</t>
  </si>
  <si>
    <t>ORD-00440</t>
  </si>
  <si>
    <t>ORD-01093</t>
  </si>
  <si>
    <t>ORD-00316</t>
  </si>
  <si>
    <t>ORD-01102</t>
  </si>
  <si>
    <t>ORD-00865</t>
  </si>
  <si>
    <t>ORD-01164</t>
  </si>
  <si>
    <t>ORD-00871</t>
  </si>
  <si>
    <t>ORD-01152</t>
  </si>
  <si>
    <t>ORD-00881</t>
  </si>
  <si>
    <t>ORD-01050</t>
  </si>
  <si>
    <t>ORD-00976</t>
  </si>
  <si>
    <t>ORD-00954</t>
  </si>
  <si>
    <t>ORD-00453</t>
  </si>
  <si>
    <t>ORD-00728</t>
  </si>
  <si>
    <t>ORD-00924</t>
  </si>
  <si>
    <t>ORD-00819</t>
  </si>
  <si>
    <t>ORD-00434</t>
  </si>
  <si>
    <t>ORD-01145</t>
  </si>
  <si>
    <t>ORD-00809</t>
  </si>
  <si>
    <t>ORD-01184</t>
  </si>
  <si>
    <t>ORD-00908</t>
  </si>
  <si>
    <t>ORD-00143</t>
  </si>
  <si>
    <t>ORD-00449</t>
  </si>
  <si>
    <t>ORD-00882</t>
  </si>
  <si>
    <t>ORD-01192</t>
  </si>
  <si>
    <t>ORD-00171</t>
  </si>
  <si>
    <t>ORD-00222</t>
  </si>
  <si>
    <t>ORD-00045</t>
  </si>
  <si>
    <t>ORD-00014</t>
  </si>
  <si>
    <t>ORD-01063</t>
  </si>
  <si>
    <t>ORD-00376</t>
  </si>
  <si>
    <t>ORD-00212</t>
  </si>
  <si>
    <t>ORD-00348</t>
  </si>
  <si>
    <t>ORD-01040</t>
  </si>
  <si>
    <t>ORD-00027</t>
  </si>
  <si>
    <t>ORD-01124</t>
  </si>
  <si>
    <t>ORD-00029</t>
  </si>
  <si>
    <t>ORD-00842</t>
  </si>
  <si>
    <t>ORD-00516</t>
  </si>
  <si>
    <t>ORD-00235</t>
  </si>
  <si>
    <t>ORD-00101</t>
  </si>
  <si>
    <t>ORD-00267</t>
  </si>
  <si>
    <t>ORD-01149</t>
  </si>
  <si>
    <t>ORD-00896</t>
  </si>
  <si>
    <t>ORD-00501</t>
  </si>
  <si>
    <t>ORD-00867</t>
  </si>
  <si>
    <t>ORD-00390</t>
  </si>
  <si>
    <t>ORD-00497</t>
  </si>
  <si>
    <t>ORD-00503</t>
  </si>
  <si>
    <t>ORD-00287</t>
  </si>
  <si>
    <t>ORD-01200</t>
  </si>
  <si>
    <t>ORD-00135</t>
  </si>
  <si>
    <t>ORD-01194</t>
  </si>
  <si>
    <t>ORD-00025</t>
  </si>
  <si>
    <t>ORD-01071</t>
  </si>
  <si>
    <t>ORD-00405</t>
  </si>
  <si>
    <t>ORD-01017</t>
  </si>
  <si>
    <t>ORD-00258</t>
  </si>
  <si>
    <t>ORD-01080</t>
  </si>
  <si>
    <t>ORD-01109</t>
  </si>
  <si>
    <t>ORD-00163</t>
  </si>
  <si>
    <t>ORD-01105</t>
  </si>
  <si>
    <t>ORD-00860</t>
  </si>
  <si>
    <t>ORD-00611</t>
  </si>
  <si>
    <t>ORD-00600</t>
  </si>
  <si>
    <t>ORD-01193</t>
  </si>
  <si>
    <t>ORD-00843</t>
  </si>
  <si>
    <t>ORD-01103</t>
  </si>
  <si>
    <t>ORD-01186</t>
  </si>
  <si>
    <t>ORD-00922</t>
  </si>
  <si>
    <t>ORD-00905</t>
  </si>
  <si>
    <t>ORD-00579</t>
  </si>
  <si>
    <t>ORD-01091</t>
  </si>
  <si>
    <t>ORD-00311</t>
  </si>
  <si>
    <t>ORD-00304</t>
  </si>
  <si>
    <t>ORD-00255</t>
  </si>
  <si>
    <t>ORD-00844</t>
  </si>
  <si>
    <t>ORD-00789</t>
  </si>
  <si>
    <t>ORD-01094</t>
  </si>
  <si>
    <t>ORD-01097</t>
  </si>
  <si>
    <t>ORD-00058</t>
  </si>
  <si>
    <t>ORD-00554</t>
  </si>
  <si>
    <t>ORD-00808</t>
  </si>
  <si>
    <t>ORD-00342</t>
  </si>
  <si>
    <t>ORD-01004</t>
  </si>
  <si>
    <t>ORD-00301</t>
  </si>
  <si>
    <t>ORD-00891</t>
  </si>
  <si>
    <t>ORD-00847</t>
  </si>
  <si>
    <t>ORD-00307</t>
  </si>
  <si>
    <t>ORD-00792</t>
  </si>
  <si>
    <t>ORD-00943</t>
  </si>
  <si>
    <t>ORD-00849</t>
  </si>
  <si>
    <t>ORD-00346</t>
  </si>
  <si>
    <t>ORD-00852</t>
  </si>
  <si>
    <t>ORD-00406</t>
  </si>
  <si>
    <t>ORD-00919</t>
  </si>
  <si>
    <t>ORD-00349</t>
  </si>
  <si>
    <t>ORD-00128</t>
  </si>
  <si>
    <t>ORD-00328</t>
  </si>
  <si>
    <t>ORD-00854</t>
  </si>
  <si>
    <t>ORD-00194</t>
  </si>
  <si>
    <t>ORD-00364</t>
  </si>
  <si>
    <t>ORD-00533</t>
  </si>
  <si>
    <t>ORD-00187</t>
  </si>
  <si>
    <t>ORD-00062</t>
  </si>
  <si>
    <t>ORD-00086</t>
  </si>
  <si>
    <t>ORD-00237</t>
  </si>
  <si>
    <t>ORD-01021</t>
  </si>
  <si>
    <t>ORD-00601</t>
  </si>
  <si>
    <t>ORD-00398</t>
  </si>
  <si>
    <t>ORD-00807</t>
  </si>
  <si>
    <t>ORD-00117</t>
  </si>
  <si>
    <t>ORD-00051</t>
  </si>
  <si>
    <t>ORD-00391</t>
  </si>
  <si>
    <t>ORD-00967</t>
  </si>
  <si>
    <t>ORD-00476</t>
  </si>
  <si>
    <t>ORD-00862</t>
  </si>
  <si>
    <t>ORD-00050</t>
  </si>
  <si>
    <t>ORD-00673</t>
  </si>
  <si>
    <t>ORD-00104</t>
  </si>
  <si>
    <t>ORD-00532</t>
  </si>
  <si>
    <t>ORD-00632</t>
  </si>
  <si>
    <t>ORD-00672</t>
  </si>
  <si>
    <t>ORD-00933</t>
  </si>
  <si>
    <t>ORD-00506</t>
  </si>
  <si>
    <t>ORD-00448</t>
  </si>
  <si>
    <t>ORD-00498</t>
  </si>
  <si>
    <t>ORD-00112</t>
  </si>
  <si>
    <t>ORD-00801</t>
  </si>
  <si>
    <t>ORD-00679</t>
  </si>
  <si>
    <t>ORD-00366</t>
  </si>
  <si>
    <t>ORD-01077</t>
  </si>
  <si>
    <t>ORD-01048</t>
  </si>
  <si>
    <t>ORD-01003</t>
  </si>
  <si>
    <t>ORD-01064</t>
  </si>
  <si>
    <t>ORD-00419</t>
  </si>
  <si>
    <t>ORD-00915</t>
  </si>
  <si>
    <t>ORD-01172</t>
  </si>
  <si>
    <t>ORD-00003</t>
  </si>
  <si>
    <t>ORD-00224</t>
  </si>
  <si>
    <t>ORD-00786</t>
  </si>
  <si>
    <t>ORD-00553</t>
  </si>
  <si>
    <t>ORD-00433</t>
  </si>
  <si>
    <t>ORD-00733</t>
  </si>
  <si>
    <t>ORD-00654</t>
  </si>
  <si>
    <t>ORD-00088</t>
  </si>
  <si>
    <t>ORD-00131</t>
  </si>
  <si>
    <t>ORD-00856</t>
  </si>
  <si>
    <t>ORD-00219</t>
  </si>
  <si>
    <t>ORD-00093</t>
  </si>
  <si>
    <t>ORD-00123</t>
  </si>
  <si>
    <t>ORD-00193</t>
  </si>
  <si>
    <t>ORD-00248</t>
  </si>
  <si>
    <t>ORD-00683</t>
  </si>
  <si>
    <t>ORD-00796</t>
  </si>
  <si>
    <t>ORD-00272</t>
  </si>
  <si>
    <t>ORD-01121</t>
  </si>
  <si>
    <t>ORD-01053</t>
  </si>
  <si>
    <t>ORD-00437</t>
  </si>
  <si>
    <t>ORD-00716</t>
  </si>
  <si>
    <t>ORD-00074</t>
  </si>
  <si>
    <t>ORD-00779</t>
  </si>
  <si>
    <t>ORD-00439</t>
  </si>
  <si>
    <t>ORD-00378</t>
  </si>
  <si>
    <t>ORD-01061</t>
  </si>
  <si>
    <t>ORD-00245</t>
  </si>
  <si>
    <t>ORD-00641</t>
  </si>
  <si>
    <t>ORD-01169</t>
  </si>
  <si>
    <t>ORD-00345</t>
  </si>
  <si>
    <t>ORD-00094</t>
  </si>
  <si>
    <t>ORD-00895</t>
  </si>
  <si>
    <t>ORD-00241</t>
  </si>
  <si>
    <t>ORD-00631</t>
  </si>
  <si>
    <t>ORD-00942</t>
  </si>
  <si>
    <t>ORD-00067</t>
  </si>
  <si>
    <t>ORD-00306</t>
  </si>
  <si>
    <t>ORD-00975</t>
  </si>
  <si>
    <t>ORD-00151</t>
  </si>
  <si>
    <t>ORD-00300</t>
  </si>
  <si>
    <t>ORD-00939</t>
  </si>
  <si>
    <t>ORD-00576</t>
  </si>
  <si>
    <t>ORD-00648</t>
  </si>
  <si>
    <t>ORD-00471</t>
  </si>
  <si>
    <t>ORD-00324</t>
  </si>
  <si>
    <t>ORD-00329</t>
  </si>
  <si>
    <t>ORD-00022</t>
  </si>
  <si>
    <t>ORD-01156</t>
  </si>
  <si>
    <t>ORD-00079</t>
  </si>
  <si>
    <t>ORD-00902</t>
  </si>
  <si>
    <t>ORD-00535</t>
  </si>
  <si>
    <t>ORD-00344</t>
  </si>
  <si>
    <t>ORD-00431</t>
  </si>
  <si>
    <t>ORD-00461</t>
  </si>
  <si>
    <t>ORD-00568</t>
  </si>
  <si>
    <t>ORD-00002</t>
  </si>
  <si>
    <t>Row Labels</t>
  </si>
  <si>
    <t>Grand Total</t>
  </si>
  <si>
    <t>Sum of Net_Sales_NGN</t>
  </si>
  <si>
    <t>Qtr1</t>
  </si>
  <si>
    <t>Qtr2</t>
  </si>
  <si>
    <t>Qtr3</t>
  </si>
  <si>
    <t>Qtr4</t>
  </si>
  <si>
    <t>Sum of Estimated_Cost_NGN</t>
  </si>
  <si>
    <t>Sum of Estimated_Profit_NGN</t>
  </si>
  <si>
    <t>Sum of Quantity</t>
  </si>
  <si>
    <t>Count of Order_ID</t>
  </si>
  <si>
    <t>Average of Net_Sales_NGN2</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</si>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</sst>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_-[$₦-470]* #,##0.00_-;\-[$₦-470]* #,##0.00_-;_-[$₦-470]* &quot;-&quot;??_-;_-@_-"/>
    <numFmt numFmtId="166" formatCode="[$-409]d\-mmm\-yyyy;@"/>
    <numFmt numFmtId="167" formatCode="[&gt;=1000000]\ \₦\ #,##0.00,,&quot;M&quot;;[&gt;=1000]\ \₦\ #.00,&quot;K&quot;;\ \₦\ ###.00"/>
  </numFmts>
  <fonts count="4" x14ac:knownFonts="1">
    <font>
      <sz val="11"/>
      <color theme="1"/>
      <name val="Calibri"/>
      <family val="2"/>
      <scheme val="minor"/>
    </font>
    <font>
      <b/>
      <sz val="11"/>
      <name val="Calibri"/>
    </font>
    <font>
      <b/>
      <sz val="11"/>
      <name val="Calibri"/>
      <family val="2"/>
    </font>
    <font>
      <sz val="11"/>
      <color theme="1"/>
      <name val="Calibri"/>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s>
  <cellStyleXfs count="2">
    <xf numFmtId="0" fontId="0" fillId="0" borderId="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4" fontId="0" fillId="0" borderId="0" xfId="0" applyNumberFormat="1"/>
    <xf numFmtId="9"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0" borderId="3" xfId="0" applyFont="1" applyBorder="1" applyAlignment="1">
      <alignment horizontal="center" vertical="top"/>
    </xf>
    <xf numFmtId="165" fontId="2" fillId="0" borderId="3" xfId="0" applyNumberFormat="1" applyFont="1" applyBorder="1" applyAlignment="1">
      <alignment horizontal="center" vertical="top"/>
    </xf>
    <xf numFmtId="0" fontId="2" fillId="0" borderId="4" xfId="0" applyFont="1" applyBorder="1" applyAlignment="1">
      <alignment horizontal="center" vertical="top"/>
    </xf>
    <xf numFmtId="0" fontId="0" fillId="0" borderId="0" xfId="0" applyAlignment="1">
      <alignment horizontal="left" indent="1"/>
    </xf>
    <xf numFmtId="9" fontId="0" fillId="0" borderId="0" xfId="1" applyFont="1"/>
    <xf numFmtId="9" fontId="2" fillId="0" borderId="3" xfId="1" applyFont="1" applyBorder="1" applyAlignment="1">
      <alignment horizontal="center" vertical="top"/>
    </xf>
    <xf numFmtId="9" fontId="0" fillId="2" borderId="2" xfId="1" applyFont="1" applyFill="1" applyBorder="1"/>
    <xf numFmtId="9" fontId="0" fillId="2" borderId="0" xfId="1" applyFont="1" applyFill="1"/>
    <xf numFmtId="0" fontId="0" fillId="2" borderId="2" xfId="0" applyFill="1" applyBorder="1"/>
    <xf numFmtId="164" fontId="0" fillId="2" borderId="2" xfId="0" applyNumberFormat="1" applyFill="1" applyBorder="1"/>
    <xf numFmtId="165" fontId="0" fillId="2" borderId="2" xfId="0" applyNumberFormat="1" applyFill="1" applyBorder="1"/>
    <xf numFmtId="0" fontId="0" fillId="2" borderId="0" xfId="0" applyFill="1"/>
    <xf numFmtId="164" fontId="0" fillId="2" borderId="0" xfId="0" applyNumberFormat="1" applyFill="1"/>
    <xf numFmtId="165" fontId="0" fillId="2" borderId="0" xfId="0" applyNumberFormat="1" applyFill="1"/>
    <xf numFmtId="9" fontId="0" fillId="0" borderId="0" xfId="1" applyFont="1" applyBorder="1"/>
    <xf numFmtId="166" fontId="0" fillId="0" borderId="0" xfId="0" applyNumberFormat="1"/>
    <xf numFmtId="167" fontId="0" fillId="0" borderId="0" xfId="0" applyNumberFormat="1"/>
    <xf numFmtId="0" fontId="0" fillId="0" borderId="0" xfId="0" applyAlignment="1">
      <alignment horizontal="center"/>
    </xf>
    <xf numFmtId="0" fontId="0" fillId="3" borderId="0" xfId="0" applyFill="1" applyBorder="1"/>
  </cellXfs>
  <cellStyles count="2">
    <cellStyle name="Normal" xfId="0" builtinId="0"/>
    <cellStyle name="Percent" xfId="1" builtinId="5"/>
  </cellStyles>
  <dxfs count="38">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numFmt numFmtId="167" formatCode="[&gt;=1000000]\ \₦\ #,##0.00,,&quot;M&quot;;[&gt;=1000]\ \₦\ #.00,&quot;K&quot;;\ \₦\ ###.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numFmt numFmtId="165" formatCode="_-[$₦-470]* #,##0.00_-;\-[$₦-470]* #,##0.00_-;_-[$₦-470]*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yyyy\-mm\-dd"/>
    </dxf>
    <dxf>
      <font>
        <b val="0"/>
        <i val="0"/>
        <strike val="0"/>
        <condense val="0"/>
        <extend val="0"/>
        <outline val="0"/>
        <shadow val="0"/>
        <u val="none"/>
        <vertAlign val="baseline"/>
        <sz val="11"/>
        <color theme="1"/>
        <name val="Calibri"/>
        <family val="2"/>
        <scheme val="minor"/>
      </font>
    </dxf>
    <dxf>
      <border outline="0">
        <top style="thin">
          <color auto="1"/>
        </top>
        <bottom style="thin">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9" defaultPivotStyle="PivotStyleLight16">
    <tableStyle name="SlicerStyleLight1 2" pivot="0" table="0" count="10" xr9:uid="{CBB69DE2-B558-4B02-8AAD-005D50906B2C}">
      <tableStyleElement type="wholeTable" dxfId="37"/>
      <tableStyleElement type="headerRow" dxfId="36"/>
    </tableStyle>
    <tableStyle name="TimeSlicerStyleLight1 2" pivot="0" table="0" count="9" xr9:uid="{5C3A3EE3-8B19-4964-A5E0-8C001DD9A88E}">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[Fashion_Retail_Sales_Dataset.xlsx]Sales by Region!PivotTable4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by Region'!$A$4:$A$9</c:f>
              <c:strCache>
                <c:ptCount val="5"/>
                <c:pt idx="0">
                  <c:v>Lagos</c:v>
                </c:pt>
                <c:pt idx="1">
                  <c:v>Abuja</c:v>
                </c:pt>
                <c:pt idx="2">
                  <c:v>Oyo</c:v>
                </c:pt>
                <c:pt idx="3">
                  <c:v>Rivers</c:v>
                </c:pt>
                <c:pt idx="4">
                  <c:v>Delta</c:v>
                </c:pt>
              </c:strCache>
            </c:strRef>
          </c:cat>
          <c:val>
            <c:numRef>
              <c:f>'Sales by Region'!$B$4:$B$9</c:f>
              <c:numCache>
                <c:formatCode>[&gt;=1000000]\ \₦\ #,##0.00,,"M";[&gt;=1000]\ \₦\ #.00,"K";\ \₦\ ###.00</c:formatCode>
                <c:ptCount val="5"/>
                <c:pt idx="0">
                  <c:v>27453307.099999998</c:v>
                </c:pt>
                <c:pt idx="1">
                  <c:v>17299371.199999996</c:v>
                </c:pt>
                <c:pt idx="2">
                  <c:v>13395048.550000001</c:v>
                </c:pt>
                <c:pt idx="3">
                  <c:v>12692897.949999997</c:v>
                </c:pt>
                <c:pt idx="4">
                  <c:v>9549138.9499999993</c:v>
                </c:pt>
              </c:numCache>
            </c:numRef>
          </c:val>
          <c:extLst>
            <c:ext xmlns:c16="http://schemas.microsoft.com/office/drawing/2014/chart" uri="{C3380CC4-5D6E-409C-BE32-E72D297353CC}">
              <c16:uniqueId val="{00000000-72CC-4450-9C75-F1762FB35D7C}"/>
            </c:ext>
          </c:extLst>
        </c:ser>
        <c:dLbls>
          <c:showLegendKey val="0"/>
          <c:showVal val="0"/>
          <c:showCatName val="0"/>
          <c:showSerName val="0"/>
          <c:showPercent val="0"/>
          <c:showBubbleSize val="0"/>
        </c:dLbls>
        <c:gapWidth val="100"/>
        <c:overlap val="-24"/>
        <c:axId val="780019216"/>
        <c:axId val="647557376"/>
      </c:barChart>
      <c:catAx>
        <c:axId val="7800192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557376"/>
        <c:crosses val="autoZero"/>
        <c:auto val="1"/>
        <c:lblAlgn val="ctr"/>
        <c:lblOffset val="100"/>
        <c:noMultiLvlLbl val="0"/>
      </c:catAx>
      <c:valAx>
        <c:axId val="647557376"/>
        <c:scaling>
          <c:orientation val="minMax"/>
        </c:scaling>
        <c:delete val="0"/>
        <c:axPos val="l"/>
        <c:majorGridlines>
          <c:spPr>
            <a:ln w="9525" cap="flat" cmpd="sng" algn="ctr">
              <a:solidFill>
                <a:schemeClr val="tx2">
                  <a:lumMod val="15000"/>
                  <a:lumOff val="85000"/>
                </a:schemeClr>
              </a:solidFill>
              <a:round/>
            </a:ln>
            <a:effectLst/>
          </c:spPr>
        </c:majorGridlines>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01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f>
              <c:strCache>
                <c:ptCount val="1"/>
                <c:pt idx="0">
                  <c:v>Total</c:v>
                </c:pt>
              </c:strCache>
            </c:strRef>
          </c:tx>
          <c:spPr>
            <a:ln w="28575" cap="rnd">
              <a:solidFill>
                <a:srgbClr val="FF0000"/>
              </a:solidFill>
              <a:round/>
            </a:ln>
            <a:effectLst/>
          </c:spPr>
          <c:marker>
            <c:symbol val="none"/>
          </c:marker>
          <c:cat>
            <c:multiLvlStrRef>
              <c:f>'Sales Trend'!$B$4:$B$19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2024</c:v>
                  </c:pt>
                  <c:pt idx="4">
                    <c:v>2025</c:v>
                  </c:pt>
                  <c:pt idx="8">
                    <c:v>2026</c:v>
                  </c:pt>
                </c:lvl>
              </c:multiLvlStrCache>
            </c:multiLvlStrRef>
          </c:cat>
          <c:val>
            <c:numRef>
              <c:f>'Sales Trend'!$C$4:$C$19</c:f>
              <c:numCache>
                <c:formatCode>_-[$₦-470]* #,##0.00_-;\-[$₦-470]* #,##0.00_-;_-[$₦-470]* "-"??_-;_-@_-</c:formatCode>
                <c:ptCount val="12"/>
                <c:pt idx="0">
                  <c:v>6437693.6000000006</c:v>
                </c:pt>
                <c:pt idx="1">
                  <c:v>6890083.3499999987</c:v>
                </c:pt>
                <c:pt idx="2">
                  <c:v>5694962.1500000004</c:v>
                </c:pt>
                <c:pt idx="3">
                  <c:v>5174936.3</c:v>
                </c:pt>
                <c:pt idx="4">
                  <c:v>5294506.6999999983</c:v>
                </c:pt>
                <c:pt idx="5">
                  <c:v>6546027.5499999998</c:v>
                </c:pt>
                <c:pt idx="6">
                  <c:v>6703735.1500000004</c:v>
                </c:pt>
                <c:pt idx="7">
                  <c:v>7079773.5999999996</c:v>
                </c:pt>
                <c:pt idx="8">
                  <c:v>8975073.6999999974</c:v>
                </c:pt>
                <c:pt idx="9">
                  <c:v>7105758.1000000015</c:v>
                </c:pt>
                <c:pt idx="10">
                  <c:v>6870537.4500000011</c:v>
                </c:pt>
                <c:pt idx="11">
                  <c:v>7616676.1000000006</c:v>
                </c:pt>
              </c:numCache>
            </c:numRef>
          </c:val>
          <c:smooth val="0"/>
          <c:extLst>
            <c:ext xmlns:c16="http://schemas.microsoft.com/office/drawing/2014/chart" uri="{C3380CC4-5D6E-409C-BE32-E72D297353CC}">
              <c16:uniqueId val="{00000000-0067-48F0-ADB2-82F599F8CB31}"/>
            </c:ext>
          </c:extLst>
        </c:ser>
        <c:dLbls>
          <c:showLegendKey val="0"/>
          <c:showVal val="0"/>
          <c:showCatName val="0"/>
          <c:showSerName val="0"/>
          <c:showPercent val="0"/>
          <c:showBubbleSize val="0"/>
        </c:dLbls>
        <c:smooth val="0"/>
        <c:axId val="1308094544"/>
        <c:axId val="1176361024"/>
      </c:lineChart>
      <c:catAx>
        <c:axId val="13080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361024"/>
        <c:crosses val="autoZero"/>
        <c:auto val="1"/>
        <c:lblAlgn val="ctr"/>
        <c:lblOffset val="100"/>
        <c:noMultiLvlLbl val="0"/>
      </c:catAx>
      <c:valAx>
        <c:axId val="1176361024"/>
        <c:scaling>
          <c:orientation val="minMax"/>
        </c:scaling>
        <c:delete val="0"/>
        <c:axPos val="l"/>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[Fashion_Retail_Sales_Dataset.xlsx]Sales by Product!PivotTable2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by Product'!$B$3:$B$16</c:f>
              <c:multiLvlStrCache>
                <c:ptCount val="10"/>
                <c:lvl>
                  <c:pt idx="0">
                    <c:v>Dress</c:v>
                  </c:pt>
                  <c:pt idx="1">
                    <c:v>Jeans</c:v>
                  </c:pt>
                  <c:pt idx="2">
                    <c:v>Hoodie</c:v>
                  </c:pt>
                  <c:pt idx="3">
                    <c:v>Polo Shirt</c:v>
                  </c:pt>
                  <c:pt idx="4">
                    <c:v>T-Shirt</c:v>
                  </c:pt>
                  <c:pt idx="5">
                    <c:v>Sneakers</c:v>
                  </c:pt>
                  <c:pt idx="6">
                    <c:v>Sandals</c:v>
                  </c:pt>
                  <c:pt idx="7">
                    <c:v>Handbag</c:v>
                  </c:pt>
                  <c:pt idx="8">
                    <c:v>Belt</c:v>
                  </c:pt>
                  <c:pt idx="9">
                    <c:v>Cap</c:v>
                  </c:pt>
                </c:lvl>
                <c:lvl>
                  <c:pt idx="0">
                    <c:v>Clothing</c:v>
                  </c:pt>
                  <c:pt idx="5">
                    <c:v>Footwear</c:v>
                  </c:pt>
                  <c:pt idx="7">
                    <c:v>Accessories</c:v>
                  </c:pt>
                </c:lvl>
              </c:multiLvlStrCache>
            </c:multiLvlStrRef>
          </c:cat>
          <c:val>
            <c:numRef>
              <c:f>'Sales by Product'!$C$3:$C$16</c:f>
              <c:numCache>
                <c:formatCode>[&gt;=1000000]\ \₦\ #,##0.00,,"M";[&gt;=1000]\ \₦\ #.00,"K";\ \₦\ ###.00</c:formatCode>
                <c:ptCount val="10"/>
                <c:pt idx="0">
                  <c:v>11398521.25</c:v>
                </c:pt>
                <c:pt idx="1">
                  <c:v>11313986.750000002</c:v>
                </c:pt>
                <c:pt idx="2">
                  <c:v>9040395.5500000007</c:v>
                </c:pt>
                <c:pt idx="3">
                  <c:v>6414190.7999999998</c:v>
                </c:pt>
                <c:pt idx="4">
                  <c:v>4387838.9000000004</c:v>
                </c:pt>
                <c:pt idx="5">
                  <c:v>12991879.199999997</c:v>
                </c:pt>
                <c:pt idx="6">
                  <c:v>7069736.75</c:v>
                </c:pt>
                <c:pt idx="7">
                  <c:v>11190071.349999998</c:v>
                </c:pt>
                <c:pt idx="8">
                  <c:v>3414742.0499999993</c:v>
                </c:pt>
                <c:pt idx="9">
                  <c:v>3168401.1500000008</c:v>
                </c:pt>
              </c:numCache>
            </c:numRef>
          </c:val>
          <c:extLst>
            <c:ext xmlns:c16="http://schemas.microsoft.com/office/drawing/2014/chart" uri="{C3380CC4-5D6E-409C-BE32-E72D297353CC}">
              <c16:uniqueId val="{00000000-9C26-4A81-9B59-9EC6403B7D0E}"/>
            </c:ext>
          </c:extLst>
        </c:ser>
        <c:dLbls>
          <c:dLblPos val="outEnd"/>
          <c:showLegendKey val="0"/>
          <c:showVal val="1"/>
          <c:showCatName val="0"/>
          <c:showSerName val="0"/>
          <c:showPercent val="0"/>
          <c:showBubbleSize val="0"/>
        </c:dLbls>
        <c:gapWidth val="219"/>
        <c:overlap val="-27"/>
        <c:axId val="1172727359"/>
        <c:axId val="1127230463"/>
      </c:barChart>
      <c:catAx>
        <c:axId val="117272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30463"/>
        <c:crosses val="autoZero"/>
        <c:auto val="1"/>
        <c:lblAlgn val="ctr"/>
        <c:lblOffset val="100"/>
        <c:noMultiLvlLbl val="0"/>
      </c:catAx>
      <c:valAx>
        <c:axId val="1127230463"/>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2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[Fashion_Retail_Sales_Dataset.xlsx]Sales by Campaing!PivotTable4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Campaing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Campaing'!$B$3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Campaing'!$A$4:$A$10</c:f>
              <c:strCache>
                <c:ptCount val="6"/>
                <c:pt idx="0">
                  <c:v>None</c:v>
                </c:pt>
                <c:pt idx="1">
                  <c:v>Easter Sale</c:v>
                </c:pt>
                <c:pt idx="2">
                  <c:v>Black Friday</c:v>
                </c:pt>
                <c:pt idx="3">
                  <c:v>Mid-Year Sale</c:v>
                </c:pt>
                <c:pt idx="4">
                  <c:v>Christmas Promo</c:v>
                </c:pt>
                <c:pt idx="5">
                  <c:v>Valentine Promo</c:v>
                </c:pt>
              </c:strCache>
            </c:strRef>
          </c:cat>
          <c:val>
            <c:numRef>
              <c:f>'Sales by Campaing'!$B$4:$B$10</c:f>
              <c:numCache>
                <c:formatCode>[&gt;=1000000]\ \₦\ #,##0.00,,"M";[&gt;=1000]\ \₦\ #.00,"K";\ \₦\ ###.00</c:formatCode>
                <c:ptCount val="6"/>
                <c:pt idx="0">
                  <c:v>55321480.899999984</c:v>
                </c:pt>
                <c:pt idx="1">
                  <c:v>5662507.1000000015</c:v>
                </c:pt>
                <c:pt idx="2">
                  <c:v>5572732.799999998</c:v>
                </c:pt>
                <c:pt idx="3">
                  <c:v>5290037.95</c:v>
                </c:pt>
                <c:pt idx="4">
                  <c:v>4667829.95</c:v>
                </c:pt>
                <c:pt idx="5">
                  <c:v>3875175.0500000003</c:v>
                </c:pt>
              </c:numCache>
            </c:numRef>
          </c:val>
          <c:extLst>
            <c:ext xmlns:c16="http://schemas.microsoft.com/office/drawing/2014/chart" uri="{C3380CC4-5D6E-409C-BE32-E72D297353CC}">
              <c16:uniqueId val="{00000000-A80F-453B-BE13-4678DD646FA8}"/>
            </c:ext>
          </c:extLst>
        </c:ser>
        <c:dLbls>
          <c:dLblPos val="outEnd"/>
          <c:showLegendKey val="0"/>
          <c:showVal val="1"/>
          <c:showCatName val="0"/>
          <c:showSerName val="0"/>
          <c:showPercent val="0"/>
          <c:showBubbleSize val="0"/>
        </c:dLbls>
        <c:gapWidth val="100"/>
        <c:axId val="1172741743"/>
        <c:axId val="982684895"/>
      </c:barChart>
      <c:catAx>
        <c:axId val="11727417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2684895"/>
        <c:crosses val="autoZero"/>
        <c:auto val="1"/>
        <c:lblAlgn val="ctr"/>
        <c:lblOffset val="100"/>
        <c:noMultiLvlLbl val="0"/>
      </c:catAx>
      <c:valAx>
        <c:axId val="982684895"/>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27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[Fashion_Retail_Sales_Dataset.xlsx]Customer Type!PivotTable9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Type</a:t>
            </a:r>
            <a:endParaRPr lang="en-US" b="1"/>
          </a:p>
        </c:rich>
      </c:tx>
      <c:layout>
        <c:manualLayout>
          <c:xMode val="edge"/>
          <c:yMode val="edge"/>
          <c:x val="0.28455716834328093"/>
          <c:y val="3.4231921266581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Lst>
        </c:dLbl>
      </c:pivotFmt>
    </c:pivotFmts>
    <c:plotArea>
      <c:layout/>
      <c:pieChart>
        <c:varyColors val="1"/>
        <c:ser>
          <c:idx val="0"/>
          <c:order val="0"/>
          <c:tx>
            <c:strRef>
              <c:f>'Customer Type'!$C$2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77A-435F-954C-C05A78B26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77A-435F-954C-C05A78B2675D}"/>
              </c:ext>
            </c:extLst>
          </c:dPt>
          <c:dLbls>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 xmlns:c16="http://schemas.microsoft.com/office/drawing/2014/chart" uri="{C3380CC4-5D6E-409C-BE32-E72D297353CC}">
                  <c16:uniqueId val="{00000003-677A-435F-954C-C05A78B2675D}"/>
                </c:ext>
              </c:extLst>
            </c:dLbl>
            <c:dLbl>
              <c:idx val="1"/>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 xmlns:c16="http://schemas.microsoft.com/office/drawing/2014/chart" uri="{C3380CC4-5D6E-409C-BE32-E72D297353CC}">
                  <c16:uniqueId val="{00000002-677A-435F-954C-C05A78B267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Type'!$B$3:$B$5</c:f>
              <c:strCache>
                <c:ptCount val="2"/>
                <c:pt idx="0">
                  <c:v>New</c:v>
                </c:pt>
                <c:pt idx="1">
                  <c:v>Returning</c:v>
                </c:pt>
              </c:strCache>
            </c:strRef>
          </c:cat>
          <c:val>
            <c:numRef>
              <c:f>'Customer Type'!$C$3:$C$5</c:f>
              <c:numCache>
                <c:formatCode>_-[$₦-470]* #,##0.00_-;\-[$₦-470]* #,##0.00_-;_-[$₦-470]* "-"??_-;_-@_-</c:formatCode>
                <c:ptCount val="2"/>
                <c:pt idx="0">
                  <c:v>44643753.000000022</c:v>
                </c:pt>
                <c:pt idx="1">
                  <c:v>35746010.749999993</c:v>
                </c:pt>
              </c:numCache>
            </c:numRef>
          </c:val>
          <c:extLst>
            <c:ext xmlns:c16="http://schemas.microsoft.com/office/drawing/2014/chart" uri="{C3380CC4-5D6E-409C-BE32-E72D297353CC}">
              <c16:uniqueId val="{00000000-677A-435F-954C-C05A78B2675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296587926509184"/>
          <c:y val="0.37663603987884059"/>
          <c:w val="0.17805993779247345"/>
          <c:h val="0.25139168258653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[Fashion_Retail_Sales_Dataset.xlsx]TABLE!PivotTable11</c:name>
    <c:fmtId val="0"/>
  </c:pivotSource>
  <c:chart>
    <c:title>
      <c:layout>
        <c:manualLayout>
          <c:xMode val="edge"/>
          <c:yMode val="edge"/>
          <c:x val="0.2979166666666667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TABLE!$N$4</c:f>
              <c:strCache>
                <c:ptCount val="1"/>
                <c:pt idx="0">
                  <c:v>Total</c:v>
                </c:pt>
              </c:strCache>
            </c:strRef>
          </c:tx>
          <c:spPr>
            <a:solidFill>
              <a:schemeClr val="accent1"/>
            </a:solidFill>
            <a:ln>
              <a:noFill/>
            </a:ln>
            <a:effectLst/>
          </c:spPr>
          <c:invertIfNegative val="0"/>
          <c:cat>
            <c:strRef>
              <c:f>TABLE!$M$5:$M$11</c:f>
              <c:strCache>
                <c:ptCount val="6"/>
                <c:pt idx="0">
                  <c:v>None</c:v>
                </c:pt>
                <c:pt idx="1">
                  <c:v>Easter Sale</c:v>
                </c:pt>
                <c:pt idx="2">
                  <c:v>Black Friday</c:v>
                </c:pt>
                <c:pt idx="3">
                  <c:v>Mid-Year Sale</c:v>
                </c:pt>
                <c:pt idx="4">
                  <c:v>Christmas Promo</c:v>
                </c:pt>
                <c:pt idx="5">
                  <c:v>Valentine Promo</c:v>
                </c:pt>
              </c:strCache>
            </c:strRef>
          </c:cat>
          <c:val>
            <c:numRef>
              <c:f>TABLE!$N$5:$N$11</c:f>
              <c:numCache>
                <c:formatCode>[&gt;=1000000]\ \₦\ #,##0.00,,"M";[&gt;=1000]\ \₦\ #.00,"K";\ \₦\ ###.00</c:formatCode>
                <c:ptCount val="6"/>
                <c:pt idx="0">
                  <c:v>55321480.899999984</c:v>
                </c:pt>
                <c:pt idx="1">
                  <c:v>5662507.1000000015</c:v>
                </c:pt>
                <c:pt idx="2">
                  <c:v>5572732.799999998</c:v>
                </c:pt>
                <c:pt idx="3">
                  <c:v>5290037.95</c:v>
                </c:pt>
                <c:pt idx="4">
                  <c:v>4667829.95</c:v>
                </c:pt>
                <c:pt idx="5">
                  <c:v>3875175.0500000003</c:v>
                </c:pt>
              </c:numCache>
            </c:numRef>
          </c:val>
          <c:extLst>
            <c:ext xmlns:c16="http://schemas.microsoft.com/office/drawing/2014/chart" uri="{C3380CC4-5D6E-409C-BE32-E72D297353CC}">
              <c16:uniqueId val="{00000000-EF22-450C-A7A9-8AFFEBDBE987}"/>
            </c:ext>
          </c:extLst>
        </c:ser>
        <c:dLbls>
          <c:showLegendKey val="0"/>
          <c:showVal val="0"/>
          <c:showCatName val="0"/>
          <c:showSerName val="0"/>
          <c:showPercent val="0"/>
          <c:showBubbleSize val="0"/>
        </c:dLbls>
        <c:gapWidth val="109"/>
        <c:overlap val="-27"/>
        <c:axId val="118898783"/>
        <c:axId val="28717439"/>
      </c:barChart>
      <c:catAx>
        <c:axId val="11889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7439"/>
        <c:crosses val="autoZero"/>
        <c:auto val="1"/>
        <c:lblAlgn val="ctr"/>
        <c:lblOffset val="100"/>
        <c:noMultiLvlLbl val="0"/>
      </c:catAx>
      <c:valAx>
        <c:axId val="28717439"/>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[Fashion_Retail_Sales_Dataset.xlsx]TABLE!PivotTable2</c:name>
    <c:fmtId val="2"/>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600" b="1">
                <a:solidFill>
                  <a:schemeClr val="tx2">
                    <a:lumMod val="75000"/>
                  </a:schemeClr>
                </a:solidFill>
              </a:rPr>
              <a:t>Revenue</a:t>
            </a:r>
            <a:r>
              <a:rPr lang="en-US" sz="1600" b="1" baseline="0">
                <a:solidFill>
                  <a:schemeClr val="tx2">
                    <a:lumMod val="75000"/>
                  </a:schemeClr>
                </a:solidFill>
              </a:rPr>
              <a:t> By Month</a:t>
            </a:r>
            <a:endParaRPr lang="en-US" sz="16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TABLE!$E$2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TABLE!$E$3:$E$15</c:f>
              <c:numCache>
                <c:formatCode>[&gt;=1000000]\ \₦\ #,##0.00,,"M";[&gt;=1000]\ \₦\ #.00,"K";\ \₦\ ###.00</c:formatCode>
                <c:ptCount val="12"/>
                <c:pt idx="0">
                  <c:v>7896485.9000000004</c:v>
                </c:pt>
                <c:pt idx="1">
                  <c:v>6052969.0999999987</c:v>
                </c:pt>
                <c:pt idx="2">
                  <c:v>6757818.9999999991</c:v>
                </c:pt>
                <c:pt idx="3">
                  <c:v>6491601.3500000006</c:v>
                </c:pt>
                <c:pt idx="4">
                  <c:v>8401627.4499999993</c:v>
                </c:pt>
                <c:pt idx="5">
                  <c:v>5648640.2000000011</c:v>
                </c:pt>
                <c:pt idx="6">
                  <c:v>6247287.0999999987</c:v>
                </c:pt>
                <c:pt idx="7">
                  <c:v>5929769.25</c:v>
                </c:pt>
                <c:pt idx="8">
                  <c:v>7092178.4000000013</c:v>
                </c:pt>
                <c:pt idx="9">
                  <c:v>6376517.2999999998</c:v>
                </c:pt>
                <c:pt idx="10">
                  <c:v>6936881.1999999955</c:v>
                </c:pt>
                <c:pt idx="11">
                  <c:v>6557987.4999999991</c:v>
                </c:pt>
              </c:numCache>
            </c:numRef>
          </c:val>
          <c:smooth val="0"/>
          <c:extLst>
            <c:ext xmlns:c16="http://schemas.microsoft.com/office/drawing/2014/chart" uri="{C3380CC4-5D6E-409C-BE32-E72D297353CC}">
              <c16:uniqueId val="{00000000-9F53-4B35-8505-D8CD177E1C28}"/>
            </c:ext>
          </c:extLst>
        </c:ser>
        <c:dLbls>
          <c:dLblPos val="t"/>
          <c:showLegendKey val="0"/>
          <c:showVal val="1"/>
          <c:showCatName val="0"/>
          <c:showSerName val="0"/>
          <c:showPercent val="0"/>
          <c:showBubbleSize val="0"/>
        </c:dLbls>
        <c:smooth val="0"/>
        <c:axId val="2067816863"/>
        <c:axId val="27994847"/>
      </c:lineChart>
      <c:catAx>
        <c:axId val="206781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27994847"/>
        <c:crosses val="autoZero"/>
        <c:auto val="1"/>
        <c:lblAlgn val="ctr"/>
        <c:lblOffset val="100"/>
        <c:noMultiLvlLbl val="0"/>
      </c:catAx>
      <c:valAx>
        <c:axId val="27994847"/>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70C0"/>
                </a:solidFill>
                <a:latin typeface="+mn-lt"/>
                <a:ea typeface="+mn-ea"/>
                <a:cs typeface="+mn-cs"/>
              </a:defRPr>
            </a:pPr>
            <a:endParaRPr lang="en-US"/>
          </a:p>
        </c:txPr>
        <c:crossAx val="206781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[Fashion_Retail_Sales_Dataset.xlsx]Sales by Region!PivotTable4</c:name>
    <c:fmtId val="4"/>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rPr>
              <a:t>Sales</a:t>
            </a:r>
            <a:r>
              <a:rPr lang="en-US" baseline="0">
                <a:solidFill>
                  <a:schemeClr val="tx2">
                    <a:lumMod val="75000"/>
                  </a:schemeClr>
                </a:solidFill>
              </a:rPr>
              <a: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Region'!$A$4:$A$9</c:f>
              <c:strCache>
                <c:ptCount val="5"/>
                <c:pt idx="0">
                  <c:v>Lagos</c:v>
                </c:pt>
                <c:pt idx="1">
                  <c:v>Abuja</c:v>
                </c:pt>
                <c:pt idx="2">
                  <c:v>Oyo</c:v>
                </c:pt>
                <c:pt idx="3">
                  <c:v>Rivers</c:v>
                </c:pt>
                <c:pt idx="4">
                  <c:v>Delta</c:v>
                </c:pt>
              </c:strCache>
            </c:strRef>
          </c:cat>
          <c:val>
            <c:numRef>
              <c:f>'Sales by Region'!$B$4:$B$9</c:f>
              <c:numCache>
                <c:formatCode>[&gt;=1000000]\ \₦\ #,##0.00,,"M";[&gt;=1000]\ \₦\ #.00,"K";\ \₦\ ###.00</c:formatCode>
                <c:ptCount val="5"/>
                <c:pt idx="0">
                  <c:v>27453307.099999998</c:v>
                </c:pt>
                <c:pt idx="1">
                  <c:v>17299371.199999996</c:v>
                </c:pt>
                <c:pt idx="2">
                  <c:v>13395048.550000001</c:v>
                </c:pt>
                <c:pt idx="3">
                  <c:v>12692897.949999997</c:v>
                </c:pt>
                <c:pt idx="4">
                  <c:v>9549138.9499999993</c:v>
                </c:pt>
              </c:numCache>
            </c:numRef>
          </c:val>
          <c:extLst>
            <c:ext xmlns:c16="http://schemas.microsoft.com/office/drawing/2014/chart" uri="{C3380CC4-5D6E-409C-BE32-E72D297353CC}">
              <c16:uniqueId val="{00000000-0562-4D26-9709-388E54903C9A}"/>
            </c:ext>
          </c:extLst>
        </c:ser>
        <c:dLbls>
          <c:dLblPos val="outEnd"/>
          <c:showLegendKey val="0"/>
          <c:showVal val="1"/>
          <c:showCatName val="0"/>
          <c:showSerName val="0"/>
          <c:showPercent val="0"/>
          <c:showBubbleSize val="0"/>
        </c:dLbls>
        <c:gapWidth val="100"/>
        <c:overlap val="-24"/>
        <c:axId val="780019216"/>
        <c:axId val="647557376"/>
      </c:barChart>
      <c:catAx>
        <c:axId val="7800192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557376"/>
        <c:crosses val="autoZero"/>
        <c:auto val="1"/>
        <c:lblAlgn val="ctr"/>
        <c:lblOffset val="100"/>
        <c:noMultiLvlLbl val="0"/>
      </c:catAx>
      <c:valAx>
        <c:axId val="647557376"/>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78001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[Fashion_Retail_Sales_Dataset.xlsx]TABLE!PivotTable5</c:name>
    <c:fmtId val="2"/>
  </c:pivotSource>
  <c:chart>
    <c:title>
      <c:tx>
        <c:rich>
          <a:bodyPr rot="0" spcFirstLastPara="1" vertOverflow="ellipsis" vert="horz" wrap="square" anchor="ctr" anchorCtr="1"/>
          <a:lstStyle/>
          <a:p>
            <a:pPr algn="ctr">
              <a:defRPr sz="1600" b="0" i="0" u="none" strike="noStrike" kern="1200" spc="0" baseline="0">
                <a:solidFill>
                  <a:schemeClr val="tx2">
                    <a:lumMod val="75000"/>
                  </a:schemeClr>
                </a:solidFill>
                <a:latin typeface="+mn-lt"/>
                <a:ea typeface="+mn-ea"/>
                <a:cs typeface="+mn-cs"/>
              </a:defRPr>
            </a:pPr>
            <a:r>
              <a:rPr lang="en-US" sz="1600" b="1">
                <a:solidFill>
                  <a:schemeClr val="tx2">
                    <a:lumMod val="75000"/>
                  </a:schemeClr>
                </a:solidFill>
              </a:rPr>
              <a:t>Revenue</a:t>
            </a:r>
            <a:r>
              <a:rPr lang="en-US" sz="1600" b="1" baseline="0">
                <a:solidFill>
                  <a:schemeClr val="tx2">
                    <a:lumMod val="75000"/>
                  </a:schemeClr>
                </a:solidFill>
              </a:rPr>
              <a:t> By Sales Channel</a:t>
            </a:r>
            <a:endParaRPr lang="en-US" sz="1600" b="1">
              <a:solidFill>
                <a:schemeClr val="tx2">
                  <a:lumMod val="75000"/>
                </a:schemeClr>
              </a:solidFill>
            </a:endParaRP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w="19050">
            <a:solidFill>
              <a:schemeClr val="lt1"/>
            </a:solidFill>
          </a:ln>
          <a:effectLst/>
        </c:spPr>
      </c:pivotFmt>
      <c:pivotFmt>
        <c:idx val="8"/>
        <c:spPr>
          <a:solidFill>
            <a:srgbClr val="0070C0"/>
          </a:solidFill>
          <a:ln w="19050">
            <a:solidFill>
              <a:schemeClr val="lt1"/>
            </a:solidFill>
          </a:ln>
          <a:effectLst/>
        </c:spPr>
      </c:pivotFmt>
      <c:pivotFmt>
        <c:idx val="9"/>
        <c:spPr>
          <a:solidFill>
            <a:schemeClr val="tx2">
              <a:lumMod val="60000"/>
              <a:lumOff val="40000"/>
            </a:schemeClr>
          </a:solidFill>
          <a:ln w="19050">
            <a:solidFill>
              <a:schemeClr val="lt1"/>
            </a:solidFill>
          </a:ln>
          <a:effectLst/>
        </c:spPr>
      </c:pivotFmt>
      <c:pivotFmt>
        <c:idx val="10"/>
        <c:spPr>
          <a:solidFill>
            <a:schemeClr val="tx2">
              <a:lumMod val="40000"/>
              <a:lumOff val="60000"/>
            </a:schemeClr>
          </a:solidFill>
          <a:ln w="19050">
            <a:solidFill>
              <a:schemeClr val="lt1"/>
            </a:solidFill>
          </a:ln>
          <a:effectLst/>
        </c:spPr>
      </c:pivotFmt>
    </c:pivotFmts>
    <c:plotArea>
      <c:layout>
        <c:manualLayout>
          <c:layoutTarget val="inner"/>
          <c:xMode val="edge"/>
          <c:yMode val="edge"/>
          <c:x val="8.7287569384910266E-2"/>
          <c:y val="0.16625280048648039"/>
          <c:w val="0.63101808049359731"/>
          <c:h val="0.75227254141693911"/>
        </c:manualLayout>
      </c:layout>
      <c:doughnutChart>
        <c:varyColors val="1"/>
        <c:ser>
          <c:idx val="0"/>
          <c:order val="0"/>
          <c:tx>
            <c:strRef>
              <c:f>TABLE!$H$17</c:f>
              <c:strCache>
                <c:ptCount val="1"/>
                <c:pt idx="0">
                  <c:v>Total</c:v>
                </c:pt>
              </c:strCache>
            </c:strRef>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1-443E-448F-9781-7FF47B12C53E}"/>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443E-448F-9781-7FF47B12C53E}"/>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443E-448F-9781-7FF47B12C53E}"/>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443E-448F-9781-7FF47B12C5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TABLE!$G$18:$G$22</c:f>
              <c:strCache>
                <c:ptCount val="4"/>
                <c:pt idx="0">
                  <c:v>Instagram</c:v>
                </c:pt>
                <c:pt idx="1">
                  <c:v>Physical Store</c:v>
                </c:pt>
                <c:pt idx="2">
                  <c:v>Website</c:v>
                </c:pt>
                <c:pt idx="3">
                  <c:v>WhatsApp</c:v>
                </c:pt>
              </c:strCache>
            </c:strRef>
          </c:cat>
          <c:val>
            <c:numRef>
              <c:f>TABLE!$H$18:$H$22</c:f>
              <c:numCache>
                <c:formatCode>[&gt;=1000000]\ \₦\ #,##0.00,,"M";[&gt;=1000]\ \₦\ #.00,"K";\ \₦\ ###.00</c:formatCode>
                <c:ptCount val="4"/>
                <c:pt idx="0">
                  <c:v>14687669.050000001</c:v>
                </c:pt>
                <c:pt idx="1">
                  <c:v>26536855.400000002</c:v>
                </c:pt>
                <c:pt idx="2">
                  <c:v>22548465.399999999</c:v>
                </c:pt>
                <c:pt idx="3">
                  <c:v>16616773.899999995</c:v>
                </c:pt>
              </c:numCache>
            </c:numRef>
          </c:val>
          <c:extLst>
            <c:ext xmlns:c16="http://schemas.microsoft.com/office/drawing/2014/chart" uri="{C3380CC4-5D6E-409C-BE32-E72D297353CC}">
              <c16:uniqueId val="{00000008-443E-448F-9781-7FF47B12C53E}"/>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[Fashion_Retail_Sales_Dataset.xlsx]TABLE!PivotTable6</c:name>
    <c:fmtId val="2"/>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rPr>
              <a:t>Top 5 Product By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949256342957"/>
          <c:y val="0.17149492551513371"/>
          <c:w val="0.78395363079615044"/>
          <c:h val="0.65639308801981777"/>
        </c:manualLayout>
      </c:layout>
      <c:barChart>
        <c:barDir val="bar"/>
        <c:grouping val="clustered"/>
        <c:varyColors val="0"/>
        <c:ser>
          <c:idx val="0"/>
          <c:order val="0"/>
          <c:tx>
            <c:strRef>
              <c:f>TABLE!$B$9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TABLE!$A$10:$A$15</c:f>
              <c:strCache>
                <c:ptCount val="5"/>
                <c:pt idx="0">
                  <c:v>Hoodie</c:v>
                </c:pt>
                <c:pt idx="1">
                  <c:v>Handbag</c:v>
                </c:pt>
                <c:pt idx="2">
                  <c:v>Jeans</c:v>
                </c:pt>
                <c:pt idx="3">
                  <c:v>Dress</c:v>
                </c:pt>
                <c:pt idx="4">
                  <c:v>Sneakers</c:v>
                </c:pt>
              </c:strCache>
            </c:strRef>
          </c:cat>
          <c:val>
            <c:numRef>
              <c:f>TABLE!$B$10:$B$15</c:f>
              <c:numCache>
                <c:formatCode>[&gt;=1000000]\ \₦\ #,##0.00,,"M";[&gt;=1000]\ \₦\ #.00,"K";\ \₦\ ###.00</c:formatCode>
                <c:ptCount val="5"/>
                <c:pt idx="0">
                  <c:v>9040395.5500000007</c:v>
                </c:pt>
                <c:pt idx="1">
                  <c:v>11190071.349999998</c:v>
                </c:pt>
                <c:pt idx="2">
                  <c:v>11313986.750000002</c:v>
                </c:pt>
                <c:pt idx="3">
                  <c:v>11398521.25</c:v>
                </c:pt>
                <c:pt idx="4">
                  <c:v>12991879.199999997</c:v>
                </c:pt>
              </c:numCache>
            </c:numRef>
          </c:val>
          <c:extLst>
            <c:ext xmlns:c16="http://schemas.microsoft.com/office/drawing/2014/chart" uri="{C3380CC4-5D6E-409C-BE32-E72D297353CC}">
              <c16:uniqueId val="{00000000-B55C-4F78-B5FE-7A8DA5F43889}"/>
            </c:ext>
          </c:extLst>
        </c:ser>
        <c:dLbls>
          <c:dLblPos val="outEnd"/>
          <c:showLegendKey val="0"/>
          <c:showVal val="1"/>
          <c:showCatName val="0"/>
          <c:showSerName val="0"/>
          <c:showPercent val="0"/>
          <c:showBubbleSize val="0"/>
        </c:dLbls>
        <c:gapWidth val="100"/>
        <c:axId val="1804814303"/>
        <c:axId val="27981887"/>
      </c:barChart>
      <c:catAx>
        <c:axId val="18048143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27981887"/>
        <c:crosses val="autoZero"/>
        <c:auto val="1"/>
        <c:lblAlgn val="ctr"/>
        <c:lblOffset val="100"/>
        <c:noMultiLvlLbl val="0"/>
      </c:catAx>
      <c:valAx>
        <c:axId val="27981887"/>
        <c:scaling>
          <c:orientation val="minMax"/>
        </c:scaling>
        <c:delete val="0"/>
        <c:axPos val="b"/>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481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[Fashion_Retail_Sales_Dataset.xlsx]Customer Type!PivotTable9</c:name>
    <c:fmtId val="2"/>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b="1">
                <a:solidFill>
                  <a:schemeClr val="tx2">
                    <a:lumMod val="75000"/>
                  </a:schemeClr>
                </a:solidFill>
              </a:rPr>
              <a:t>Customer</a:t>
            </a:r>
            <a:r>
              <a:rPr lang="en-US" b="1" baseline="0">
                <a:solidFill>
                  <a:schemeClr val="tx2">
                    <a:lumMod val="75000"/>
                  </a:schemeClr>
                </a:solidFill>
              </a:rPr>
              <a:t> Type</a:t>
            </a:r>
            <a:endParaRPr lang="en-US" b="1">
              <a:solidFill>
                <a:schemeClr val="tx2">
                  <a:lumMod val="75000"/>
                </a:schemeClr>
              </a:solidFill>
            </a:endParaRPr>
          </a:p>
        </c:rich>
      </c:tx>
      <c:layout>
        <c:manualLayout>
          <c:xMode val="edge"/>
          <c:yMode val="edge"/>
          <c:x val="0.28455716834328093"/>
          <c:y val="3.4231921266581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Lst>
        </c:dLbl>
      </c:pivotFmt>
      <c:pivotFmt>
        <c:idx val="5"/>
        <c:spPr>
          <a:solidFill>
            <a:schemeClr val="accent1"/>
          </a:solidFill>
          <a:ln w="19050">
            <a:solidFill>
              <a:schemeClr val="lt1"/>
            </a:solidFill>
          </a:ln>
          <a:effectLst/>
        </c:spPr>
        <c:dLbl>
          <c:idx val="0"/>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Lst>
        </c:dLbl>
      </c:pivotFmt>
      <c:pivotFmt>
        <c:idx val="8"/>
        <c:spPr>
          <a:solidFill>
            <a:schemeClr val="tx2">
              <a:lumMod val="40000"/>
              <a:lumOff val="60000"/>
            </a:schemeClr>
          </a:solidFill>
          <a:ln w="19050">
            <a:solidFill>
              <a:schemeClr val="lt1"/>
            </a:solidFill>
          </a:ln>
          <a:effectLst/>
        </c:spPr>
        <c:dLbl>
          <c:idx val="0"/>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Lst>
        </c:dLbl>
      </c:pivotFmt>
    </c:pivotFmts>
    <c:plotArea>
      <c:layout>
        <c:manualLayout>
          <c:layoutTarget val="inner"/>
          <c:xMode val="edge"/>
          <c:yMode val="edge"/>
          <c:x val="0.17473753280839899"/>
          <c:y val="0.17042945524666558"/>
          <c:w val="0.5113773156996152"/>
          <c:h val="0.8062019926080668"/>
        </c:manualLayout>
      </c:layout>
      <c:pieChart>
        <c:varyColors val="1"/>
        <c:ser>
          <c:idx val="0"/>
          <c:order val="0"/>
          <c:tx>
            <c:strRef>
              <c:f>'Customer Type'!$C$2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D9-433D-8B04-D34CFC5CAEAB}"/>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78D9-433D-8B04-D34CFC5CAEAB}"/>
              </c:ext>
            </c:extLst>
          </c:dPt>
          <c:dLbls>
            <c:dLbl>
              <c:idx val="0"/>
              <c:layout>
                <c:manualLayout>
                  <c:x val="-0.17990478208161201"/>
                  <c:y val="-8.74674442973190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D5682C-239A-4FB3-88B9-E0559A163C6E}"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096422364244828"/>
                      <c:h val="0.14970063915309686"/>
                    </c:manualLayout>
                  </c15:layout>
                  <c15:dlblFieldTable/>
                  <c15:showDataLabelsRange val="0"/>
                </c:ext>
                <c:ext xmlns:c16="http://schemas.microsoft.com/office/drawing/2014/chart" uri="{C3380CC4-5D6E-409C-BE32-E72D297353CC}">
                  <c16:uniqueId val="{00000001-78D9-433D-8B04-D34CFC5CAEAB}"/>
                </c:ext>
              </c:extLst>
            </c:dLbl>
            <c:dLbl>
              <c:idx val="1"/>
              <c:layout>
                <c:manualLayout>
                  <c:x val="0.15689810074189156"/>
                  <c:y val="4.5516662791990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31F052-3151-4864-BC05-51E971EE3485}" type="PERCENTAGE">
                      <a:rPr lang="en-US" sz="1200"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1068857424212113E-2"/>
                      <c:h val="0.12402669820316106"/>
                    </c:manualLayout>
                  </c15:layout>
                  <c15:dlblFieldTable/>
                  <c15:showDataLabelsRange val="0"/>
                </c:ext>
                <c:ext xmlns:c16="http://schemas.microsoft.com/office/drawing/2014/chart" uri="{C3380CC4-5D6E-409C-BE32-E72D297353CC}">
                  <c16:uniqueId val="{00000003-78D9-433D-8B04-D34CFC5CAE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Type'!$B$3:$B$5</c:f>
              <c:strCache>
                <c:ptCount val="2"/>
                <c:pt idx="0">
                  <c:v>New</c:v>
                </c:pt>
                <c:pt idx="1">
                  <c:v>Returning</c:v>
                </c:pt>
              </c:strCache>
            </c:strRef>
          </c:cat>
          <c:val>
            <c:numRef>
              <c:f>'Customer Type'!$C$3:$C$5</c:f>
              <c:numCache>
                <c:formatCode>_-[$₦-470]* #,##0.00_-;\-[$₦-470]* #,##0.00_-;_-[$₦-470]* "-"??_-;_-@_-</c:formatCode>
                <c:ptCount val="2"/>
                <c:pt idx="0">
                  <c:v>44643753.000000022</c:v>
                </c:pt>
                <c:pt idx="1">
                  <c:v>35746010.749999993</c:v>
                </c:pt>
              </c:numCache>
            </c:numRef>
          </c:val>
          <c:extLst>
            <c:ext xmlns:c16="http://schemas.microsoft.com/office/drawing/2014/chart" uri="{C3380CC4-5D6E-409C-BE32-E72D297353CC}">
              <c16:uniqueId val="{00000004-78D9-433D-8B04-D34CFC5CAEA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848521281523166"/>
          <c:y val="0.38829084301525241"/>
          <c:w val="0.17805993779247345"/>
          <c:h val="0.25139168258653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[Fashion_Retail_Sales_Dataset.xlsx]TABLE!PivotTable11</c:name>
    <c:fmtId val="2"/>
  </c:pivotSource>
  <c:chart>
    <c:title>
      <c:tx>
        <c:rich>
          <a:bodyPr rot="0" spcFirstLastPara="1" vertOverflow="ellipsis" vert="horz" wrap="square" anchor="ctr" anchorCtr="1"/>
          <a:lstStyle/>
          <a:p>
            <a:pPr>
              <a:defRPr sz="1600" b="1" i="0" u="none" strike="noStrike" kern="1200" spc="0" baseline="0">
                <a:solidFill>
                  <a:schemeClr val="tx2">
                    <a:lumMod val="75000"/>
                  </a:schemeClr>
                </a:solidFill>
                <a:latin typeface="+mn-lt"/>
                <a:ea typeface="+mn-ea"/>
                <a:cs typeface="+mn-cs"/>
              </a:defRPr>
            </a:pPr>
            <a:r>
              <a:rPr lang="en-US" sz="1600" b="1">
                <a:solidFill>
                  <a:schemeClr val="tx2">
                    <a:lumMod val="75000"/>
                  </a:schemeClr>
                </a:solidFill>
              </a:rPr>
              <a:t>Sales</a:t>
            </a:r>
            <a:r>
              <a:rPr lang="en-US" sz="1600" b="1" baseline="0">
                <a:solidFill>
                  <a:schemeClr val="tx2">
                    <a:lumMod val="75000"/>
                  </a:schemeClr>
                </a:solidFill>
              </a:rPr>
              <a:t> By Campaing</a:t>
            </a:r>
            <a:endParaRPr lang="en-US" sz="16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TABLE!$N$4</c:f>
              <c:strCache>
                <c:ptCount val="1"/>
                <c:pt idx="0">
                  <c:v>Total</c:v>
                </c:pt>
              </c:strCache>
            </c:strRef>
          </c:tx>
          <c:spPr>
            <a:solidFill>
              <a:schemeClr val="accent1"/>
            </a:solidFill>
            <a:ln>
              <a:noFill/>
            </a:ln>
            <a:effectLst/>
          </c:spPr>
          <c:invertIfNegative val="0"/>
          <c:cat>
            <c:strRef>
              <c:f>TABLE!$M$5:$M$11</c:f>
              <c:strCache>
                <c:ptCount val="6"/>
                <c:pt idx="0">
                  <c:v>None</c:v>
                </c:pt>
                <c:pt idx="1">
                  <c:v>Easter Sale</c:v>
                </c:pt>
                <c:pt idx="2">
                  <c:v>Black Friday</c:v>
                </c:pt>
                <c:pt idx="3">
                  <c:v>Mid-Year Sale</c:v>
                </c:pt>
                <c:pt idx="4">
                  <c:v>Christmas Promo</c:v>
                </c:pt>
                <c:pt idx="5">
                  <c:v>Valentine Promo</c:v>
                </c:pt>
              </c:strCache>
            </c:strRef>
          </c:cat>
          <c:val>
            <c:numRef>
              <c:f>TABLE!$N$5:$N$11</c:f>
              <c:numCache>
                <c:formatCode>[&gt;=1000000]\ \₦\ #,##0.00,,"M";[&gt;=1000]\ \₦\ #.00,"K";\ \₦\ ###.00</c:formatCode>
                <c:ptCount val="6"/>
                <c:pt idx="0">
                  <c:v>55321480.899999984</c:v>
                </c:pt>
                <c:pt idx="1">
                  <c:v>5662507.1000000015</c:v>
                </c:pt>
                <c:pt idx="2">
                  <c:v>5572732.799999998</c:v>
                </c:pt>
                <c:pt idx="3">
                  <c:v>5290037.95</c:v>
                </c:pt>
                <c:pt idx="4">
                  <c:v>4667829.95</c:v>
                </c:pt>
                <c:pt idx="5">
                  <c:v>3875175.0500000003</c:v>
                </c:pt>
              </c:numCache>
            </c:numRef>
          </c:val>
          <c:extLst>
            <c:ext xmlns:c16="http://schemas.microsoft.com/office/drawing/2014/chart" uri="{C3380CC4-5D6E-409C-BE32-E72D297353CC}">
              <c16:uniqueId val="{00000000-0A15-4926-B1DA-738FE35DC9E9}"/>
            </c:ext>
          </c:extLst>
        </c:ser>
        <c:dLbls>
          <c:showLegendKey val="0"/>
          <c:showVal val="0"/>
          <c:showCatName val="0"/>
          <c:showSerName val="0"/>
          <c:showPercent val="0"/>
          <c:showBubbleSize val="0"/>
        </c:dLbls>
        <c:gapWidth val="109"/>
        <c:overlap val="-27"/>
        <c:axId val="118898783"/>
        <c:axId val="28717439"/>
      </c:barChart>
      <c:catAx>
        <c:axId val="11889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7439"/>
        <c:crosses val="autoZero"/>
        <c:auto val="1"/>
        <c:lblAlgn val="ctr"/>
        <c:lblOffset val="100"/>
        <c:noMultiLvlLbl val="0"/>
      </c:catAx>
      <c:valAx>
        <c:axId val="28717439"/>
        <c:scaling>
          <c:orientation val="minMax"/>
        </c:scaling>
        <c:delete val="0"/>
        <c:axPos val="l"/>
        <c:numFmt formatCode="[&gt;=1000000]\ \₦\ #,##0.00,,&quot;M&quot;;[&gt;=1000]\ \₦\ #.00,&quot;K&quot;;\ \₦\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8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hyperlink" Target="#DASHBOARD!A1"/><Relationship Id="rId2" Type="http://schemas.openxmlformats.org/officeDocument/2006/relationships/chart" Target="../charts/chart7.xml"/><Relationship Id="rId1" Type="http://schemas.openxmlformats.org/officeDocument/2006/relationships/hyperlink" Target="#Fashion_Retail_Sales_Data!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899160</xdr:colOff>
      <xdr:row>1</xdr:row>
      <xdr:rowOff>7620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27A5E23-1A09-4EFE-8A68-137048FFDD3E}"/>
            </a:ext>
          </a:extLst>
        </xdr:cNvPr>
        <xdr:cNvSpPr/>
      </xdr:nvSpPr>
      <xdr:spPr>
        <a:xfrm>
          <a:off x="0" y="0"/>
          <a:ext cx="1722120" cy="533400"/>
        </a:xfrm>
        <a:prstGeom prst="roundRect">
          <a:avLst>
            <a:gd name="adj" fmla="val 50000"/>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2</xdr:row>
      <xdr:rowOff>7620</xdr:rowOff>
    </xdr:from>
    <xdr:to>
      <xdr:col>10</xdr:col>
      <xdr:colOff>563880</xdr:colOff>
      <xdr:row>16</xdr:row>
      <xdr:rowOff>148590</xdr:rowOff>
    </xdr:to>
    <xdr:graphicFrame macro="">
      <xdr:nvGraphicFramePr>
        <xdr:cNvPr id="2" name="Chart 1">
          <a:extLst>
            <a:ext uri="{FF2B5EF4-FFF2-40B4-BE49-F238E27FC236}">
              <a16:creationId xmlns:a16="http://schemas.microsoft.com/office/drawing/2014/main" id="{09EBAF85-F87D-29DA-37CE-2435230A8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2</xdr:row>
      <xdr:rowOff>3810</xdr:rowOff>
    </xdr:from>
    <xdr:to>
      <xdr:col>10</xdr:col>
      <xdr:colOff>723900</xdr:colOff>
      <xdr:row>17</xdr:row>
      <xdr:rowOff>91440</xdr:rowOff>
    </xdr:to>
    <xdr:graphicFrame macro="">
      <xdr:nvGraphicFramePr>
        <xdr:cNvPr id="2" name="Chart 1">
          <a:extLst>
            <a:ext uri="{FF2B5EF4-FFF2-40B4-BE49-F238E27FC236}">
              <a16:creationId xmlns:a16="http://schemas.microsoft.com/office/drawing/2014/main" id="{FF2D8CA9-8541-707D-8D90-FB64D47DB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1</xdr:row>
      <xdr:rowOff>156210</xdr:rowOff>
    </xdr:from>
    <xdr:to>
      <xdr:col>14</xdr:col>
      <xdr:colOff>312420</xdr:colOff>
      <xdr:row>17</xdr:row>
      <xdr:rowOff>167640</xdr:rowOff>
    </xdr:to>
    <xdr:graphicFrame macro="">
      <xdr:nvGraphicFramePr>
        <xdr:cNvPr id="2" name="Chart 1">
          <a:extLst>
            <a:ext uri="{FF2B5EF4-FFF2-40B4-BE49-F238E27FC236}">
              <a16:creationId xmlns:a16="http://schemas.microsoft.com/office/drawing/2014/main" id="{B012AD45-ADE1-3021-2A3F-CCB4B46F3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2</xdr:row>
      <xdr:rowOff>0</xdr:rowOff>
    </xdr:from>
    <xdr:to>
      <xdr:col>7</xdr:col>
      <xdr:colOff>0</xdr:colOff>
      <xdr:row>17</xdr:row>
      <xdr:rowOff>0</xdr:rowOff>
    </xdr:to>
    <xdr:graphicFrame macro="">
      <xdr:nvGraphicFramePr>
        <xdr:cNvPr id="2" name="Chart 1">
          <a:extLst>
            <a:ext uri="{FF2B5EF4-FFF2-40B4-BE49-F238E27FC236}">
              <a16:creationId xmlns:a16="http://schemas.microsoft.com/office/drawing/2014/main" id="{7AD47173-4FF4-5752-4A80-90BDCD473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373380</xdr:colOff>
      <xdr:row>3</xdr:row>
      <xdr:rowOff>3810</xdr:rowOff>
    </xdr:from>
    <xdr:to>
      <xdr:col>11</xdr:col>
      <xdr:colOff>388620</xdr:colOff>
      <xdr:row>19</xdr:row>
      <xdr:rowOff>45720</xdr:rowOff>
    </xdr:to>
    <xdr:graphicFrame macro="">
      <xdr:nvGraphicFramePr>
        <xdr:cNvPr id="2" name="Chart 1">
          <a:extLst>
            <a:ext uri="{FF2B5EF4-FFF2-40B4-BE49-F238E27FC236}">
              <a16:creationId xmlns:a16="http://schemas.microsoft.com/office/drawing/2014/main" id="{C1081A62-EED9-8E69-B2AD-836449D9A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144780</xdr:rowOff>
    </xdr:from>
    <xdr:to>
      <xdr:col>0</xdr:col>
      <xdr:colOff>1447800</xdr:colOff>
      <xdr:row>23</xdr:row>
      <xdr:rowOff>167640</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5B7359D7-1DDE-4B74-9143-EF7DD7155FB9}"/>
            </a:ext>
          </a:extLst>
        </xdr:cNvPr>
        <xdr:cNvSpPr/>
      </xdr:nvSpPr>
      <xdr:spPr>
        <a:xfrm>
          <a:off x="0" y="3802380"/>
          <a:ext cx="1447800" cy="571500"/>
        </a:xfrm>
        <a:prstGeom prst="roundRect">
          <a:avLst>
            <a:gd name="adj" fmla="val 50000"/>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BACK</a:t>
          </a:r>
        </a:p>
      </xdr:txBody>
    </xdr:sp>
    <xdr:clientData/>
  </xdr:twoCellAnchor>
  <xdr:twoCellAnchor>
    <xdr:from>
      <xdr:col>16</xdr:col>
      <xdr:colOff>152400</xdr:colOff>
      <xdr:row>0</xdr:row>
      <xdr:rowOff>91440</xdr:rowOff>
    </xdr:from>
    <xdr:to>
      <xdr:col>16</xdr:col>
      <xdr:colOff>762000</xdr:colOff>
      <xdr:row>2</xdr:row>
      <xdr:rowOff>129540</xdr:rowOff>
    </xdr:to>
    <xdr:graphicFrame macro="">
      <xdr:nvGraphicFramePr>
        <xdr:cNvPr id="10" name="Chart 9">
          <a:extLst>
            <a:ext uri="{FF2B5EF4-FFF2-40B4-BE49-F238E27FC236}">
              <a16:creationId xmlns:a16="http://schemas.microsoft.com/office/drawing/2014/main" id="{FC798699-CDC2-AA49-9A28-D3EA8E6E6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xdr:colOff>
      <xdr:row>0</xdr:row>
      <xdr:rowOff>76200</xdr:rowOff>
    </xdr:from>
    <xdr:to>
      <xdr:col>31</xdr:col>
      <xdr:colOff>38100</xdr:colOff>
      <xdr:row>50</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1965072-C02A-CD69-E0DE-F9D43EB048AD}"/>
            </a:ext>
          </a:extLst>
        </xdr:cNvPr>
        <xdr:cNvSpPr/>
      </xdr:nvSpPr>
      <xdr:spPr>
        <a:xfrm>
          <a:off x="1238250" y="76200"/>
          <a:ext cx="17697450" cy="9220200"/>
        </a:xfrm>
        <a:prstGeom prst="roundRect">
          <a:avLst>
            <a:gd name="adj" fmla="val 34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497840</xdr:colOff>
      <xdr:row>3</xdr:row>
      <xdr:rowOff>162560</xdr:rowOff>
    </xdr:from>
    <xdr:to>
      <xdr:col>30</xdr:col>
      <xdr:colOff>533400</xdr:colOff>
      <xdr:row>49</xdr:row>
      <xdr:rowOff>152400</xdr:rowOff>
    </xdr:to>
    <xdr:sp macro="" textlink="">
      <xdr:nvSpPr>
        <xdr:cNvPr id="3" name="Rectangle: Rounded Corners 2">
          <a:extLst>
            <a:ext uri="{FF2B5EF4-FFF2-40B4-BE49-F238E27FC236}">
              <a16:creationId xmlns:a16="http://schemas.microsoft.com/office/drawing/2014/main" id="{BB06DE14-7122-4AAA-BCDD-202D3F1019A7}"/>
            </a:ext>
          </a:extLst>
        </xdr:cNvPr>
        <xdr:cNvSpPr/>
      </xdr:nvSpPr>
      <xdr:spPr>
        <a:xfrm>
          <a:off x="2936240" y="734060"/>
          <a:ext cx="15885160" cy="8752840"/>
        </a:xfrm>
        <a:prstGeom prst="roundRect">
          <a:avLst>
            <a:gd name="adj" fmla="val 345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5</xdr:row>
      <xdr:rowOff>60960</xdr:rowOff>
    </xdr:from>
    <xdr:to>
      <xdr:col>30</xdr:col>
      <xdr:colOff>76200</xdr:colOff>
      <xdr:row>12</xdr:row>
      <xdr:rowOff>88900</xdr:rowOff>
    </xdr:to>
    <xdr:sp macro="" textlink="">
      <xdr:nvSpPr>
        <xdr:cNvPr id="4" name="Rectangle: Rounded Corners 3">
          <a:extLst>
            <a:ext uri="{FF2B5EF4-FFF2-40B4-BE49-F238E27FC236}">
              <a16:creationId xmlns:a16="http://schemas.microsoft.com/office/drawing/2014/main" id="{DE1C40C4-FA21-0C69-6958-6CC79BAC39E1}"/>
            </a:ext>
          </a:extLst>
        </xdr:cNvPr>
        <xdr:cNvSpPr/>
      </xdr:nvSpPr>
      <xdr:spPr>
        <a:xfrm>
          <a:off x="4876800" y="949960"/>
          <a:ext cx="13487400" cy="127254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30480</xdr:colOff>
      <xdr:row>5</xdr:row>
      <xdr:rowOff>76200</xdr:rowOff>
    </xdr:from>
    <xdr:to>
      <xdr:col>7</xdr:col>
      <xdr:colOff>381000</xdr:colOff>
      <xdr:row>48</xdr:row>
      <xdr:rowOff>114300</xdr:rowOff>
    </xdr:to>
    <xdr:sp macro="" textlink="">
      <xdr:nvSpPr>
        <xdr:cNvPr id="5" name="Rectangle: Rounded Corners 4">
          <a:extLst>
            <a:ext uri="{FF2B5EF4-FFF2-40B4-BE49-F238E27FC236}">
              <a16:creationId xmlns:a16="http://schemas.microsoft.com/office/drawing/2014/main" id="{13F35FC5-885E-468B-9F53-78E05A3BA9FD}"/>
            </a:ext>
          </a:extLst>
        </xdr:cNvPr>
        <xdr:cNvSpPr/>
      </xdr:nvSpPr>
      <xdr:spPr>
        <a:xfrm>
          <a:off x="3078480" y="1028700"/>
          <a:ext cx="1569720" cy="822960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15240</xdr:colOff>
      <xdr:row>13</xdr:row>
      <xdr:rowOff>76200</xdr:rowOff>
    </xdr:from>
    <xdr:to>
      <xdr:col>13</xdr:col>
      <xdr:colOff>76200</xdr:colOff>
      <xdr:row>19</xdr:row>
      <xdr:rowOff>91440</xdr:rowOff>
    </xdr:to>
    <xdr:sp macro="" textlink="">
      <xdr:nvSpPr>
        <xdr:cNvPr id="6" name="Rectangle: Rounded Corners 5">
          <a:extLst>
            <a:ext uri="{FF2B5EF4-FFF2-40B4-BE49-F238E27FC236}">
              <a16:creationId xmlns:a16="http://schemas.microsoft.com/office/drawing/2014/main" id="{C110BC3B-F23C-499E-B3B3-50C2A614DB66}"/>
            </a:ext>
          </a:extLst>
        </xdr:cNvPr>
        <xdr:cNvSpPr/>
      </xdr:nvSpPr>
      <xdr:spPr>
        <a:xfrm>
          <a:off x="4892040" y="2453640"/>
          <a:ext cx="3108960" cy="111252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421640</xdr:colOff>
      <xdr:row>13</xdr:row>
      <xdr:rowOff>76200</xdr:rowOff>
    </xdr:from>
    <xdr:to>
      <xdr:col>18</xdr:col>
      <xdr:colOff>482600</xdr:colOff>
      <xdr:row>19</xdr:row>
      <xdr:rowOff>91440</xdr:rowOff>
    </xdr:to>
    <xdr:sp macro="" textlink="">
      <xdr:nvSpPr>
        <xdr:cNvPr id="7" name="Rectangle: Rounded Corners 6">
          <a:extLst>
            <a:ext uri="{FF2B5EF4-FFF2-40B4-BE49-F238E27FC236}">
              <a16:creationId xmlns:a16="http://schemas.microsoft.com/office/drawing/2014/main" id="{55925F05-75BE-4746-946F-279A2B3A8C13}"/>
            </a:ext>
          </a:extLst>
        </xdr:cNvPr>
        <xdr:cNvSpPr/>
      </xdr:nvSpPr>
      <xdr:spPr>
        <a:xfrm>
          <a:off x="8346440" y="2453640"/>
          <a:ext cx="3108960" cy="111252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218440</xdr:colOff>
      <xdr:row>13</xdr:row>
      <xdr:rowOff>76200</xdr:rowOff>
    </xdr:from>
    <xdr:to>
      <xdr:col>24</xdr:col>
      <xdr:colOff>279400</xdr:colOff>
      <xdr:row>19</xdr:row>
      <xdr:rowOff>91440</xdr:rowOff>
    </xdr:to>
    <xdr:sp macro="" textlink="">
      <xdr:nvSpPr>
        <xdr:cNvPr id="8" name="Rectangle: Rounded Corners 7">
          <a:extLst>
            <a:ext uri="{FF2B5EF4-FFF2-40B4-BE49-F238E27FC236}">
              <a16:creationId xmlns:a16="http://schemas.microsoft.com/office/drawing/2014/main" id="{500C78D2-24F5-4F4A-A912-9B3047A38B9F}"/>
            </a:ext>
          </a:extLst>
        </xdr:cNvPr>
        <xdr:cNvSpPr/>
      </xdr:nvSpPr>
      <xdr:spPr>
        <a:xfrm>
          <a:off x="11800840" y="2453640"/>
          <a:ext cx="3108960" cy="111252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15240</xdr:colOff>
      <xdr:row>13</xdr:row>
      <xdr:rowOff>76200</xdr:rowOff>
    </xdr:from>
    <xdr:to>
      <xdr:col>30</xdr:col>
      <xdr:colOff>76200</xdr:colOff>
      <xdr:row>19</xdr:row>
      <xdr:rowOff>91440</xdr:rowOff>
    </xdr:to>
    <xdr:sp macro="" textlink="">
      <xdr:nvSpPr>
        <xdr:cNvPr id="9" name="Rectangle: Rounded Corners 8">
          <a:extLst>
            <a:ext uri="{FF2B5EF4-FFF2-40B4-BE49-F238E27FC236}">
              <a16:creationId xmlns:a16="http://schemas.microsoft.com/office/drawing/2014/main" id="{50E16DA4-B820-48DF-BCBA-F3A6AB083C90}"/>
            </a:ext>
          </a:extLst>
        </xdr:cNvPr>
        <xdr:cNvSpPr/>
      </xdr:nvSpPr>
      <xdr:spPr>
        <a:xfrm>
          <a:off x="15255240" y="2453640"/>
          <a:ext cx="3108960" cy="111252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371475</xdr:colOff>
      <xdr:row>0</xdr:row>
      <xdr:rowOff>118109</xdr:rowOff>
    </xdr:from>
    <xdr:to>
      <xdr:col>22</xdr:col>
      <xdr:colOff>600075</xdr:colOff>
      <xdr:row>4</xdr:row>
      <xdr:rowOff>0</xdr:rowOff>
    </xdr:to>
    <xdr:sp macro="" textlink="">
      <xdr:nvSpPr>
        <xdr:cNvPr id="10" name="Rectangle: Rounded Corners 9">
          <a:extLst>
            <a:ext uri="{FF2B5EF4-FFF2-40B4-BE49-F238E27FC236}">
              <a16:creationId xmlns:a16="http://schemas.microsoft.com/office/drawing/2014/main" id="{29C6C695-B760-4D12-B194-7398BB233946}"/>
            </a:ext>
          </a:extLst>
        </xdr:cNvPr>
        <xdr:cNvSpPr/>
      </xdr:nvSpPr>
      <xdr:spPr>
        <a:xfrm>
          <a:off x="7077075" y="118109"/>
          <a:ext cx="6934200" cy="605791"/>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3200" b="1">
              <a:solidFill>
                <a:schemeClr val="bg1"/>
              </a:solidFill>
            </a:rPr>
            <a:t>Sales</a:t>
          </a:r>
          <a:r>
            <a:rPr lang="en-US" sz="3200" b="1" baseline="0">
              <a:solidFill>
                <a:schemeClr val="bg1"/>
              </a:solidFill>
            </a:rPr>
            <a:t> performance Dashboard</a:t>
          </a:r>
          <a:endParaRPr lang="en-US" sz="3200" b="1">
            <a:solidFill>
              <a:schemeClr val="bg1"/>
            </a:solidFill>
          </a:endParaRPr>
        </a:p>
      </xdr:txBody>
    </xdr:sp>
    <xdr:clientData/>
  </xdr:twoCellAnchor>
  <xdr:twoCellAnchor>
    <xdr:from>
      <xdr:col>27</xdr:col>
      <xdr:colOff>285750</xdr:colOff>
      <xdr:row>0</xdr:row>
      <xdr:rowOff>123825</xdr:rowOff>
    </xdr:from>
    <xdr:to>
      <xdr:col>29</xdr:col>
      <xdr:colOff>533400</xdr:colOff>
      <xdr:row>4</xdr:row>
      <xdr:rowOff>9525</xdr:rowOff>
    </xdr:to>
    <xdr:sp macro="" textlink="">
      <xdr:nvSpPr>
        <xdr:cNvPr id="12" name="Rectangle: Rounded Corners 11">
          <a:extLst>
            <a:ext uri="{FF2B5EF4-FFF2-40B4-BE49-F238E27FC236}">
              <a16:creationId xmlns:a16="http://schemas.microsoft.com/office/drawing/2014/main" id="{CA9BA38C-77B3-9A7F-CE97-AF20AD9F3624}"/>
            </a:ext>
          </a:extLst>
        </xdr:cNvPr>
        <xdr:cNvSpPr/>
      </xdr:nvSpPr>
      <xdr:spPr>
        <a:xfrm>
          <a:off x="16744950" y="123825"/>
          <a:ext cx="1466850" cy="609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Date Latest update</a:t>
          </a:r>
        </a:p>
      </xdr:txBody>
    </xdr:sp>
    <xdr:clientData/>
  </xdr:twoCellAnchor>
  <xdr:twoCellAnchor>
    <xdr:from>
      <xdr:col>27</xdr:col>
      <xdr:colOff>514350</xdr:colOff>
      <xdr:row>2</xdr:row>
      <xdr:rowOff>85724</xdr:rowOff>
    </xdr:from>
    <xdr:to>
      <xdr:col>29</xdr:col>
      <xdr:colOff>400050</xdr:colOff>
      <xdr:row>3</xdr:row>
      <xdr:rowOff>123824</xdr:rowOff>
    </xdr:to>
    <xdr:sp macro="" textlink="">
      <xdr:nvSpPr>
        <xdr:cNvPr id="16" name="TextBox 15">
          <a:extLst>
            <a:ext uri="{FF2B5EF4-FFF2-40B4-BE49-F238E27FC236}">
              <a16:creationId xmlns:a16="http://schemas.microsoft.com/office/drawing/2014/main" id="{0C224E20-D321-D92B-E8EF-BF82E105BE86}"/>
            </a:ext>
          </a:extLst>
        </xdr:cNvPr>
        <xdr:cNvSpPr txBox="1"/>
      </xdr:nvSpPr>
      <xdr:spPr>
        <a:xfrm>
          <a:off x="16973550" y="447674"/>
          <a:ext cx="11049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mn-lt"/>
              <a:ea typeface="+mn-ea"/>
              <a:cs typeface="+mn-cs"/>
            </a:rPr>
            <a:t>31-Dec-2026</a:t>
          </a:r>
          <a:r>
            <a:rPr lang="en-US" b="1">
              <a:effectLst/>
            </a:rPr>
            <a:t> </a:t>
          </a:r>
          <a:endParaRPr lang="en-US" sz="1100" b="1"/>
        </a:p>
      </xdr:txBody>
    </xdr:sp>
    <xdr:clientData/>
  </xdr:twoCellAnchor>
  <xdr:twoCellAnchor>
    <xdr:from>
      <xdr:col>8</xdr:col>
      <xdr:colOff>533400</xdr:colOff>
      <xdr:row>13</xdr:row>
      <xdr:rowOff>76200</xdr:rowOff>
    </xdr:from>
    <xdr:to>
      <xdr:col>12</xdr:col>
      <xdr:colOff>213360</xdr:colOff>
      <xdr:row>15</xdr:row>
      <xdr:rowOff>152400</xdr:rowOff>
    </xdr:to>
    <xdr:sp macro="" textlink="">
      <xdr:nvSpPr>
        <xdr:cNvPr id="17" name="TextBox 16">
          <a:extLst>
            <a:ext uri="{FF2B5EF4-FFF2-40B4-BE49-F238E27FC236}">
              <a16:creationId xmlns:a16="http://schemas.microsoft.com/office/drawing/2014/main" id="{C19DF5C2-1C89-E0DC-DF51-3A6A7260ECD2}"/>
            </a:ext>
          </a:extLst>
        </xdr:cNvPr>
        <xdr:cNvSpPr txBox="1"/>
      </xdr:nvSpPr>
      <xdr:spPr>
        <a:xfrm>
          <a:off x="5410200" y="245364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Revenue</a:t>
          </a:r>
        </a:p>
      </xdr:txBody>
    </xdr:sp>
    <xdr:clientData/>
  </xdr:twoCellAnchor>
  <xdr:twoCellAnchor>
    <xdr:from>
      <xdr:col>14</xdr:col>
      <xdr:colOff>353907</xdr:colOff>
      <xdr:row>13</xdr:row>
      <xdr:rowOff>76200</xdr:rowOff>
    </xdr:from>
    <xdr:to>
      <xdr:col>18</xdr:col>
      <xdr:colOff>33867</xdr:colOff>
      <xdr:row>15</xdr:row>
      <xdr:rowOff>152400</xdr:rowOff>
    </xdr:to>
    <xdr:sp macro="" textlink="">
      <xdr:nvSpPr>
        <xdr:cNvPr id="18" name="TextBox 17">
          <a:extLst>
            <a:ext uri="{FF2B5EF4-FFF2-40B4-BE49-F238E27FC236}">
              <a16:creationId xmlns:a16="http://schemas.microsoft.com/office/drawing/2014/main" id="{54448A66-6FC3-4EA4-824B-2C05EED2DC64}"/>
            </a:ext>
          </a:extLst>
        </xdr:cNvPr>
        <xdr:cNvSpPr txBox="1"/>
      </xdr:nvSpPr>
      <xdr:spPr>
        <a:xfrm>
          <a:off x="8888307" y="245364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Quantity</a:t>
          </a:r>
          <a:r>
            <a:rPr lang="en-US" sz="2400" b="1" baseline="0"/>
            <a:t> Sold</a:t>
          </a:r>
          <a:endParaRPr lang="en-US" sz="2400" b="1"/>
        </a:p>
      </xdr:txBody>
    </xdr:sp>
    <xdr:clientData/>
  </xdr:twoCellAnchor>
  <xdr:twoCellAnchor>
    <xdr:from>
      <xdr:col>20</xdr:col>
      <xdr:colOff>174414</xdr:colOff>
      <xdr:row>13</xdr:row>
      <xdr:rowOff>76200</xdr:rowOff>
    </xdr:from>
    <xdr:to>
      <xdr:col>23</xdr:col>
      <xdr:colOff>463974</xdr:colOff>
      <xdr:row>15</xdr:row>
      <xdr:rowOff>152400</xdr:rowOff>
    </xdr:to>
    <xdr:sp macro="" textlink="">
      <xdr:nvSpPr>
        <xdr:cNvPr id="19" name="TextBox 18">
          <a:extLst>
            <a:ext uri="{FF2B5EF4-FFF2-40B4-BE49-F238E27FC236}">
              <a16:creationId xmlns:a16="http://schemas.microsoft.com/office/drawing/2014/main" id="{95E6BE23-6AF2-4B83-BCA2-AB8D366A3CCF}"/>
            </a:ext>
          </a:extLst>
        </xdr:cNvPr>
        <xdr:cNvSpPr txBox="1"/>
      </xdr:nvSpPr>
      <xdr:spPr>
        <a:xfrm>
          <a:off x="12366414" y="245364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Profit</a:t>
          </a:r>
        </a:p>
      </xdr:txBody>
    </xdr:sp>
    <xdr:clientData/>
  </xdr:twoCellAnchor>
  <xdr:twoCellAnchor>
    <xdr:from>
      <xdr:col>25</xdr:col>
      <xdr:colOff>604520</xdr:colOff>
      <xdr:row>13</xdr:row>
      <xdr:rowOff>76200</xdr:rowOff>
    </xdr:from>
    <xdr:to>
      <xdr:col>29</xdr:col>
      <xdr:colOff>284480</xdr:colOff>
      <xdr:row>15</xdr:row>
      <xdr:rowOff>152400</xdr:rowOff>
    </xdr:to>
    <xdr:sp macro="" textlink="">
      <xdr:nvSpPr>
        <xdr:cNvPr id="20" name="TextBox 19">
          <a:extLst>
            <a:ext uri="{FF2B5EF4-FFF2-40B4-BE49-F238E27FC236}">
              <a16:creationId xmlns:a16="http://schemas.microsoft.com/office/drawing/2014/main" id="{343CB46F-1BB3-47D3-B0F2-6223A79A0460}"/>
            </a:ext>
          </a:extLst>
        </xdr:cNvPr>
        <xdr:cNvSpPr txBox="1"/>
      </xdr:nvSpPr>
      <xdr:spPr>
        <a:xfrm>
          <a:off x="15844520" y="245364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Cost</a:t>
          </a:r>
          <a:endParaRPr lang="en-US" sz="2400" b="1"/>
        </a:p>
      </xdr:txBody>
    </xdr:sp>
    <xdr:clientData/>
  </xdr:twoCellAnchor>
  <xdr:twoCellAnchor>
    <xdr:from>
      <xdr:col>9</xdr:col>
      <xdr:colOff>91440</xdr:colOff>
      <xdr:row>16</xdr:row>
      <xdr:rowOff>30480</xdr:rowOff>
    </xdr:from>
    <xdr:to>
      <xdr:col>12</xdr:col>
      <xdr:colOff>381000</xdr:colOff>
      <xdr:row>18</xdr:row>
      <xdr:rowOff>106680</xdr:rowOff>
    </xdr:to>
    <xdr:sp macro="" textlink="TABLE!B2">
      <xdr:nvSpPr>
        <xdr:cNvPr id="21" name="TextBox 20">
          <a:extLst>
            <a:ext uri="{FF2B5EF4-FFF2-40B4-BE49-F238E27FC236}">
              <a16:creationId xmlns:a16="http://schemas.microsoft.com/office/drawing/2014/main" id="{171C81D4-2AD2-4CBF-AE1E-EB048FDE9FAE}"/>
            </a:ext>
          </a:extLst>
        </xdr:cNvPr>
        <xdr:cNvSpPr txBox="1"/>
      </xdr:nvSpPr>
      <xdr:spPr>
        <a:xfrm>
          <a:off x="5577840" y="295656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9D1C66-2A65-4824-9C92-D4134761EFA1}" type="TxLink">
            <a:rPr lang="en-US" sz="3200" b="1" i="0" u="none" strike="noStrike">
              <a:solidFill>
                <a:schemeClr val="accent1"/>
              </a:solidFill>
              <a:latin typeface="Calibri"/>
              <a:cs typeface="Calibri"/>
            </a:rPr>
            <a:pPr algn="ctr"/>
            <a:t> ₦ 80.39M</a:t>
          </a:fld>
          <a:endParaRPr lang="en-US" sz="6000" b="1">
            <a:solidFill>
              <a:schemeClr val="accent1"/>
            </a:solidFill>
          </a:endParaRPr>
        </a:p>
      </xdr:txBody>
    </xdr:sp>
    <xdr:clientData/>
  </xdr:twoCellAnchor>
  <xdr:twoCellAnchor>
    <xdr:from>
      <xdr:col>14</xdr:col>
      <xdr:colOff>355600</xdr:colOff>
      <xdr:row>16</xdr:row>
      <xdr:rowOff>30480</xdr:rowOff>
    </xdr:from>
    <xdr:to>
      <xdr:col>18</xdr:col>
      <xdr:colOff>35560</xdr:colOff>
      <xdr:row>18</xdr:row>
      <xdr:rowOff>106680</xdr:rowOff>
    </xdr:to>
    <xdr:sp macro="" textlink="TABLE!B5">
      <xdr:nvSpPr>
        <xdr:cNvPr id="22" name="TextBox 21">
          <a:extLst>
            <a:ext uri="{FF2B5EF4-FFF2-40B4-BE49-F238E27FC236}">
              <a16:creationId xmlns:a16="http://schemas.microsoft.com/office/drawing/2014/main" id="{2958C4DF-13C0-415B-AC4E-763FBC6CC691}"/>
            </a:ext>
          </a:extLst>
        </xdr:cNvPr>
        <xdr:cNvSpPr txBox="1"/>
      </xdr:nvSpPr>
      <xdr:spPr>
        <a:xfrm>
          <a:off x="8890000" y="295656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23051C-80E4-4970-B376-86CCE332D532}" type="TxLink">
            <a:rPr lang="en-US" sz="3200" b="1" i="0" u="none" strike="noStrike">
              <a:solidFill>
                <a:schemeClr val="accent1"/>
              </a:solidFill>
              <a:latin typeface="Calibri"/>
              <a:cs typeface="Calibri"/>
            </a:rPr>
            <a:pPr algn="ctr"/>
            <a:t>2527</a:t>
          </a:fld>
          <a:endParaRPr lang="en-US" sz="6000" b="1">
            <a:solidFill>
              <a:schemeClr val="accent1"/>
            </a:solidFill>
          </a:endParaRPr>
        </a:p>
      </xdr:txBody>
    </xdr:sp>
    <xdr:clientData/>
  </xdr:twoCellAnchor>
  <xdr:twoCellAnchor>
    <xdr:from>
      <xdr:col>20</xdr:col>
      <xdr:colOff>81280</xdr:colOff>
      <xdr:row>16</xdr:row>
      <xdr:rowOff>30480</xdr:rowOff>
    </xdr:from>
    <xdr:to>
      <xdr:col>23</xdr:col>
      <xdr:colOff>370840</xdr:colOff>
      <xdr:row>18</xdr:row>
      <xdr:rowOff>106680</xdr:rowOff>
    </xdr:to>
    <xdr:sp macro="" textlink="TABLE!B7">
      <xdr:nvSpPr>
        <xdr:cNvPr id="23" name="TextBox 22">
          <a:extLst>
            <a:ext uri="{FF2B5EF4-FFF2-40B4-BE49-F238E27FC236}">
              <a16:creationId xmlns:a16="http://schemas.microsoft.com/office/drawing/2014/main" id="{DF65488D-F226-4EB4-AC4A-811CE6E874B9}"/>
            </a:ext>
          </a:extLst>
        </xdr:cNvPr>
        <xdr:cNvSpPr txBox="1"/>
      </xdr:nvSpPr>
      <xdr:spPr>
        <a:xfrm>
          <a:off x="12273280" y="295656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A0D5B3-321C-460E-819B-1E3B9865AB6A}" type="TxLink">
            <a:rPr lang="en-US" sz="3200" b="1" i="0" u="none" strike="noStrike">
              <a:solidFill>
                <a:schemeClr val="accent1"/>
              </a:solidFill>
              <a:latin typeface="Calibri"/>
              <a:cs typeface="Calibri"/>
            </a:rPr>
            <a:pPr algn="ctr"/>
            <a:t> ₦ 31.37M</a:t>
          </a:fld>
          <a:endParaRPr lang="en-US" sz="11500" b="1">
            <a:solidFill>
              <a:schemeClr val="accent1"/>
            </a:solidFill>
          </a:endParaRPr>
        </a:p>
      </xdr:txBody>
    </xdr:sp>
    <xdr:clientData/>
  </xdr:twoCellAnchor>
  <xdr:twoCellAnchor>
    <xdr:from>
      <xdr:col>25</xdr:col>
      <xdr:colOff>604520</xdr:colOff>
      <xdr:row>16</xdr:row>
      <xdr:rowOff>30480</xdr:rowOff>
    </xdr:from>
    <xdr:to>
      <xdr:col>29</xdr:col>
      <xdr:colOff>284480</xdr:colOff>
      <xdr:row>18</xdr:row>
      <xdr:rowOff>106680</xdr:rowOff>
    </xdr:to>
    <xdr:sp macro="" textlink="TABLE!B6">
      <xdr:nvSpPr>
        <xdr:cNvPr id="24" name="TextBox 23">
          <a:extLst>
            <a:ext uri="{FF2B5EF4-FFF2-40B4-BE49-F238E27FC236}">
              <a16:creationId xmlns:a16="http://schemas.microsoft.com/office/drawing/2014/main" id="{216249F6-A636-4669-8DC0-8927EB63B142}"/>
            </a:ext>
          </a:extLst>
        </xdr:cNvPr>
        <xdr:cNvSpPr txBox="1"/>
      </xdr:nvSpPr>
      <xdr:spPr>
        <a:xfrm>
          <a:off x="15844520" y="2956560"/>
          <a:ext cx="2118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35FC45-9801-4AE0-A91C-DBB9BAA35069}" type="TxLink">
            <a:rPr lang="en-US" sz="3200" b="1" i="0" u="none" strike="noStrike">
              <a:solidFill>
                <a:schemeClr val="accent1"/>
              </a:solidFill>
              <a:latin typeface="Calibri"/>
              <a:cs typeface="Calibri"/>
            </a:rPr>
            <a:pPr algn="ctr"/>
            <a:t> ₦ 49.02M</a:t>
          </a:fld>
          <a:endParaRPr lang="en-US" sz="6000" b="1">
            <a:solidFill>
              <a:schemeClr val="accent1"/>
            </a:solidFill>
          </a:endParaRPr>
        </a:p>
      </xdr:txBody>
    </xdr:sp>
    <xdr:clientData/>
  </xdr:twoCellAnchor>
  <xdr:twoCellAnchor>
    <xdr:from>
      <xdr:col>8</xdr:col>
      <xdr:colOff>2540</xdr:colOff>
      <xdr:row>20</xdr:row>
      <xdr:rowOff>15240</xdr:rowOff>
    </xdr:from>
    <xdr:to>
      <xdr:col>19</xdr:col>
      <xdr:colOff>57150</xdr:colOff>
      <xdr:row>32</xdr:row>
      <xdr:rowOff>102870</xdr:rowOff>
    </xdr:to>
    <xdr:graphicFrame macro="">
      <xdr:nvGraphicFramePr>
        <xdr:cNvPr id="25" name="Chart 24">
          <a:extLst>
            <a:ext uri="{FF2B5EF4-FFF2-40B4-BE49-F238E27FC236}">
              <a16:creationId xmlns:a16="http://schemas.microsoft.com/office/drawing/2014/main" id="{C20E8770-8E18-4FA1-96C2-1C3126B0D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260803</xdr:colOff>
      <xdr:row>20</xdr:row>
      <xdr:rowOff>48169</xdr:rowOff>
    </xdr:from>
    <xdr:to>
      <xdr:col>24</xdr:col>
      <xdr:colOff>362403</xdr:colOff>
      <xdr:row>32</xdr:row>
      <xdr:rowOff>139609</xdr:rowOff>
    </xdr:to>
    <xdr:graphicFrame macro="">
      <xdr:nvGraphicFramePr>
        <xdr:cNvPr id="26" name="Chart 25">
          <a:extLst>
            <a:ext uri="{FF2B5EF4-FFF2-40B4-BE49-F238E27FC236}">
              <a16:creationId xmlns:a16="http://schemas.microsoft.com/office/drawing/2014/main" id="{63B68325-F3F4-417C-A4E9-7226299C6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566057</xdr:colOff>
      <xdr:row>20</xdr:row>
      <xdr:rowOff>84909</xdr:rowOff>
    </xdr:from>
    <xdr:to>
      <xdr:col>30</xdr:col>
      <xdr:colOff>106680</xdr:colOff>
      <xdr:row>32</xdr:row>
      <xdr:rowOff>176349</xdr:rowOff>
    </xdr:to>
    <xdr:graphicFrame macro="">
      <xdr:nvGraphicFramePr>
        <xdr:cNvPr id="27" name="Chart 26">
          <a:extLst>
            <a:ext uri="{FF2B5EF4-FFF2-40B4-BE49-F238E27FC236}">
              <a16:creationId xmlns:a16="http://schemas.microsoft.com/office/drawing/2014/main" id="{F9B6FF18-BD49-4EE3-B5E1-D0E8CF861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83820</xdr:colOff>
      <xdr:row>33</xdr:row>
      <xdr:rowOff>171450</xdr:rowOff>
    </xdr:from>
    <xdr:to>
      <xdr:col>15</xdr:col>
      <xdr:colOff>388620</xdr:colOff>
      <xdr:row>48</xdr:row>
      <xdr:rowOff>57150</xdr:rowOff>
    </xdr:to>
    <xdr:graphicFrame macro="">
      <xdr:nvGraphicFramePr>
        <xdr:cNvPr id="28" name="Chart 27">
          <a:extLst>
            <a:ext uri="{FF2B5EF4-FFF2-40B4-BE49-F238E27FC236}">
              <a16:creationId xmlns:a16="http://schemas.microsoft.com/office/drawing/2014/main" id="{5462A1A9-5E2F-4FAB-ABCD-0688DBBC5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279400</xdr:colOff>
      <xdr:row>33</xdr:row>
      <xdr:rowOff>171450</xdr:rowOff>
    </xdr:from>
    <xdr:to>
      <xdr:col>30</xdr:col>
      <xdr:colOff>127000</xdr:colOff>
      <xdr:row>48</xdr:row>
      <xdr:rowOff>57150</xdr:rowOff>
    </xdr:to>
    <xdr:graphicFrame macro="">
      <xdr:nvGraphicFramePr>
        <xdr:cNvPr id="30" name="Chart 29">
          <a:extLst>
            <a:ext uri="{FF2B5EF4-FFF2-40B4-BE49-F238E27FC236}">
              <a16:creationId xmlns:a16="http://schemas.microsoft.com/office/drawing/2014/main" id="{DE24C297-6728-40A5-9DEA-F14D18178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111429</xdr:colOff>
      <xdr:row>5</xdr:row>
      <xdr:rowOff>176530</xdr:rowOff>
    </xdr:from>
    <xdr:to>
      <xdr:col>7</xdr:col>
      <xdr:colOff>320979</xdr:colOff>
      <xdr:row>15</xdr:row>
      <xdr:rowOff>101600</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43E2B448-B568-4091-8F3D-771D3E7AA0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59429" y="1090930"/>
              <a:ext cx="1428750" cy="1667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110613</xdr:colOff>
      <xdr:row>15</xdr:row>
      <xdr:rowOff>168729</xdr:rowOff>
    </xdr:from>
    <xdr:to>
      <xdr:col>7</xdr:col>
      <xdr:colOff>321796</xdr:colOff>
      <xdr:row>22</xdr:row>
      <xdr:rowOff>114300</xdr:rowOff>
    </xdr:to>
    <mc:AlternateContent xmlns:mc="http://schemas.openxmlformats.org/markup-compatibility/2006" xmlns:a14="http://schemas.microsoft.com/office/drawing/2010/main">
      <mc:Choice Requires="a14">
        <xdr:graphicFrame macro="">
          <xdr:nvGraphicFramePr>
            <xdr:cNvPr id="36" name="Category">
              <a:extLst>
                <a:ext uri="{FF2B5EF4-FFF2-40B4-BE49-F238E27FC236}">
                  <a16:creationId xmlns:a16="http://schemas.microsoft.com/office/drawing/2014/main" id="{CA82441F-F00D-4238-B755-DD84A0A7DD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58613" y="2911929"/>
              <a:ext cx="1430383" cy="1160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112572</xdr:colOff>
      <xdr:row>23</xdr:row>
      <xdr:rowOff>19595</xdr:rowOff>
    </xdr:from>
    <xdr:to>
      <xdr:col>7</xdr:col>
      <xdr:colOff>319836</xdr:colOff>
      <xdr:row>31</xdr:row>
      <xdr:rowOff>58782</xdr:rowOff>
    </xdr:to>
    <mc:AlternateContent xmlns:mc="http://schemas.openxmlformats.org/markup-compatibility/2006" xmlns:a14="http://schemas.microsoft.com/office/drawing/2010/main">
      <mc:Choice Requires="a14">
        <xdr:graphicFrame macro="">
          <xdr:nvGraphicFramePr>
            <xdr:cNvPr id="37" name="Channel">
              <a:extLst>
                <a:ext uri="{FF2B5EF4-FFF2-40B4-BE49-F238E27FC236}">
                  <a16:creationId xmlns:a16="http://schemas.microsoft.com/office/drawing/2014/main" id="{410A25B1-64FB-42E9-B5CB-9B9C39FE6AA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160572" y="4225835"/>
              <a:ext cx="1426464" cy="1502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112572</xdr:colOff>
      <xdr:row>42</xdr:row>
      <xdr:rowOff>60960</xdr:rowOff>
    </xdr:from>
    <xdr:to>
      <xdr:col>7</xdr:col>
      <xdr:colOff>319836</xdr:colOff>
      <xdr:row>47</xdr:row>
      <xdr:rowOff>106680</xdr:rowOff>
    </xdr:to>
    <mc:AlternateContent xmlns:mc="http://schemas.openxmlformats.org/markup-compatibility/2006" xmlns:a14="http://schemas.microsoft.com/office/drawing/2010/main">
      <mc:Choice Requires="a14">
        <xdr:graphicFrame macro="">
          <xdr:nvGraphicFramePr>
            <xdr:cNvPr id="38" name="Customer_Type">
              <a:extLst>
                <a:ext uri="{FF2B5EF4-FFF2-40B4-BE49-F238E27FC236}">
                  <a16:creationId xmlns:a16="http://schemas.microsoft.com/office/drawing/2014/main" id="{5D5E93E9-A549-4163-9C6E-15E1E2DC310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160572" y="7741920"/>
              <a:ext cx="1426464"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5</xdr:row>
      <xdr:rowOff>101600</xdr:rowOff>
    </xdr:from>
    <xdr:to>
      <xdr:col>11</xdr:col>
      <xdr:colOff>541020</xdr:colOff>
      <xdr:row>11</xdr:row>
      <xdr:rowOff>132080</xdr:rowOff>
    </xdr:to>
    <mc:AlternateContent xmlns:mc="http://schemas.openxmlformats.org/markup-compatibility/2006" xmlns:tsle="http://schemas.microsoft.com/office/drawing/2012/timeslicer">
      <mc:Choice Requires="tsle">
        <xdr:graphicFrame macro="">
          <xdr:nvGraphicFramePr>
            <xdr:cNvPr id="39" name="Order_Date">
              <a:extLst>
                <a:ext uri="{FF2B5EF4-FFF2-40B4-BE49-F238E27FC236}">
                  <a16:creationId xmlns:a16="http://schemas.microsoft.com/office/drawing/2014/main" id="{4C865CF4-C147-48FD-A610-8FFAFC5DCAF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067300" y="990600"/>
              <a:ext cx="217932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483870</xdr:colOff>
      <xdr:row>5</xdr:row>
      <xdr:rowOff>101600</xdr:rowOff>
    </xdr:from>
    <xdr:to>
      <xdr:col>20</xdr:col>
      <xdr:colOff>483870</xdr:colOff>
      <xdr:row>11</xdr:row>
      <xdr:rowOff>132080</xdr:rowOff>
    </xdr:to>
    <mc:AlternateContent xmlns:mc="http://schemas.openxmlformats.org/markup-compatibility/2006" xmlns:tsle="http://schemas.microsoft.com/office/drawing/2012/timeslicer">
      <mc:Choice Requires="tsle">
        <xdr:graphicFrame macro="">
          <xdr:nvGraphicFramePr>
            <xdr:cNvPr id="40" name="Order_Date 1">
              <a:extLst>
                <a:ext uri="{FF2B5EF4-FFF2-40B4-BE49-F238E27FC236}">
                  <a16:creationId xmlns:a16="http://schemas.microsoft.com/office/drawing/2014/main" id="{B3DE5157-F119-4883-A5AB-BF728422950D}"/>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189470" y="990600"/>
              <a:ext cx="548640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426720</xdr:colOff>
      <xdr:row>5</xdr:row>
      <xdr:rowOff>101600</xdr:rowOff>
    </xdr:from>
    <xdr:to>
      <xdr:col>30</xdr:col>
      <xdr:colOff>0</xdr:colOff>
      <xdr:row>11</xdr:row>
      <xdr:rowOff>132080</xdr:rowOff>
    </xdr:to>
    <mc:AlternateContent xmlns:mc="http://schemas.openxmlformats.org/markup-compatibility/2006" xmlns:tsle="http://schemas.microsoft.com/office/drawing/2012/timeslicer">
      <mc:Choice Requires="tsle">
        <xdr:graphicFrame macro="">
          <xdr:nvGraphicFramePr>
            <xdr:cNvPr id="41" name="Order_Date 2">
              <a:extLst>
                <a:ext uri="{FF2B5EF4-FFF2-40B4-BE49-F238E27FC236}">
                  <a16:creationId xmlns:a16="http://schemas.microsoft.com/office/drawing/2014/main" id="{02E4BBD9-B2AD-4576-AA7D-B3F0EF29ADB7}"/>
                </a:ext>
              </a:extLst>
            </xdr:cNvPr>
            <xdr:cNvGraphicFramePr>
              <a:graphicFrameLocks/>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2618720" y="990600"/>
              <a:ext cx="566928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198120</xdr:colOff>
      <xdr:row>11</xdr:row>
      <xdr:rowOff>30480</xdr:rowOff>
    </xdr:from>
    <xdr:to>
      <xdr:col>4</xdr:col>
      <xdr:colOff>441960</xdr:colOff>
      <xdr:row>14</xdr:row>
      <xdr:rowOff>15240</xdr:rowOff>
    </xdr:to>
    <xdr:sp macro="" textlink="">
      <xdr:nvSpPr>
        <xdr:cNvPr id="44" name="Rectangle: Rounded Corners 43">
          <a:hlinkClick xmlns:r="http://schemas.openxmlformats.org/officeDocument/2006/relationships" r:id="rId7"/>
          <a:extLst>
            <a:ext uri="{FF2B5EF4-FFF2-40B4-BE49-F238E27FC236}">
              <a16:creationId xmlns:a16="http://schemas.microsoft.com/office/drawing/2014/main" id="{5F914FAE-21AB-AEB8-FF4D-C851F74E226B}"/>
            </a:ext>
          </a:extLst>
        </xdr:cNvPr>
        <xdr:cNvSpPr/>
      </xdr:nvSpPr>
      <xdr:spPr>
        <a:xfrm>
          <a:off x="1417320" y="2042160"/>
          <a:ext cx="1463040" cy="5334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0070C0"/>
              </a:solidFill>
            </a:rPr>
            <a:t>DASHBOARD</a:t>
          </a:r>
        </a:p>
      </xdr:txBody>
    </xdr:sp>
    <xdr:clientData/>
  </xdr:twoCellAnchor>
  <xdr:twoCellAnchor>
    <xdr:from>
      <xdr:col>2</xdr:col>
      <xdr:colOff>152400</xdr:colOff>
      <xdr:row>15</xdr:row>
      <xdr:rowOff>137160</xdr:rowOff>
    </xdr:from>
    <xdr:to>
      <xdr:col>4</xdr:col>
      <xdr:colOff>396240</xdr:colOff>
      <xdr:row>18</xdr:row>
      <xdr:rowOff>121920</xdr:rowOff>
    </xdr:to>
    <xdr:sp macro="" textlink="">
      <xdr:nvSpPr>
        <xdr:cNvPr id="46" name="Rectangle: Rounded Corners 45">
          <a:extLst>
            <a:ext uri="{FF2B5EF4-FFF2-40B4-BE49-F238E27FC236}">
              <a16:creationId xmlns:a16="http://schemas.microsoft.com/office/drawing/2014/main" id="{547DBF74-0533-533F-BA88-F8C957B9EA31}"/>
            </a:ext>
          </a:extLst>
        </xdr:cNvPr>
        <xdr:cNvSpPr/>
      </xdr:nvSpPr>
      <xdr:spPr>
        <a:xfrm>
          <a:off x="1371600" y="2880360"/>
          <a:ext cx="1463040" cy="53340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SUMMARY</a:t>
          </a:r>
        </a:p>
      </xdr:txBody>
    </xdr:sp>
    <xdr:clientData/>
  </xdr:twoCellAnchor>
  <xdr:twoCellAnchor>
    <xdr:from>
      <xdr:col>2</xdr:col>
      <xdr:colOff>152400</xdr:colOff>
      <xdr:row>21</xdr:row>
      <xdr:rowOff>30480</xdr:rowOff>
    </xdr:from>
    <xdr:to>
      <xdr:col>4</xdr:col>
      <xdr:colOff>396240</xdr:colOff>
      <xdr:row>24</xdr:row>
      <xdr:rowOff>15240</xdr:rowOff>
    </xdr:to>
    <xdr:sp macro="" textlink="">
      <xdr:nvSpPr>
        <xdr:cNvPr id="47" name="Rectangle: Rounded Corners 46">
          <a:extLst>
            <a:ext uri="{FF2B5EF4-FFF2-40B4-BE49-F238E27FC236}">
              <a16:creationId xmlns:a16="http://schemas.microsoft.com/office/drawing/2014/main" id="{71863EBF-933F-F980-36B9-379C0499A801}"/>
            </a:ext>
          </a:extLst>
        </xdr:cNvPr>
        <xdr:cNvSpPr/>
      </xdr:nvSpPr>
      <xdr:spPr>
        <a:xfrm>
          <a:off x="1371600" y="3870960"/>
          <a:ext cx="1463040" cy="53340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DATA</a:t>
          </a:r>
        </a:p>
      </xdr:txBody>
    </xdr:sp>
    <xdr:clientData/>
  </xdr:twoCellAnchor>
  <xdr:twoCellAnchor editAs="oneCell">
    <xdr:from>
      <xdr:col>5</xdr:col>
      <xdr:colOff>94284</xdr:colOff>
      <xdr:row>31</xdr:row>
      <xdr:rowOff>38100</xdr:rowOff>
    </xdr:from>
    <xdr:to>
      <xdr:col>7</xdr:col>
      <xdr:colOff>338124</xdr:colOff>
      <xdr:row>42</xdr:row>
      <xdr:rowOff>63500</xdr:rowOff>
    </xdr:to>
    <mc:AlternateContent xmlns:mc="http://schemas.openxmlformats.org/markup-compatibility/2006" xmlns:a14="http://schemas.microsoft.com/office/drawing/2010/main">
      <mc:Choice Requires="a14">
        <xdr:graphicFrame macro="">
          <xdr:nvGraphicFramePr>
            <xdr:cNvPr id="11" name="Campaign">
              <a:extLst>
                <a:ext uri="{FF2B5EF4-FFF2-40B4-BE49-F238E27FC236}">
                  <a16:creationId xmlns:a16="http://schemas.microsoft.com/office/drawing/2014/main" id="{CF555670-7B9E-4344-BED8-35D951419670}"/>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3142284" y="5549900"/>
              <a:ext cx="146304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532130</xdr:colOff>
      <xdr:row>33</xdr:row>
      <xdr:rowOff>171450</xdr:rowOff>
    </xdr:from>
    <xdr:to>
      <xdr:col>23</xdr:col>
      <xdr:colOff>135890</xdr:colOff>
      <xdr:row>48</xdr:row>
      <xdr:rowOff>61722</xdr:rowOff>
    </xdr:to>
    <xdr:graphicFrame macro="">
      <xdr:nvGraphicFramePr>
        <xdr:cNvPr id="13" name="Chart 12">
          <a:extLst>
            <a:ext uri="{FF2B5EF4-FFF2-40B4-BE49-F238E27FC236}">
              <a16:creationId xmlns:a16="http://schemas.microsoft.com/office/drawing/2014/main" id="{99948209-7719-4351-8428-FCE0ACC72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986125578704" createdVersion="8" refreshedVersion="8" minRefreshableVersion="3" recordCount="1200" xr:uid="{55BFB0CE-2D04-4195-99EB-DE74FE83FACA}">
  <cacheSource type="worksheet">
    <worksheetSource name="Table2"/>
  </cacheSource>
  <cacheFields count="22">
    <cacheField name="Order_ID" numFmtId="0">
      <sharedItems/>
    </cacheField>
    <cacheField name="Order_Date" numFmtId="164">
      <sharedItems containsSemiMixedTypes="0" containsNonDate="0" containsDate="1" containsString="0" minDate="2024-01-01T00:00:00" maxDate="2027-01-01T00:00:00" count="7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20T00:00:00"/>
        <d v="2024-01-21T00:00:00"/>
        <d v="2024-01-22T00:00:00"/>
        <d v="2024-01-23T00:00:00"/>
        <d v="2024-01-25T00:00:00"/>
        <d v="2024-01-27T00:00:00"/>
        <d v="2024-01-28T00:00:00"/>
        <d v="2024-01-29T00:00:00"/>
        <d v="2024-02-01T00:00:00"/>
        <d v="2024-02-03T00:00:00"/>
        <d v="2024-02-04T00:00:00"/>
        <d v="2024-02-05T00:00:00"/>
        <d v="2024-02-06T00:00:00"/>
        <d v="2024-02-07T00:00:00"/>
        <d v="2024-02-08T00:00:00"/>
        <d v="2024-02-09T00:00:00"/>
        <d v="2024-02-10T00:00:00"/>
        <d v="2024-02-11T00:00:00"/>
        <d v="2024-02-12T00:00:00"/>
        <d v="2024-02-16T00:00:00"/>
        <d v="2024-02-17T00:00:00"/>
        <d v="2024-02-20T00:00:00"/>
        <d v="2024-02-22T00:00:00"/>
        <d v="2024-02-23T00:00:00"/>
        <d v="2024-02-24T00:00:00"/>
        <d v="2024-02-25T00:00:00"/>
        <d v="2024-02-27T00:00:00"/>
        <d v="2024-02-28T00:00:00"/>
        <d v="2024-03-01T00:00:00"/>
        <d v="2024-03-02T00:00:00"/>
        <d v="2024-03-03T00:00:00"/>
        <d v="2024-03-05T00:00:00"/>
        <d v="2024-03-07T00:00:00"/>
        <d v="2024-03-09T00:00:00"/>
        <d v="2024-03-13T00:00:00"/>
        <d v="2024-03-15T00:00:00"/>
        <d v="2024-03-16T00:00:00"/>
        <d v="2024-03-18T00:00:00"/>
        <d v="2024-03-20T00:00:00"/>
        <d v="2024-03-21T00:00:00"/>
        <d v="2024-03-22T00:00:00"/>
        <d v="2024-03-23T00:00:00"/>
        <d v="2024-03-26T00:00:00"/>
        <d v="2024-03-27T00:00:00"/>
        <d v="2024-03-28T00:00:00"/>
        <d v="2024-03-29T00:00:00"/>
        <d v="2024-03-30T00:00:00"/>
        <d v="2024-03-31T00:00:00"/>
        <d v="2024-04-01T00:00:00"/>
        <d v="2024-04-02T00:00:00"/>
        <d v="2024-04-03T00:00:00"/>
        <d v="2024-04-04T00:00:00"/>
        <d v="2024-04-05T00:00:00"/>
        <d v="2024-04-07T00:00:00"/>
        <d v="2024-04-08T00:00:00"/>
        <d v="2024-04-11T00:00:00"/>
        <d v="2024-04-12T00:00:00"/>
        <d v="2024-04-13T00:00:00"/>
        <d v="2024-04-14T00:00:00"/>
        <d v="2024-04-16T00:00:00"/>
        <d v="2024-04-17T00:00:00"/>
        <d v="2024-04-18T00:00:00"/>
        <d v="2024-04-20T00:00:00"/>
        <d v="2024-04-22T00:00:00"/>
        <d v="2024-04-23T00:00:00"/>
        <d v="2024-04-24T00:00:00"/>
        <d v="2024-04-26T00:00:00"/>
        <d v="2024-04-27T00:00:00"/>
        <d v="2024-04-29T00:00:00"/>
        <d v="2024-05-01T00:00:00"/>
        <d v="2024-05-02T00:00:00"/>
        <d v="2024-05-05T00:00:00"/>
        <d v="2024-05-06T00:00:00"/>
        <d v="2024-05-07T00:00:00"/>
        <d v="2024-05-09T00:00:00"/>
        <d v="2024-05-10T00:00:00"/>
        <d v="2024-05-11T00:00:00"/>
        <d v="2024-05-12T00:00:00"/>
        <d v="2024-05-13T00:00:00"/>
        <d v="2024-05-14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8T00:00:00"/>
        <d v="2024-06-09T00:00:00"/>
        <d v="2024-06-10T00:00:00"/>
        <d v="2024-06-13T00:00:00"/>
        <d v="2024-06-14T00:00:00"/>
        <d v="2024-06-15T00:00:00"/>
        <d v="2024-06-16T00:00:00"/>
        <d v="2024-06-18T00:00:00"/>
        <d v="2024-06-20T00:00:00"/>
        <d v="2024-06-21T00:00:00"/>
        <d v="2024-06-25T00:00:00"/>
        <d v="2024-06-29T00:00:00"/>
        <d v="2024-06-30T00:00:00"/>
        <d v="2024-07-01T00:00:00"/>
        <d v="2024-07-02T00:00:00"/>
        <d v="2024-07-05T00:00:00"/>
        <d v="2024-07-06T00:00:00"/>
        <d v="2024-07-08T00:00:00"/>
        <d v="2024-07-09T00:00:00"/>
        <d v="2024-07-10T00:00:00"/>
        <d v="2024-07-12T00:00:00"/>
        <d v="2024-07-14T00:00:00"/>
        <d v="2024-07-16T00:00:00"/>
        <d v="2024-07-19T00:00:00"/>
        <d v="2024-07-20T00:00:00"/>
        <d v="2024-07-21T00:00:00"/>
        <d v="2024-07-23T00:00:00"/>
        <d v="2024-07-24T00:00:00"/>
        <d v="2024-07-25T00:00:00"/>
        <d v="2024-07-26T00:00:00"/>
        <d v="2024-08-01T00:00:00"/>
        <d v="2024-08-02T00:00:00"/>
        <d v="2024-08-03T00:00:00"/>
        <d v="2024-08-04T00:00:00"/>
        <d v="2024-08-05T00:00:00"/>
        <d v="2024-08-07T00:00:00"/>
        <d v="2024-08-11T00:00:00"/>
        <d v="2024-08-12T00:00:00"/>
        <d v="2024-08-13T00:00:00"/>
        <d v="2024-08-15T00:00:00"/>
        <d v="2024-08-16T00:00:00"/>
        <d v="2024-08-17T00:00:00"/>
        <d v="2024-08-18T00:00:00"/>
        <d v="2024-08-20T00:00:00"/>
        <d v="2024-08-22T00:00:00"/>
        <d v="2024-08-23T00:00:00"/>
        <d v="2024-08-24T00:00:00"/>
        <d v="2024-08-26T00:00:00"/>
        <d v="2024-08-29T00:00:00"/>
        <d v="2024-08-30T00:00:00"/>
        <d v="2024-08-31T00:00:00"/>
        <d v="2024-09-01T00:00:00"/>
        <d v="2024-09-02T00:00:00"/>
        <d v="2024-09-03T00:00:00"/>
        <d v="2024-09-05T00:00:00"/>
        <d v="2024-09-06T00:00:00"/>
        <d v="2024-09-07T00:00:00"/>
        <d v="2024-09-09T00:00:00"/>
        <d v="2024-09-10T00:00:00"/>
        <d v="2024-09-12T00:00:00"/>
        <d v="2024-09-14T00:00:00"/>
        <d v="2024-09-15T00:00:00"/>
        <d v="2024-09-17T00:00:00"/>
        <d v="2024-09-19T00:00:00"/>
        <d v="2024-09-20T00:00:00"/>
        <d v="2024-09-21T00:00:00"/>
        <d v="2024-09-22T00:00:00"/>
        <d v="2024-09-24T00:00:00"/>
        <d v="2024-09-25T00:00:00"/>
        <d v="2024-09-26T00:00:00"/>
        <d v="2024-09-28T00:00:00"/>
        <d v="2024-10-01T00:00:00"/>
        <d v="2024-10-03T00:00:00"/>
        <d v="2024-10-05T00:00:00"/>
        <d v="2024-10-06T00:00:00"/>
        <d v="2024-10-07T00:00:00"/>
        <d v="2024-10-10T00:00:00"/>
        <d v="2024-10-11T00:00:00"/>
        <d v="2024-10-12T00:00:00"/>
        <d v="2024-10-15T00:00:00"/>
        <d v="2024-10-19T00:00:00"/>
        <d v="2024-10-20T00:00:00"/>
        <d v="2024-10-22T00:00:00"/>
        <d v="2024-10-28T00:00:00"/>
        <d v="2024-10-29T00:00:00"/>
        <d v="2024-10-31T00:00:00"/>
        <d v="2024-11-06T00:00:00"/>
        <d v="2024-11-08T00:00:00"/>
        <d v="2024-11-09T00:00:00"/>
        <d v="2024-11-10T00:00:00"/>
        <d v="2024-11-11T00:00:00"/>
        <d v="2024-11-13T00:00:00"/>
        <d v="2024-11-15T00:00:00"/>
        <d v="2024-11-16T00:00:00"/>
        <d v="2024-11-19T00:00:00"/>
        <d v="2024-11-21T00:00:00"/>
        <d v="2024-11-22T00:00:00"/>
        <d v="2024-11-23T00:00:00"/>
        <d v="2024-11-24T00:00:00"/>
        <d v="2024-11-25T00:00:00"/>
        <d v="2024-11-26T00:00:00"/>
        <d v="2024-11-29T00:00:00"/>
        <d v="2024-11-30T00:00:00"/>
        <d v="2024-12-01T00:00:00"/>
        <d v="2024-12-02T00:00:00"/>
        <d v="2024-12-03T00:00:00"/>
        <d v="2024-12-04T00:00:00"/>
        <d v="2024-12-05T00:00:00"/>
        <d v="2024-12-06T00:00:00"/>
        <d v="2024-12-07T00:00:00"/>
        <d v="2024-12-09T00:00:00"/>
        <d v="2024-12-11T00:00:00"/>
        <d v="2024-12-12T00:00:00"/>
        <d v="2024-12-13T00:00:00"/>
        <d v="2024-12-15T00:00:00"/>
        <d v="2024-12-21T00:00:00"/>
        <d v="2024-12-22T00:00:00"/>
        <d v="2024-12-23T00:00:00"/>
        <d v="2024-12-25T00:00:00"/>
        <d v="2024-12-28T00:00:00"/>
        <d v="2024-12-29T00:00:00"/>
        <d v="2024-12-30T00:00:00"/>
        <d v="2025-01-04T00:00:00"/>
        <d v="2025-01-05T00:00:00"/>
        <d v="2025-01-06T00:00:00"/>
        <d v="2025-01-07T00:00:00"/>
        <d v="2025-01-08T00:00:00"/>
        <d v="2025-01-10T00:00:00"/>
        <d v="2025-01-11T00:00:00"/>
        <d v="2025-01-13T00:00:00"/>
        <d v="2025-01-14T00:00:00"/>
        <d v="2025-01-19T00:00:00"/>
        <d v="2025-01-20T00:00:00"/>
        <d v="2025-01-21T00:00:00"/>
        <d v="2025-01-22T00:00:00"/>
        <d v="2025-01-23T00:00:00"/>
        <d v="2025-01-24T00:00:00"/>
        <d v="2025-01-25T00:00:00"/>
        <d v="2025-01-26T00:00:00"/>
        <d v="2025-01-27T00:00:00"/>
        <d v="2025-01-30T00:00:00"/>
        <d v="2025-01-31T00:00:00"/>
        <d v="2025-02-01T00:00:00"/>
        <d v="2025-02-02T00:00:00"/>
        <d v="2025-02-03T00:00:00"/>
        <d v="2025-02-04T00:00:00"/>
        <d v="2025-02-05T00:00:00"/>
        <d v="2025-02-06T00:00:00"/>
        <d v="2025-02-07T00:00:00"/>
        <d v="2025-02-08T00:00:00"/>
        <d v="2025-02-09T00:00:00"/>
        <d v="2025-02-10T00:00:00"/>
        <d v="2025-02-11T00:00:00"/>
        <d v="2025-02-16T00:00:00"/>
        <d v="2025-02-17T00:00:00"/>
        <d v="2025-02-21T00:00:00"/>
        <d v="2025-02-22T00:00:00"/>
        <d v="2025-02-23T00:00:00"/>
        <d v="2025-02-25T00:00:00"/>
        <d v="2025-02-28T00:00:00"/>
        <d v="2025-03-04T00:00:00"/>
        <d v="2025-03-07T00:00:00"/>
        <d v="2025-03-10T00:00:00"/>
        <d v="2025-03-13T00:00:00"/>
        <d v="2025-03-17T00:00:00"/>
        <d v="2025-03-18T00:00:00"/>
        <d v="2025-03-19T00:00:00"/>
        <d v="2025-03-20T00:00:00"/>
        <d v="2025-03-22T00:00:00"/>
        <d v="2025-03-24T00:00:00"/>
        <d v="2025-03-25T00:00:00"/>
        <d v="2025-03-27T00:00:00"/>
        <d v="2025-03-28T00:00:00"/>
        <d v="2025-03-29T00:00:00"/>
        <d v="2025-03-30T00:00:00"/>
        <d v="2025-03-31T00:00:00"/>
        <d v="2025-04-01T00:00:00"/>
        <d v="2025-04-04T00:00:00"/>
        <d v="2025-04-05T00:00:00"/>
        <d v="2025-04-08T00:00:00"/>
        <d v="2025-04-10T00:00:00"/>
        <d v="2025-04-11T00:00:00"/>
        <d v="2025-04-12T00:00:00"/>
        <d v="2025-04-13T00:00:00"/>
        <d v="2025-04-14T00:00:00"/>
        <d v="2025-04-15T00:00:00"/>
        <d v="2025-04-17T00:00:00"/>
        <d v="2025-04-18T00:00:00"/>
        <d v="2025-04-19T00:00:00"/>
        <d v="2025-04-20T00:00:00"/>
        <d v="2025-04-21T00:00:00"/>
        <d v="2025-04-22T00:00:00"/>
        <d v="2025-04-26T00:00:00"/>
        <d v="2025-04-29T00:00:00"/>
        <d v="2025-05-02T00:00:00"/>
        <d v="2025-05-03T00:00:00"/>
        <d v="2025-05-04T00:00:00"/>
        <d v="2025-05-05T00:00:00"/>
        <d v="2025-05-06T00:00:00"/>
        <d v="2025-05-07T00:00:00"/>
        <d v="2025-05-08T00:00:00"/>
        <d v="2025-05-11T00:00:00"/>
        <d v="2025-05-13T00:00:00"/>
        <d v="2025-05-14T00:00:00"/>
        <d v="2025-05-16T00:00:00"/>
        <d v="2025-05-17T00:00:00"/>
        <d v="2025-05-18T00:00:00"/>
        <d v="2025-05-19T00:00:00"/>
        <d v="2025-05-20T00:00:00"/>
        <d v="2025-05-23T00:00:00"/>
        <d v="2025-05-24T00:00:00"/>
        <d v="2025-05-25T00:00:00"/>
        <d v="2025-05-26T00:00:00"/>
        <d v="2025-05-27T00:00:00"/>
        <d v="2025-05-28T00:00:00"/>
        <d v="2025-05-30T00:00:00"/>
        <d v="2025-05-31T00:00:00"/>
        <d v="2025-06-01T00:00:00"/>
        <d v="2025-06-04T00:00:00"/>
        <d v="2025-06-05T00:00:00"/>
        <d v="2025-06-07T00:00:00"/>
        <d v="2025-06-08T00:00:00"/>
        <d v="2025-06-09T00:00:00"/>
        <d v="2025-06-15T00:00:00"/>
        <d v="2025-06-17T00:00:00"/>
        <d v="2025-06-20T00:00:00"/>
        <d v="2025-06-21T00:00:00"/>
        <d v="2025-06-23T00:00:00"/>
        <d v="2025-06-24T00:00:00"/>
        <d v="2025-06-25T00:00:00"/>
        <d v="2025-06-26T00:00:00"/>
        <d v="2025-06-29T00:00:00"/>
        <d v="2025-06-30T00:00:00"/>
        <d v="2025-07-01T00:00:00"/>
        <d v="2025-07-03T00:00:00"/>
        <d v="2025-07-04T00:00:00"/>
        <d v="2025-07-05T00:00:00"/>
        <d v="2025-07-07T00:00:00"/>
        <d v="2025-07-10T00:00:00"/>
        <d v="2025-07-12T00:00:00"/>
        <d v="2025-07-13T00:00:00"/>
        <d v="2025-07-14T00:00:00"/>
        <d v="2025-07-16T00:00:00"/>
        <d v="2025-07-17T00:00:00"/>
        <d v="2025-07-18T00:00:00"/>
        <d v="2025-07-19T00:00:00"/>
        <d v="2025-07-20T00:00:00"/>
        <d v="2025-07-22T00:00:00"/>
        <d v="2025-07-23T00:00:00"/>
        <d v="2025-07-27T00:00:00"/>
        <d v="2025-07-28T00:00:00"/>
        <d v="2025-07-30T00:00:00"/>
        <d v="2025-07-31T00:00:00"/>
        <d v="2025-08-01T00:00:00"/>
        <d v="2025-08-02T00:00:00"/>
        <d v="2025-08-03T00:00:00"/>
        <d v="2025-08-07T00:00:00"/>
        <d v="2025-08-09T00:00:00"/>
        <d v="2025-08-10T00:00:00"/>
        <d v="2025-08-12T00:00:00"/>
        <d v="2025-08-15T00:00:00"/>
        <d v="2025-08-16T00:00:00"/>
        <d v="2025-08-17T00:00:00"/>
        <d v="2025-08-18T00:00:00"/>
        <d v="2025-08-20T00:00:00"/>
        <d v="2025-08-23T00:00:00"/>
        <d v="2025-08-26T00:00:00"/>
        <d v="2025-08-27T00:00:00"/>
        <d v="2025-08-29T00:00:00"/>
        <d v="2025-08-31T00:00:00"/>
        <d v="2025-09-01T00:00:00"/>
        <d v="2025-09-04T00:00:00"/>
        <d v="2025-09-06T00:00:00"/>
        <d v="2025-09-07T00:00:00"/>
        <d v="2025-09-08T00:00:00"/>
        <d v="2025-09-11T00:00:00"/>
        <d v="2025-09-14T00:00:00"/>
        <d v="2025-09-15T00:00:00"/>
        <d v="2025-09-16T00:00:00"/>
        <d v="2025-09-17T00:00:00"/>
        <d v="2025-09-18T00:00:00"/>
        <d v="2025-09-19T00:00:00"/>
        <d v="2025-09-20T00:00:00"/>
        <d v="2025-09-23T00:00:00"/>
        <d v="2025-09-24T00:00:00"/>
        <d v="2025-09-25T00:00:00"/>
        <d v="2025-09-26T00:00:00"/>
        <d v="2025-09-27T00:00:00"/>
        <d v="2025-09-30T00:00:00"/>
        <d v="2025-10-01T00:00:00"/>
        <d v="2025-10-02T00:00:00"/>
        <d v="2025-10-03T00:00:00"/>
        <d v="2025-10-04T00:00:00"/>
        <d v="2025-10-06T00:00:00"/>
        <d v="2025-10-07T00:00:00"/>
        <d v="2025-10-08T00:00:00"/>
        <d v="2025-10-09T00:00:00"/>
        <d v="2025-10-10T00:00:00"/>
        <d v="2025-10-14T00:00:00"/>
        <d v="2025-10-15T00:00:00"/>
        <d v="2025-10-17T00:00:00"/>
        <d v="2025-10-18T00:00:00"/>
        <d v="2025-10-19T00:00:00"/>
        <d v="2025-10-20T00:00:00"/>
        <d v="2025-10-21T00:00:00"/>
        <d v="2025-10-22T00:00:00"/>
        <d v="2025-10-23T00:00:00"/>
        <d v="2025-10-24T00:00:00"/>
        <d v="2025-10-25T00:00:00"/>
        <d v="2025-10-26T00:00:00"/>
        <d v="2025-10-27T00:00:00"/>
        <d v="2025-10-28T00:00:00"/>
        <d v="2025-10-29T00:00:00"/>
        <d v="2025-10-31T00:00:00"/>
        <d v="2025-11-02T00:00:00"/>
        <d v="2025-11-04T00:00:00"/>
        <d v="2025-11-06T00:00:00"/>
        <d v="2025-11-07T00:00:00"/>
        <d v="2025-11-12T00:00:00"/>
        <d v="2025-11-13T00:00:00"/>
        <d v="2025-11-14T00:00:00"/>
        <d v="2025-11-15T00:00:00"/>
        <d v="2025-11-16T00:00:00"/>
        <d v="2025-11-17T00:00:00"/>
        <d v="2025-11-18T00:00:00"/>
        <d v="2025-11-19T00:00:00"/>
        <d v="2025-11-20T00:00:00"/>
        <d v="2025-11-21T00:00:00"/>
        <d v="2025-11-22T00:00:00"/>
        <d v="2025-11-23T00:00:00"/>
        <d v="2025-11-27T00:00:00"/>
        <d v="2025-11-28T00:00:00"/>
        <d v="2025-11-29T00:00:00"/>
        <d v="2025-11-30T00:00:00"/>
        <d v="2025-12-02T00:00:00"/>
        <d v="2025-12-03T00:00:00"/>
        <d v="2025-12-04T00:00:00"/>
        <d v="2025-12-05T00:00:00"/>
        <d v="2025-12-07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9T00:00:00"/>
        <d v="2025-12-30T00:00:00"/>
        <d v="2025-12-31T00:00:00"/>
        <d v="2026-01-01T00:00:00"/>
        <d v="2026-01-02T00:00:00"/>
        <d v="2026-01-04T00:00:00"/>
        <d v="2026-01-05T00:00:00"/>
        <d v="2026-01-07T00:00:00"/>
        <d v="2026-01-08T00:00:00"/>
        <d v="2026-01-09T00:00:00"/>
        <d v="2026-01-10T00:00:00"/>
        <d v="2026-01-12T00:00:00"/>
        <d v="2026-01-13T00:00:00"/>
        <d v="2026-01-15T00:00:00"/>
        <d v="2026-01-17T00:00:00"/>
        <d v="2026-01-18T00:00:00"/>
        <d v="2026-01-19T00:00:00"/>
        <d v="2026-01-20T00:00:00"/>
        <d v="2026-01-21T00:00:00"/>
        <d v="2026-01-22T00:00:00"/>
        <d v="2026-01-23T00:00:00"/>
        <d v="2026-01-24T00:00:00"/>
        <d v="2026-01-27T00:00:00"/>
        <d v="2026-01-28T00:00:00"/>
        <d v="2026-01-30T00:00:00"/>
        <d v="2026-01-31T00:00:00"/>
        <d v="2026-02-01T00:00:00"/>
        <d v="2026-02-02T00:00:00"/>
        <d v="2026-02-05T00:00:00"/>
        <d v="2026-02-07T00:00:00"/>
        <d v="2026-02-08T00:00:00"/>
        <d v="2026-02-09T00:00:00"/>
        <d v="2026-02-10T00:00:00"/>
        <d v="2026-02-12T00:00:00"/>
        <d v="2026-02-13T00:00:00"/>
        <d v="2026-02-14T00:00:00"/>
        <d v="2026-02-15T00:00:00"/>
        <d v="2026-02-16T00:00:00"/>
        <d v="2026-02-17T00:00:00"/>
        <d v="2026-02-18T00:00:00"/>
        <d v="2026-02-19T00:00:00"/>
        <d v="2026-02-22T00:00:00"/>
        <d v="2026-02-23T00:00:00"/>
        <d v="2026-02-28T00:00:00"/>
        <d v="2026-03-01T00:00:00"/>
        <d v="2026-03-02T00:00:00"/>
        <d v="2026-03-04T00:00:00"/>
        <d v="2026-03-05T00:00:00"/>
        <d v="2026-03-06T00:00:00"/>
        <d v="2026-03-07T00:00:00"/>
        <d v="2026-03-08T00:00:00"/>
        <d v="2026-03-10T00:00:00"/>
        <d v="2026-03-11T00:00:00"/>
        <d v="2026-03-12T00:00:00"/>
        <d v="2026-03-14T00:00:00"/>
        <d v="2026-03-15T00:00:00"/>
        <d v="2026-03-16T00:00:00"/>
        <d v="2026-03-17T00:00:00"/>
        <d v="2026-03-22T00:00:00"/>
        <d v="2026-03-24T00:00:00"/>
        <d v="2026-03-25T00:00:00"/>
        <d v="2026-03-26T00:00:00"/>
        <d v="2026-03-27T00:00:00"/>
        <d v="2026-03-29T00:00:00"/>
        <d v="2026-03-31T00:00:00"/>
        <d v="2026-04-01T00:00:00"/>
        <d v="2026-04-02T00:00:00"/>
        <d v="2026-04-03T00:00:00"/>
        <d v="2026-04-04T00:00:00"/>
        <d v="2026-04-05T00:00:00"/>
        <d v="2026-04-06T00:00:00"/>
        <d v="2026-04-07T00:00:00"/>
        <d v="2026-04-08T00:00:00"/>
        <d v="2026-04-10T00:00:00"/>
        <d v="2026-04-11T00:00:00"/>
        <d v="2026-04-12T00:00:00"/>
        <d v="2026-04-13T00:00:00"/>
        <d v="2026-04-15T00:00:00"/>
        <d v="2026-04-17T00:00:00"/>
        <d v="2026-04-20T00:00:00"/>
        <d v="2026-04-22T00:00:00"/>
        <d v="2026-04-23T00:00:00"/>
        <d v="2026-04-24T00:00:00"/>
        <d v="2026-04-26T00:00:00"/>
        <d v="2026-04-27T00:00:00"/>
        <d v="2026-04-28T00:00:00"/>
        <d v="2026-04-29T00:00:00"/>
        <d v="2026-04-30T00:00:00"/>
        <d v="2026-05-01T00:00:00"/>
        <d v="2026-05-02T00:00:00"/>
        <d v="2026-05-03T00:00:00"/>
        <d v="2026-05-04T00:00:00"/>
        <d v="2026-05-06T00:00:00"/>
        <d v="2026-05-08T00:00:00"/>
        <d v="2026-05-10T00:00:00"/>
        <d v="2026-05-13T00:00:00"/>
        <d v="2026-05-14T00:00:00"/>
        <d v="2026-05-15T00:00:00"/>
        <d v="2026-05-16T00:00:00"/>
        <d v="2026-05-18T00:00:00"/>
        <d v="2026-05-20T00:00:00"/>
        <d v="2026-05-21T00:00:00"/>
        <d v="2026-05-22T00:00:00"/>
        <d v="2026-05-25T00:00:00"/>
        <d v="2026-05-26T00:00:00"/>
        <d v="2026-05-27T00:00:00"/>
        <d v="2026-05-28T00:00:00"/>
        <d v="2026-05-30T00:00:00"/>
        <d v="2026-06-01T00:00:00"/>
        <d v="2026-06-02T00:00:00"/>
        <d v="2026-06-03T00:00:00"/>
        <d v="2026-06-04T00:00:00"/>
        <d v="2026-06-06T00:00:00"/>
        <d v="2026-06-09T00:00:00"/>
        <d v="2026-06-10T00:00:00"/>
        <d v="2026-06-11T00:00:00"/>
        <d v="2026-06-12T00:00:00"/>
        <d v="2026-06-13T00:00:00"/>
        <d v="2026-06-14T00:00:00"/>
        <d v="2026-06-15T00:00:00"/>
        <d v="2026-06-16T00:00:00"/>
        <d v="2026-06-17T00:00:00"/>
        <d v="2026-06-18T00:00:00"/>
        <d v="2026-06-20T00:00:00"/>
        <d v="2026-06-21T00:00:00"/>
        <d v="2026-06-23T00:00:00"/>
        <d v="2026-06-24T00:00:00"/>
        <d v="2026-06-27T00:00:00"/>
        <d v="2026-06-28T00:00:00"/>
        <d v="2026-06-29T00:00:00"/>
        <d v="2026-06-30T00:00:00"/>
        <d v="2026-07-01T00:00:00"/>
        <d v="2026-07-02T00:00:00"/>
        <d v="2026-07-03T00:00:00"/>
        <d v="2026-07-06T00:00:00"/>
        <d v="2026-07-07T00:00:00"/>
        <d v="2026-07-08T00:00:00"/>
        <d v="2026-07-09T00:00:00"/>
        <d v="2026-07-10T00:00:00"/>
        <d v="2026-07-11T00:00:00"/>
        <d v="2026-07-13T00:00:00"/>
        <d v="2026-07-14T00:00:00"/>
        <d v="2026-07-16T00:00:00"/>
        <d v="2026-07-17T00:00:00"/>
        <d v="2026-07-18T00:00:00"/>
        <d v="2026-07-22T00:00:00"/>
        <d v="2026-07-23T00:00:00"/>
        <d v="2026-07-24T00:00:00"/>
        <d v="2026-07-25T00:00:00"/>
        <d v="2026-07-27T00:00:00"/>
        <d v="2026-07-28T00:00:00"/>
        <d v="2026-08-01T00:00:00"/>
        <d v="2026-08-03T00:00:00"/>
        <d v="2026-08-04T00:00:00"/>
        <d v="2026-08-05T00:00:00"/>
        <d v="2026-08-06T00:00:00"/>
        <d v="2026-08-08T00:00:00"/>
        <d v="2026-08-09T00:00:00"/>
        <d v="2026-08-11T00:00:00"/>
        <d v="2026-08-12T00:00:00"/>
        <d v="2026-08-13T00:00:00"/>
        <d v="2026-08-14T00:00:00"/>
        <d v="2026-08-15T00:00:00"/>
        <d v="2026-08-16T00:00:00"/>
        <d v="2026-08-17T00:00:00"/>
        <d v="2026-08-18T00:00:00"/>
        <d v="2026-08-19T00:00:00"/>
        <d v="2026-08-21T00:00:00"/>
        <d v="2026-08-24T00:00:00"/>
        <d v="2026-08-25T00:00:00"/>
        <d v="2026-08-26T00:00:00"/>
        <d v="2026-08-27T00:00:00"/>
        <d v="2026-08-28T00:00:00"/>
        <d v="2026-08-29T00:00:00"/>
        <d v="2026-08-30T00:00:00"/>
        <d v="2026-09-01T00:00:00"/>
        <d v="2026-09-02T00:00:00"/>
        <d v="2026-09-04T00:00:00"/>
        <d v="2026-09-07T00:00:00"/>
        <d v="2026-09-08T00:00:00"/>
        <d v="2026-09-09T00:00:00"/>
        <d v="2026-09-10T00:00:00"/>
        <d v="2026-09-11T00:00:00"/>
        <d v="2026-09-12T00:00:00"/>
        <d v="2026-09-14T00:00:00"/>
        <d v="2026-09-16T00:00:00"/>
        <d v="2026-09-18T00:00:00"/>
        <d v="2026-09-19T00:00:00"/>
        <d v="2026-09-21T00:00:00"/>
        <d v="2026-09-22T00:00:00"/>
        <d v="2026-09-23T00:00:00"/>
        <d v="2026-09-24T00:00:00"/>
        <d v="2026-09-29T00:00:00"/>
        <d v="2026-09-30T00:00:00"/>
        <d v="2026-10-03T00:00:00"/>
        <d v="2026-10-04T00:00:00"/>
        <d v="2026-10-05T00:00:00"/>
        <d v="2026-10-06T00:00:00"/>
        <d v="2026-10-08T00:00:00"/>
        <d v="2026-10-09T00:00:00"/>
        <d v="2026-10-10T00:00:00"/>
        <d v="2026-10-11T00:00:00"/>
        <d v="2026-10-12T00:00:00"/>
        <d v="2026-10-13T00:00:00"/>
        <d v="2026-10-14T00:00:00"/>
        <d v="2026-10-16T00:00:00"/>
        <d v="2026-10-17T00:00:00"/>
        <d v="2026-10-18T00:00:00"/>
        <d v="2026-10-19T00:00:00"/>
        <d v="2026-10-21T00:00:00"/>
        <d v="2026-10-22T00:00:00"/>
        <d v="2026-10-23T00:00:00"/>
        <d v="2026-10-25T00:00:00"/>
        <d v="2026-10-27T00:00:00"/>
        <d v="2026-10-28T00:00:00"/>
        <d v="2026-10-29T00:00:00"/>
        <d v="2026-11-01T00:00:00"/>
        <d v="2026-11-04T00:00:00"/>
        <d v="2026-11-05T00:00:00"/>
        <d v="2026-11-06T00:00:00"/>
        <d v="2026-11-08T00:00:00"/>
        <d v="2026-11-09T00:00:00"/>
        <d v="2026-11-10T00:00:00"/>
        <d v="2026-11-11T00:00:00"/>
        <d v="2026-11-12T00:00:00"/>
        <d v="2026-11-14T00:00:00"/>
        <d v="2026-11-15T00:00:00"/>
        <d v="2026-11-17T00:00:00"/>
        <d v="2026-11-18T00:00:00"/>
        <d v="2026-11-22T00:00:00"/>
        <d v="2026-11-25T00:00:00"/>
        <d v="2026-11-26T00:00:00"/>
        <d v="2026-11-28T00:00:00"/>
        <d v="2026-11-29T00:00:00"/>
        <d v="2026-11-30T00:00:00"/>
        <d v="2026-12-01T00:00:00"/>
        <d v="2026-12-02T00:00:00"/>
        <d v="2026-12-03T00:00:00"/>
        <d v="2026-12-05T00:00:00"/>
        <d v="2026-12-06T00:00:00"/>
        <d v="2026-12-07T00:00:00"/>
        <d v="2026-12-08T00:00:00"/>
        <d v="2026-12-10T00:00:00"/>
        <d v="2026-12-12T00:00:00"/>
        <d v="2026-12-13T00:00:00"/>
        <d v="2026-12-15T00:00:00"/>
        <d v="2026-12-17T00:00:00"/>
        <d v="2026-12-18T00:00:00"/>
        <d v="2026-12-21T00:00:00"/>
        <d v="2026-12-22T00:00:00"/>
        <d v="2026-12-24T00:00:00"/>
        <d v="2026-12-28T00:00:00"/>
        <d v="2026-12-29T00:00:00"/>
        <d v="2026-12-31T00:00:00"/>
      </sharedItems>
      <fieldGroup par="21"/>
    </cacheField>
    <cacheField name="Product" numFmtId="0">
      <sharedItems count="10">
        <s v="Belt"/>
        <s v="Sneakers"/>
        <s v="Jeans"/>
        <s v="Cap"/>
        <s v="Polo Shirt"/>
        <s v="T-Shirt"/>
        <s v="Sandals"/>
        <s v="Dress"/>
        <s v="Hoodie"/>
        <s v="Handbag"/>
      </sharedItems>
    </cacheField>
    <cacheField name="Category" numFmtId="0">
      <sharedItems count="3">
        <s v="Accessories"/>
        <s v="Footwear"/>
        <s v="Clothing"/>
      </sharedItems>
    </cacheField>
    <cacheField name="Channel" numFmtId="0">
      <sharedItems count="4">
        <s v="Physical Store"/>
        <s v="Website"/>
        <s v="WhatsApp"/>
        <s v="Instagram"/>
      </sharedItems>
    </cacheField>
    <cacheField name="Region" numFmtId="0">
      <sharedItems count="5">
        <s v="Oyo"/>
        <s v="Delta"/>
        <s v="Rivers"/>
        <s v="Abuja"/>
        <s v="Lagos"/>
      </sharedItems>
    </cacheField>
    <cacheField name="Customer_Type" numFmtId="0">
      <sharedItems count="2">
        <s v="Returning"/>
        <s v="New"/>
      </sharedItems>
    </cacheField>
    <cacheField name="Campaign" numFmtId="0">
      <sharedItems count="6">
        <s v="None"/>
        <s v="Valentine Promo"/>
        <s v="Easter Sale"/>
        <s v="Mid-Year Sale"/>
        <s v="Black Friday"/>
        <s v="Christmas Promo"/>
      </sharedItems>
    </cacheField>
    <cacheField name="Quantity" numFmtId="0">
      <sharedItems containsSemiMixedTypes="0" containsString="0" containsNumber="1" containsInteger="1" minValue="1" maxValue="5"/>
    </cacheField>
    <cacheField name="Unit_Price_NGN" numFmtId="165">
      <sharedItems containsSemiMixedTypes="0" containsString="0" containsNumber="1" containsInteger="1" minValue="11075" maxValue="70176"/>
    </cacheField>
    <cacheField name="Gross_Sales_NGN" numFmtId="165">
      <sharedItems containsSemiMixedTypes="0" containsString="0" containsNumber="1" containsInteger="1" minValue="11102" maxValue="349405"/>
    </cacheField>
    <cacheField name="Discount_Amount_NGN" numFmtId="165">
      <sharedItems containsSemiMixedTypes="0" containsString="0" containsNumber="1" minValue="0" maxValue="51331.199999999997"/>
    </cacheField>
    <cacheField name="Discount_Pct" numFmtId="9">
      <sharedItems containsSemiMixedTypes="0" containsString="0" containsNumber="1" minValue="0" maxValue="0.2"/>
    </cacheField>
    <cacheField name="Net_Sales_NGN" numFmtId="165">
      <sharedItems containsSemiMixedTypes="0" containsString="0" containsNumber="1" minValue="9436.7000000000007" maxValue="349405"/>
    </cacheField>
    <cacheField name="Estimated_Cost_NGN" numFmtId="165">
      <sharedItems containsSemiMixedTypes="0" containsString="0" containsNumber="1" minValue="5627.13" maxValue="208760.18"/>
    </cacheField>
    <cacheField name="Estimated_Profit_NGN" numFmtId="165">
      <sharedItems containsSemiMixedTypes="0" containsString="0" containsNumber="1" minValue="2213.9599999999991" maxValue="173768.12"/>
    </cacheField>
    <cacheField name="Month" numFmtId="0">
      <sharedItems/>
    </cacheField>
    <cacheField name="Year" numFmtId="0">
      <sharedItems containsSemiMixedTypes="0" containsString="0" containsNumber="1" containsInteger="1" minValue="2024" maxValue="2026"/>
    </cacheField>
    <cacheField name="Month_Number" numFmtId="0">
      <sharedItems containsSemiMixedTypes="0" containsString="0" containsNumber="1" containsInteger="1" minValue="1" maxValue="12"/>
    </cacheField>
    <cacheField name="Months (Order_Date)" numFmtId="0" databaseField="0">
      <fieldGroup base="1">
        <rangePr groupBy="months" startDate="2024-01-01T00:00:00" endDate="2027-01-01T00:00:00"/>
        <groupItems count="14">
          <s v="&lt;1/1/2024"/>
          <s v="Jan"/>
          <s v="Feb"/>
          <s v="Mar"/>
          <s v="Apr"/>
          <s v="May"/>
          <s v="Jun"/>
          <s v="Jul"/>
          <s v="Aug"/>
          <s v="Sep"/>
          <s v="Oct"/>
          <s v="Nov"/>
          <s v="Dec"/>
          <s v="&gt;1/1/2027"/>
        </groupItems>
      </fieldGroup>
    </cacheField>
    <cacheField name="Quarters (Order_Date)" numFmtId="0" databaseField="0">
      <fieldGroup base="1">
        <rangePr groupBy="quarters" startDate="2024-01-01T00:00:00" endDate="2027-01-01T00:00:00"/>
        <groupItems count="6">
          <s v="&lt;1/1/2024"/>
          <s v="Qtr1"/>
          <s v="Qtr2"/>
          <s v="Qtr3"/>
          <s v="Qtr4"/>
          <s v="&gt;1/1/2027"/>
        </groupItems>
      </fieldGroup>
    </cacheField>
    <cacheField name="Years (Order_Date)" numFmtId="0" databaseField="0">
      <fieldGroup base="1">
        <rangePr groupBy="years" startDate="2024-01-01T00:00:00" endDate="2027-01-01T00:00:00"/>
        <groupItems count="6">
          <s v="&lt;1/1/2024"/>
          <s v="2024"/>
          <s v="2025"/>
          <s v="2026"/>
          <s v="2027"/>
          <s v="&gt;1/1/2027"/>
        </groupItems>
      </fieldGroup>
    </cacheField>
  </cacheFields>
  <extLst>
    <ext xmlns:x14="http://schemas.microsoft.com/office/spreadsheetml/2009/9/main" uri="{725AE2AE-9491-48be-B2B4-4EB974FC3084}">
      <x14:pivotCacheDefinition pivotCacheId="777708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986128356482" createdVersion="8" refreshedVersion="8" minRefreshableVersion="3" recordCount="1200" xr:uid="{55E250DD-6564-4124-8BE3-F42472B19AAC}">
  <cacheSource type="worksheet">
    <worksheetSource name="Table2"/>
  </cacheSource>
  <cacheFields count="19">
    <cacheField name="Order_ID" numFmtId="0">
      <sharedItems/>
    </cacheField>
    <cacheField name="Order_Date" numFmtId="164">
      <sharedItems containsSemiMixedTypes="0" containsNonDate="0" containsDate="1" containsString="0" minDate="2024-01-01T00:00:00" maxDate="2027-01-01T00:00:00"/>
    </cacheField>
    <cacheField name="Product" numFmtId="0">
      <sharedItems/>
    </cacheField>
    <cacheField name="Category" numFmtId="0">
      <sharedItems/>
    </cacheField>
    <cacheField name="Channel" numFmtId="0">
      <sharedItems/>
    </cacheField>
    <cacheField name="Region" numFmtId="0">
      <sharedItems/>
    </cacheField>
    <cacheField name="Customer_Type" numFmtId="0">
      <sharedItems/>
    </cacheField>
    <cacheField name="Campaign" numFmtId="0">
      <sharedItems count="6">
        <s v="None"/>
        <s v="Valentine Promo"/>
        <s v="Easter Sale"/>
        <s v="Mid-Year Sale"/>
        <s v="Black Friday"/>
        <s v="Christmas Promo"/>
      </sharedItems>
    </cacheField>
    <cacheField name="Quantity" numFmtId="0">
      <sharedItems containsSemiMixedTypes="0" containsString="0" containsNumber="1" containsInteger="1" minValue="1" maxValue="5"/>
    </cacheField>
    <cacheField name="Unit_Price_NGN" numFmtId="165">
      <sharedItems containsSemiMixedTypes="0" containsString="0" containsNumber="1" containsInteger="1" minValue="11075" maxValue="70176"/>
    </cacheField>
    <cacheField name="Gross_Sales_NGN" numFmtId="165">
      <sharedItems containsSemiMixedTypes="0" containsString="0" containsNumber="1" containsInteger="1" minValue="11102" maxValue="349405"/>
    </cacheField>
    <cacheField name="Discount_Amount_NGN" numFmtId="165">
      <sharedItems containsSemiMixedTypes="0" containsString="0" containsNumber="1" minValue="0" maxValue="51331.199999999997"/>
    </cacheField>
    <cacheField name="Discount_Pct" numFmtId="9">
      <sharedItems containsSemiMixedTypes="0" containsString="0" containsNumber="1" minValue="0" maxValue="0.2"/>
    </cacheField>
    <cacheField name="Net_Sales_NGN" numFmtId="165">
      <sharedItems containsSemiMixedTypes="0" containsString="0" containsNumber="1" minValue="9436.7000000000007" maxValue="349405"/>
    </cacheField>
    <cacheField name="Estimated_Cost_NGN" numFmtId="165">
      <sharedItems containsSemiMixedTypes="0" containsString="0" containsNumber="1" minValue="5627.13" maxValue="208760.18"/>
    </cacheField>
    <cacheField name="Estimated_Profit_NGN" numFmtId="165">
      <sharedItems containsSemiMixedTypes="0" containsString="0" containsNumber="1" minValue="2213.9599999999991" maxValue="173768.12"/>
    </cacheField>
    <cacheField name="Month" numFmtId="0">
      <sharedItems/>
    </cacheField>
    <cacheField name="Year" numFmtId="0">
      <sharedItems containsSemiMixedTypes="0" containsString="0" containsNumber="1" containsInteger="1" minValue="2024" maxValue="2026"/>
    </cacheField>
    <cacheField name="Month_Number"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986130787038" createdVersion="8" refreshedVersion="8" minRefreshableVersion="3" recordCount="1200" xr:uid="{406CC82F-2260-4FE0-B2EE-042EC19AE7ED}">
  <cacheSource type="worksheet">
    <worksheetSource ref="A2:S1202" sheet="Fashion_Retail_Sales_Data"/>
  </cacheSource>
  <cacheFields count="22">
    <cacheField name="Order_ID" numFmtId="0">
      <sharedItems/>
    </cacheField>
    <cacheField name="Order_Date" numFmtId="164">
      <sharedItems containsSemiMixedTypes="0" containsNonDate="0" containsDate="1" containsString="0" minDate="2024-01-01T00:00:00" maxDate="2027-01-01T00:00:00" count="7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20T00:00:00"/>
        <d v="2024-01-21T00:00:00"/>
        <d v="2024-01-22T00:00:00"/>
        <d v="2024-01-23T00:00:00"/>
        <d v="2024-01-25T00:00:00"/>
        <d v="2024-01-27T00:00:00"/>
        <d v="2024-01-28T00:00:00"/>
        <d v="2024-01-29T00:00:00"/>
        <d v="2024-02-01T00:00:00"/>
        <d v="2024-02-03T00:00:00"/>
        <d v="2024-02-04T00:00:00"/>
        <d v="2024-02-05T00:00:00"/>
        <d v="2024-02-06T00:00:00"/>
        <d v="2024-02-07T00:00:00"/>
        <d v="2024-02-08T00:00:00"/>
        <d v="2024-02-09T00:00:00"/>
        <d v="2024-02-10T00:00:00"/>
        <d v="2024-02-11T00:00:00"/>
        <d v="2024-02-12T00:00:00"/>
        <d v="2024-02-16T00:00:00"/>
        <d v="2024-02-17T00:00:00"/>
        <d v="2024-02-20T00:00:00"/>
        <d v="2024-02-22T00:00:00"/>
        <d v="2024-02-23T00:00:00"/>
        <d v="2024-02-24T00:00:00"/>
        <d v="2024-02-25T00:00:00"/>
        <d v="2024-02-27T00:00:00"/>
        <d v="2024-02-28T00:00:00"/>
        <d v="2024-03-01T00:00:00"/>
        <d v="2024-03-02T00:00:00"/>
        <d v="2024-03-03T00:00:00"/>
        <d v="2024-03-05T00:00:00"/>
        <d v="2024-03-07T00:00:00"/>
        <d v="2024-03-09T00:00:00"/>
        <d v="2024-03-13T00:00:00"/>
        <d v="2024-03-15T00:00:00"/>
        <d v="2024-03-16T00:00:00"/>
        <d v="2024-03-18T00:00:00"/>
        <d v="2024-03-20T00:00:00"/>
        <d v="2024-03-21T00:00:00"/>
        <d v="2024-03-22T00:00:00"/>
        <d v="2024-03-23T00:00:00"/>
        <d v="2024-03-26T00:00:00"/>
        <d v="2024-03-27T00:00:00"/>
        <d v="2024-03-28T00:00:00"/>
        <d v="2024-03-29T00:00:00"/>
        <d v="2024-03-30T00:00:00"/>
        <d v="2024-03-31T00:00:00"/>
        <d v="2024-04-01T00:00:00"/>
        <d v="2024-04-02T00:00:00"/>
        <d v="2024-04-03T00:00:00"/>
        <d v="2024-04-04T00:00:00"/>
        <d v="2024-04-05T00:00:00"/>
        <d v="2024-04-07T00:00:00"/>
        <d v="2024-04-08T00:00:00"/>
        <d v="2024-04-11T00:00:00"/>
        <d v="2024-04-12T00:00:00"/>
        <d v="2024-04-13T00:00:00"/>
        <d v="2024-04-14T00:00:00"/>
        <d v="2024-04-16T00:00:00"/>
        <d v="2024-04-17T00:00:00"/>
        <d v="2024-04-18T00:00:00"/>
        <d v="2024-04-20T00:00:00"/>
        <d v="2024-04-22T00:00:00"/>
        <d v="2024-04-23T00:00:00"/>
        <d v="2024-04-24T00:00:00"/>
        <d v="2024-04-26T00:00:00"/>
        <d v="2024-04-27T00:00:00"/>
        <d v="2024-04-29T00:00:00"/>
        <d v="2024-05-01T00:00:00"/>
        <d v="2024-05-02T00:00:00"/>
        <d v="2024-05-05T00:00:00"/>
        <d v="2024-05-06T00:00:00"/>
        <d v="2024-05-07T00:00:00"/>
        <d v="2024-05-09T00:00:00"/>
        <d v="2024-05-10T00:00:00"/>
        <d v="2024-05-11T00:00:00"/>
        <d v="2024-05-12T00:00:00"/>
        <d v="2024-05-13T00:00:00"/>
        <d v="2024-05-14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8T00:00:00"/>
        <d v="2024-06-09T00:00:00"/>
        <d v="2024-06-10T00:00:00"/>
        <d v="2024-06-13T00:00:00"/>
        <d v="2024-06-14T00:00:00"/>
        <d v="2024-06-15T00:00:00"/>
        <d v="2024-06-16T00:00:00"/>
        <d v="2024-06-18T00:00:00"/>
        <d v="2024-06-20T00:00:00"/>
        <d v="2024-06-21T00:00:00"/>
        <d v="2024-06-25T00:00:00"/>
        <d v="2024-06-29T00:00:00"/>
        <d v="2024-06-30T00:00:00"/>
        <d v="2024-07-01T00:00:00"/>
        <d v="2024-07-02T00:00:00"/>
        <d v="2024-07-05T00:00:00"/>
        <d v="2024-07-06T00:00:00"/>
        <d v="2024-07-08T00:00:00"/>
        <d v="2024-07-09T00:00:00"/>
        <d v="2024-07-10T00:00:00"/>
        <d v="2024-07-12T00:00:00"/>
        <d v="2024-07-14T00:00:00"/>
        <d v="2024-07-16T00:00:00"/>
        <d v="2024-07-19T00:00:00"/>
        <d v="2024-07-20T00:00:00"/>
        <d v="2024-07-21T00:00:00"/>
        <d v="2024-07-23T00:00:00"/>
        <d v="2024-07-24T00:00:00"/>
        <d v="2024-07-25T00:00:00"/>
        <d v="2024-07-26T00:00:00"/>
        <d v="2024-08-01T00:00:00"/>
        <d v="2024-08-02T00:00:00"/>
        <d v="2024-08-03T00:00:00"/>
        <d v="2024-08-04T00:00:00"/>
        <d v="2024-08-05T00:00:00"/>
        <d v="2024-08-07T00:00:00"/>
        <d v="2024-08-11T00:00:00"/>
        <d v="2024-08-12T00:00:00"/>
        <d v="2024-08-13T00:00:00"/>
        <d v="2024-08-15T00:00:00"/>
        <d v="2024-08-16T00:00:00"/>
        <d v="2024-08-17T00:00:00"/>
        <d v="2024-08-18T00:00:00"/>
        <d v="2024-08-20T00:00:00"/>
        <d v="2024-08-22T00:00:00"/>
        <d v="2024-08-23T00:00:00"/>
        <d v="2024-08-24T00:00:00"/>
        <d v="2024-08-26T00:00:00"/>
        <d v="2024-08-29T00:00:00"/>
        <d v="2024-08-30T00:00:00"/>
        <d v="2024-08-31T00:00:00"/>
        <d v="2024-09-01T00:00:00"/>
        <d v="2024-09-02T00:00:00"/>
        <d v="2024-09-03T00:00:00"/>
        <d v="2024-09-05T00:00:00"/>
        <d v="2024-09-06T00:00:00"/>
        <d v="2024-09-07T00:00:00"/>
        <d v="2024-09-09T00:00:00"/>
        <d v="2024-09-10T00:00:00"/>
        <d v="2024-09-12T00:00:00"/>
        <d v="2024-09-14T00:00:00"/>
        <d v="2024-09-15T00:00:00"/>
        <d v="2024-09-17T00:00:00"/>
        <d v="2024-09-19T00:00:00"/>
        <d v="2024-09-20T00:00:00"/>
        <d v="2024-09-21T00:00:00"/>
        <d v="2024-09-22T00:00:00"/>
        <d v="2024-09-24T00:00:00"/>
        <d v="2024-09-25T00:00:00"/>
        <d v="2024-09-26T00:00:00"/>
        <d v="2024-09-28T00:00:00"/>
        <d v="2024-10-01T00:00:00"/>
        <d v="2024-10-03T00:00:00"/>
        <d v="2024-10-05T00:00:00"/>
        <d v="2024-10-06T00:00:00"/>
        <d v="2024-10-07T00:00:00"/>
        <d v="2024-10-10T00:00:00"/>
        <d v="2024-10-11T00:00:00"/>
        <d v="2024-10-12T00:00:00"/>
        <d v="2024-10-15T00:00:00"/>
        <d v="2024-10-19T00:00:00"/>
        <d v="2024-10-20T00:00:00"/>
        <d v="2024-10-22T00:00:00"/>
        <d v="2024-10-28T00:00:00"/>
        <d v="2024-10-29T00:00:00"/>
        <d v="2024-10-31T00:00:00"/>
        <d v="2024-11-06T00:00:00"/>
        <d v="2024-11-08T00:00:00"/>
        <d v="2024-11-09T00:00:00"/>
        <d v="2024-11-10T00:00:00"/>
        <d v="2024-11-11T00:00:00"/>
        <d v="2024-11-13T00:00:00"/>
        <d v="2024-11-15T00:00:00"/>
        <d v="2024-11-16T00:00:00"/>
        <d v="2024-11-19T00:00:00"/>
        <d v="2024-11-21T00:00:00"/>
        <d v="2024-11-22T00:00:00"/>
        <d v="2024-11-23T00:00:00"/>
        <d v="2024-11-24T00:00:00"/>
        <d v="2024-11-25T00:00:00"/>
        <d v="2024-11-26T00:00:00"/>
        <d v="2024-11-29T00:00:00"/>
        <d v="2024-11-30T00:00:00"/>
        <d v="2024-12-01T00:00:00"/>
        <d v="2024-12-02T00:00:00"/>
        <d v="2024-12-03T00:00:00"/>
        <d v="2024-12-04T00:00:00"/>
        <d v="2024-12-05T00:00:00"/>
        <d v="2024-12-06T00:00:00"/>
        <d v="2024-12-07T00:00:00"/>
        <d v="2024-12-09T00:00:00"/>
        <d v="2024-12-11T00:00:00"/>
        <d v="2024-12-12T00:00:00"/>
        <d v="2024-12-13T00:00:00"/>
        <d v="2024-12-15T00:00:00"/>
        <d v="2024-12-21T00:00:00"/>
        <d v="2024-12-22T00:00:00"/>
        <d v="2024-12-23T00:00:00"/>
        <d v="2024-12-25T00:00:00"/>
        <d v="2024-12-28T00:00:00"/>
        <d v="2024-12-29T00:00:00"/>
        <d v="2024-12-30T00:00:00"/>
        <d v="2025-01-04T00:00:00"/>
        <d v="2025-01-05T00:00:00"/>
        <d v="2025-01-06T00:00:00"/>
        <d v="2025-01-07T00:00:00"/>
        <d v="2025-01-08T00:00:00"/>
        <d v="2025-01-10T00:00:00"/>
        <d v="2025-01-11T00:00:00"/>
        <d v="2025-01-13T00:00:00"/>
        <d v="2025-01-14T00:00:00"/>
        <d v="2025-01-19T00:00:00"/>
        <d v="2025-01-20T00:00:00"/>
        <d v="2025-01-21T00:00:00"/>
        <d v="2025-01-22T00:00:00"/>
        <d v="2025-01-23T00:00:00"/>
        <d v="2025-01-24T00:00:00"/>
        <d v="2025-01-25T00:00:00"/>
        <d v="2025-01-26T00:00:00"/>
        <d v="2025-01-27T00:00:00"/>
        <d v="2025-01-30T00:00:00"/>
        <d v="2025-01-31T00:00:00"/>
        <d v="2025-02-01T00:00:00"/>
        <d v="2025-02-02T00:00:00"/>
        <d v="2025-02-03T00:00:00"/>
        <d v="2025-02-04T00:00:00"/>
        <d v="2025-02-05T00:00:00"/>
        <d v="2025-02-06T00:00:00"/>
        <d v="2025-02-07T00:00:00"/>
        <d v="2025-02-08T00:00:00"/>
        <d v="2025-02-09T00:00:00"/>
        <d v="2025-02-10T00:00:00"/>
        <d v="2025-02-11T00:00:00"/>
        <d v="2025-02-16T00:00:00"/>
        <d v="2025-02-17T00:00:00"/>
        <d v="2025-02-21T00:00:00"/>
        <d v="2025-02-22T00:00:00"/>
        <d v="2025-02-23T00:00:00"/>
        <d v="2025-02-25T00:00:00"/>
        <d v="2025-02-28T00:00:00"/>
        <d v="2025-03-04T00:00:00"/>
        <d v="2025-03-07T00:00:00"/>
        <d v="2025-03-10T00:00:00"/>
        <d v="2025-03-13T00:00:00"/>
        <d v="2025-03-17T00:00:00"/>
        <d v="2025-03-18T00:00:00"/>
        <d v="2025-03-19T00:00:00"/>
        <d v="2025-03-20T00:00:00"/>
        <d v="2025-03-22T00:00:00"/>
        <d v="2025-03-24T00:00:00"/>
        <d v="2025-03-25T00:00:00"/>
        <d v="2025-03-27T00:00:00"/>
        <d v="2025-03-28T00:00:00"/>
        <d v="2025-03-29T00:00:00"/>
        <d v="2025-03-30T00:00:00"/>
        <d v="2025-03-31T00:00:00"/>
        <d v="2025-04-01T00:00:00"/>
        <d v="2025-04-04T00:00:00"/>
        <d v="2025-04-05T00:00:00"/>
        <d v="2025-04-08T00:00:00"/>
        <d v="2025-04-10T00:00:00"/>
        <d v="2025-04-11T00:00:00"/>
        <d v="2025-04-12T00:00:00"/>
        <d v="2025-04-13T00:00:00"/>
        <d v="2025-04-14T00:00:00"/>
        <d v="2025-04-15T00:00:00"/>
        <d v="2025-04-17T00:00:00"/>
        <d v="2025-04-18T00:00:00"/>
        <d v="2025-04-19T00:00:00"/>
        <d v="2025-04-20T00:00:00"/>
        <d v="2025-04-21T00:00:00"/>
        <d v="2025-04-22T00:00:00"/>
        <d v="2025-04-26T00:00:00"/>
        <d v="2025-04-29T00:00:00"/>
        <d v="2025-05-02T00:00:00"/>
        <d v="2025-05-03T00:00:00"/>
        <d v="2025-05-04T00:00:00"/>
        <d v="2025-05-05T00:00:00"/>
        <d v="2025-05-06T00:00:00"/>
        <d v="2025-05-07T00:00:00"/>
        <d v="2025-05-08T00:00:00"/>
        <d v="2025-05-11T00:00:00"/>
        <d v="2025-05-13T00:00:00"/>
        <d v="2025-05-14T00:00:00"/>
        <d v="2025-05-16T00:00:00"/>
        <d v="2025-05-17T00:00:00"/>
        <d v="2025-05-18T00:00:00"/>
        <d v="2025-05-19T00:00:00"/>
        <d v="2025-05-20T00:00:00"/>
        <d v="2025-05-23T00:00:00"/>
        <d v="2025-05-24T00:00:00"/>
        <d v="2025-05-25T00:00:00"/>
        <d v="2025-05-26T00:00:00"/>
        <d v="2025-05-27T00:00:00"/>
        <d v="2025-05-28T00:00:00"/>
        <d v="2025-05-30T00:00:00"/>
        <d v="2025-05-31T00:00:00"/>
        <d v="2025-06-01T00:00:00"/>
        <d v="2025-06-04T00:00:00"/>
        <d v="2025-06-05T00:00:00"/>
        <d v="2025-06-07T00:00:00"/>
        <d v="2025-06-08T00:00:00"/>
        <d v="2025-06-09T00:00:00"/>
        <d v="2025-06-15T00:00:00"/>
        <d v="2025-06-17T00:00:00"/>
        <d v="2025-06-20T00:00:00"/>
        <d v="2025-06-21T00:00:00"/>
        <d v="2025-06-23T00:00:00"/>
        <d v="2025-06-24T00:00:00"/>
        <d v="2025-06-25T00:00:00"/>
        <d v="2025-06-26T00:00:00"/>
        <d v="2025-06-29T00:00:00"/>
        <d v="2025-06-30T00:00:00"/>
        <d v="2025-07-01T00:00:00"/>
        <d v="2025-07-03T00:00:00"/>
        <d v="2025-07-04T00:00:00"/>
        <d v="2025-07-05T00:00:00"/>
        <d v="2025-07-07T00:00:00"/>
        <d v="2025-07-10T00:00:00"/>
        <d v="2025-07-12T00:00:00"/>
        <d v="2025-07-13T00:00:00"/>
        <d v="2025-07-14T00:00:00"/>
        <d v="2025-07-16T00:00:00"/>
        <d v="2025-07-17T00:00:00"/>
        <d v="2025-07-18T00:00:00"/>
        <d v="2025-07-19T00:00:00"/>
        <d v="2025-07-20T00:00:00"/>
        <d v="2025-07-22T00:00:00"/>
        <d v="2025-07-23T00:00:00"/>
        <d v="2025-07-27T00:00:00"/>
        <d v="2025-07-28T00:00:00"/>
        <d v="2025-07-30T00:00:00"/>
        <d v="2025-07-31T00:00:00"/>
        <d v="2025-08-01T00:00:00"/>
        <d v="2025-08-02T00:00:00"/>
        <d v="2025-08-03T00:00:00"/>
        <d v="2025-08-07T00:00:00"/>
        <d v="2025-08-09T00:00:00"/>
        <d v="2025-08-10T00:00:00"/>
        <d v="2025-08-12T00:00:00"/>
        <d v="2025-08-15T00:00:00"/>
        <d v="2025-08-16T00:00:00"/>
        <d v="2025-08-17T00:00:00"/>
        <d v="2025-08-18T00:00:00"/>
        <d v="2025-08-20T00:00:00"/>
        <d v="2025-08-23T00:00:00"/>
        <d v="2025-08-26T00:00:00"/>
        <d v="2025-08-27T00:00:00"/>
        <d v="2025-08-29T00:00:00"/>
        <d v="2025-08-31T00:00:00"/>
        <d v="2025-09-01T00:00:00"/>
        <d v="2025-09-04T00:00:00"/>
        <d v="2025-09-06T00:00:00"/>
        <d v="2025-09-07T00:00:00"/>
        <d v="2025-09-08T00:00:00"/>
        <d v="2025-09-11T00:00:00"/>
        <d v="2025-09-14T00:00:00"/>
        <d v="2025-09-15T00:00:00"/>
        <d v="2025-09-16T00:00:00"/>
        <d v="2025-09-17T00:00:00"/>
        <d v="2025-09-18T00:00:00"/>
        <d v="2025-09-19T00:00:00"/>
        <d v="2025-09-20T00:00:00"/>
        <d v="2025-09-23T00:00:00"/>
        <d v="2025-09-24T00:00:00"/>
        <d v="2025-09-25T00:00:00"/>
        <d v="2025-09-26T00:00:00"/>
        <d v="2025-09-27T00:00:00"/>
        <d v="2025-09-30T00:00:00"/>
        <d v="2025-10-01T00:00:00"/>
        <d v="2025-10-02T00:00:00"/>
        <d v="2025-10-03T00:00:00"/>
        <d v="2025-10-04T00:00:00"/>
        <d v="2025-10-06T00:00:00"/>
        <d v="2025-10-07T00:00:00"/>
        <d v="2025-10-08T00:00:00"/>
        <d v="2025-10-09T00:00:00"/>
        <d v="2025-10-10T00:00:00"/>
        <d v="2025-10-14T00:00:00"/>
        <d v="2025-10-15T00:00:00"/>
        <d v="2025-10-17T00:00:00"/>
        <d v="2025-10-18T00:00:00"/>
        <d v="2025-10-19T00:00:00"/>
        <d v="2025-10-20T00:00:00"/>
        <d v="2025-10-21T00:00:00"/>
        <d v="2025-10-22T00:00:00"/>
        <d v="2025-10-23T00:00:00"/>
        <d v="2025-10-24T00:00:00"/>
        <d v="2025-10-25T00:00:00"/>
        <d v="2025-10-26T00:00:00"/>
        <d v="2025-10-27T00:00:00"/>
        <d v="2025-10-28T00:00:00"/>
        <d v="2025-10-29T00:00:00"/>
        <d v="2025-10-31T00:00:00"/>
        <d v="2025-11-02T00:00:00"/>
        <d v="2025-11-04T00:00:00"/>
        <d v="2025-11-06T00:00:00"/>
        <d v="2025-11-07T00:00:00"/>
        <d v="2025-11-12T00:00:00"/>
        <d v="2025-11-13T00:00:00"/>
        <d v="2025-11-14T00:00:00"/>
        <d v="2025-11-15T00:00:00"/>
        <d v="2025-11-16T00:00:00"/>
        <d v="2025-11-17T00:00:00"/>
        <d v="2025-11-18T00:00:00"/>
        <d v="2025-11-19T00:00:00"/>
        <d v="2025-11-20T00:00:00"/>
        <d v="2025-11-21T00:00:00"/>
        <d v="2025-11-22T00:00:00"/>
        <d v="2025-11-23T00:00:00"/>
        <d v="2025-11-27T00:00:00"/>
        <d v="2025-11-28T00:00:00"/>
        <d v="2025-11-29T00:00:00"/>
        <d v="2025-11-30T00:00:00"/>
        <d v="2025-12-02T00:00:00"/>
        <d v="2025-12-03T00:00:00"/>
        <d v="2025-12-04T00:00:00"/>
        <d v="2025-12-05T00:00:00"/>
        <d v="2025-12-07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9T00:00:00"/>
        <d v="2025-12-30T00:00:00"/>
        <d v="2025-12-31T00:00:00"/>
        <d v="2026-01-01T00:00:00"/>
        <d v="2026-01-02T00:00:00"/>
        <d v="2026-01-04T00:00:00"/>
        <d v="2026-01-05T00:00:00"/>
        <d v="2026-01-07T00:00:00"/>
        <d v="2026-01-08T00:00:00"/>
        <d v="2026-01-09T00:00:00"/>
        <d v="2026-01-10T00:00:00"/>
        <d v="2026-01-12T00:00:00"/>
        <d v="2026-01-13T00:00:00"/>
        <d v="2026-01-15T00:00:00"/>
        <d v="2026-01-17T00:00:00"/>
        <d v="2026-01-18T00:00:00"/>
        <d v="2026-01-19T00:00:00"/>
        <d v="2026-01-20T00:00:00"/>
        <d v="2026-01-21T00:00:00"/>
        <d v="2026-01-22T00:00:00"/>
        <d v="2026-01-23T00:00:00"/>
        <d v="2026-01-24T00:00:00"/>
        <d v="2026-01-27T00:00:00"/>
        <d v="2026-01-28T00:00:00"/>
        <d v="2026-01-30T00:00:00"/>
        <d v="2026-01-31T00:00:00"/>
        <d v="2026-02-01T00:00:00"/>
        <d v="2026-02-02T00:00:00"/>
        <d v="2026-02-05T00:00:00"/>
        <d v="2026-02-07T00:00:00"/>
        <d v="2026-02-08T00:00:00"/>
        <d v="2026-02-09T00:00:00"/>
        <d v="2026-02-10T00:00:00"/>
        <d v="2026-02-12T00:00:00"/>
        <d v="2026-02-13T00:00:00"/>
        <d v="2026-02-14T00:00:00"/>
        <d v="2026-02-15T00:00:00"/>
        <d v="2026-02-16T00:00:00"/>
        <d v="2026-02-17T00:00:00"/>
        <d v="2026-02-18T00:00:00"/>
        <d v="2026-02-19T00:00:00"/>
        <d v="2026-02-22T00:00:00"/>
        <d v="2026-02-23T00:00:00"/>
        <d v="2026-02-28T00:00:00"/>
        <d v="2026-03-01T00:00:00"/>
        <d v="2026-03-02T00:00:00"/>
        <d v="2026-03-04T00:00:00"/>
        <d v="2026-03-05T00:00:00"/>
        <d v="2026-03-06T00:00:00"/>
        <d v="2026-03-07T00:00:00"/>
        <d v="2026-03-08T00:00:00"/>
        <d v="2026-03-10T00:00:00"/>
        <d v="2026-03-11T00:00:00"/>
        <d v="2026-03-12T00:00:00"/>
        <d v="2026-03-14T00:00:00"/>
        <d v="2026-03-15T00:00:00"/>
        <d v="2026-03-16T00:00:00"/>
        <d v="2026-03-17T00:00:00"/>
        <d v="2026-03-22T00:00:00"/>
        <d v="2026-03-24T00:00:00"/>
        <d v="2026-03-25T00:00:00"/>
        <d v="2026-03-26T00:00:00"/>
        <d v="2026-03-27T00:00:00"/>
        <d v="2026-03-29T00:00:00"/>
        <d v="2026-03-31T00:00:00"/>
        <d v="2026-04-01T00:00:00"/>
        <d v="2026-04-02T00:00:00"/>
        <d v="2026-04-03T00:00:00"/>
        <d v="2026-04-04T00:00:00"/>
        <d v="2026-04-05T00:00:00"/>
        <d v="2026-04-06T00:00:00"/>
        <d v="2026-04-07T00:00:00"/>
        <d v="2026-04-08T00:00:00"/>
        <d v="2026-04-10T00:00:00"/>
        <d v="2026-04-11T00:00:00"/>
        <d v="2026-04-12T00:00:00"/>
        <d v="2026-04-13T00:00:00"/>
        <d v="2026-04-15T00:00:00"/>
        <d v="2026-04-17T00:00:00"/>
        <d v="2026-04-20T00:00:00"/>
        <d v="2026-04-22T00:00:00"/>
        <d v="2026-04-23T00:00:00"/>
        <d v="2026-04-24T00:00:00"/>
        <d v="2026-04-26T00:00:00"/>
        <d v="2026-04-27T00:00:00"/>
        <d v="2026-04-28T00:00:00"/>
        <d v="2026-04-29T00:00:00"/>
        <d v="2026-04-30T00:00:00"/>
        <d v="2026-05-01T00:00:00"/>
        <d v="2026-05-02T00:00:00"/>
        <d v="2026-05-03T00:00:00"/>
        <d v="2026-05-04T00:00:00"/>
        <d v="2026-05-06T00:00:00"/>
        <d v="2026-05-08T00:00:00"/>
        <d v="2026-05-10T00:00:00"/>
        <d v="2026-05-13T00:00:00"/>
        <d v="2026-05-14T00:00:00"/>
        <d v="2026-05-15T00:00:00"/>
        <d v="2026-05-16T00:00:00"/>
        <d v="2026-05-18T00:00:00"/>
        <d v="2026-05-20T00:00:00"/>
        <d v="2026-05-21T00:00:00"/>
        <d v="2026-05-22T00:00:00"/>
        <d v="2026-05-25T00:00:00"/>
        <d v="2026-05-26T00:00:00"/>
        <d v="2026-05-27T00:00:00"/>
        <d v="2026-05-28T00:00:00"/>
        <d v="2026-05-30T00:00:00"/>
        <d v="2026-06-01T00:00:00"/>
        <d v="2026-06-02T00:00:00"/>
        <d v="2026-06-03T00:00:00"/>
        <d v="2026-06-04T00:00:00"/>
        <d v="2026-06-06T00:00:00"/>
        <d v="2026-06-09T00:00:00"/>
        <d v="2026-06-10T00:00:00"/>
        <d v="2026-06-11T00:00:00"/>
        <d v="2026-06-12T00:00:00"/>
        <d v="2026-06-13T00:00:00"/>
        <d v="2026-06-14T00:00:00"/>
        <d v="2026-06-15T00:00:00"/>
        <d v="2026-06-16T00:00:00"/>
        <d v="2026-06-17T00:00:00"/>
        <d v="2026-06-18T00:00:00"/>
        <d v="2026-06-20T00:00:00"/>
        <d v="2026-06-21T00:00:00"/>
        <d v="2026-06-23T00:00:00"/>
        <d v="2026-06-24T00:00:00"/>
        <d v="2026-06-27T00:00:00"/>
        <d v="2026-06-28T00:00:00"/>
        <d v="2026-06-29T00:00:00"/>
        <d v="2026-06-30T00:00:00"/>
        <d v="2026-07-01T00:00:00"/>
        <d v="2026-07-02T00:00:00"/>
        <d v="2026-07-03T00:00:00"/>
        <d v="2026-07-06T00:00:00"/>
        <d v="2026-07-07T00:00:00"/>
        <d v="2026-07-08T00:00:00"/>
        <d v="2026-07-09T00:00:00"/>
        <d v="2026-07-10T00:00:00"/>
        <d v="2026-07-11T00:00:00"/>
        <d v="2026-07-13T00:00:00"/>
        <d v="2026-07-14T00:00:00"/>
        <d v="2026-07-16T00:00:00"/>
        <d v="2026-07-17T00:00:00"/>
        <d v="2026-07-18T00:00:00"/>
        <d v="2026-07-22T00:00:00"/>
        <d v="2026-07-23T00:00:00"/>
        <d v="2026-07-24T00:00:00"/>
        <d v="2026-07-25T00:00:00"/>
        <d v="2026-07-27T00:00:00"/>
        <d v="2026-07-28T00:00:00"/>
        <d v="2026-08-01T00:00:00"/>
        <d v="2026-08-03T00:00:00"/>
        <d v="2026-08-04T00:00:00"/>
        <d v="2026-08-05T00:00:00"/>
        <d v="2026-08-06T00:00:00"/>
        <d v="2026-08-08T00:00:00"/>
        <d v="2026-08-09T00:00:00"/>
        <d v="2026-08-11T00:00:00"/>
        <d v="2026-08-12T00:00:00"/>
        <d v="2026-08-13T00:00:00"/>
        <d v="2026-08-14T00:00:00"/>
        <d v="2026-08-15T00:00:00"/>
        <d v="2026-08-16T00:00:00"/>
        <d v="2026-08-17T00:00:00"/>
        <d v="2026-08-18T00:00:00"/>
        <d v="2026-08-19T00:00:00"/>
        <d v="2026-08-21T00:00:00"/>
        <d v="2026-08-24T00:00:00"/>
        <d v="2026-08-25T00:00:00"/>
        <d v="2026-08-26T00:00:00"/>
        <d v="2026-08-27T00:00:00"/>
        <d v="2026-08-28T00:00:00"/>
        <d v="2026-08-29T00:00:00"/>
        <d v="2026-08-30T00:00:00"/>
        <d v="2026-09-01T00:00:00"/>
        <d v="2026-09-02T00:00:00"/>
        <d v="2026-09-04T00:00:00"/>
        <d v="2026-09-07T00:00:00"/>
        <d v="2026-09-08T00:00:00"/>
        <d v="2026-09-09T00:00:00"/>
        <d v="2026-09-10T00:00:00"/>
        <d v="2026-09-11T00:00:00"/>
        <d v="2026-09-12T00:00:00"/>
        <d v="2026-09-14T00:00:00"/>
        <d v="2026-09-16T00:00:00"/>
        <d v="2026-09-18T00:00:00"/>
        <d v="2026-09-19T00:00:00"/>
        <d v="2026-09-21T00:00:00"/>
        <d v="2026-09-22T00:00:00"/>
        <d v="2026-09-23T00:00:00"/>
        <d v="2026-09-24T00:00:00"/>
        <d v="2026-09-29T00:00:00"/>
        <d v="2026-09-30T00:00:00"/>
        <d v="2026-10-03T00:00:00"/>
        <d v="2026-10-04T00:00:00"/>
        <d v="2026-10-05T00:00:00"/>
        <d v="2026-10-06T00:00:00"/>
        <d v="2026-10-08T00:00:00"/>
        <d v="2026-10-09T00:00:00"/>
        <d v="2026-10-10T00:00:00"/>
        <d v="2026-10-11T00:00:00"/>
        <d v="2026-10-12T00:00:00"/>
        <d v="2026-10-13T00:00:00"/>
        <d v="2026-10-14T00:00:00"/>
        <d v="2026-10-16T00:00:00"/>
        <d v="2026-10-17T00:00:00"/>
        <d v="2026-10-18T00:00:00"/>
        <d v="2026-10-19T00:00:00"/>
        <d v="2026-10-21T00:00:00"/>
        <d v="2026-10-22T00:00:00"/>
        <d v="2026-10-23T00:00:00"/>
        <d v="2026-10-25T00:00:00"/>
        <d v="2026-10-27T00:00:00"/>
        <d v="2026-10-28T00:00:00"/>
        <d v="2026-10-29T00:00:00"/>
        <d v="2026-11-01T00:00:00"/>
        <d v="2026-11-04T00:00:00"/>
        <d v="2026-11-05T00:00:00"/>
        <d v="2026-11-06T00:00:00"/>
        <d v="2026-11-08T00:00:00"/>
        <d v="2026-11-09T00:00:00"/>
        <d v="2026-11-10T00:00:00"/>
        <d v="2026-11-11T00:00:00"/>
        <d v="2026-11-12T00:00:00"/>
        <d v="2026-11-14T00:00:00"/>
        <d v="2026-11-15T00:00:00"/>
        <d v="2026-11-17T00:00:00"/>
        <d v="2026-11-18T00:00:00"/>
        <d v="2026-11-22T00:00:00"/>
        <d v="2026-11-25T00:00:00"/>
        <d v="2026-11-26T00:00:00"/>
        <d v="2026-11-28T00:00:00"/>
        <d v="2026-11-29T00:00:00"/>
        <d v="2026-11-30T00:00:00"/>
        <d v="2026-12-01T00:00:00"/>
        <d v="2026-12-02T00:00:00"/>
        <d v="2026-12-03T00:00:00"/>
        <d v="2026-12-05T00:00:00"/>
        <d v="2026-12-06T00:00:00"/>
        <d v="2026-12-07T00:00:00"/>
        <d v="2026-12-08T00:00:00"/>
        <d v="2026-12-10T00:00:00"/>
        <d v="2026-12-12T00:00:00"/>
        <d v="2026-12-13T00:00:00"/>
        <d v="2026-12-15T00:00:00"/>
        <d v="2026-12-17T00:00:00"/>
        <d v="2026-12-18T00:00:00"/>
        <d v="2026-12-21T00:00:00"/>
        <d v="2026-12-22T00:00:00"/>
        <d v="2026-12-24T00:00:00"/>
        <d v="2026-12-28T00:00:00"/>
        <d v="2026-12-29T00:00:00"/>
        <d v="2026-12-31T00:00:00"/>
      </sharedItems>
      <fieldGroup par="21"/>
    </cacheField>
    <cacheField name="Product" numFmtId="0">
      <sharedItems/>
    </cacheField>
    <cacheField name="Category" numFmtId="0">
      <sharedItems/>
    </cacheField>
    <cacheField name="Channel" numFmtId="0">
      <sharedItems/>
    </cacheField>
    <cacheField name="Region" numFmtId="0">
      <sharedItems/>
    </cacheField>
    <cacheField name="Customer_Type" numFmtId="0">
      <sharedItems/>
    </cacheField>
    <cacheField name="Campaign" numFmtId="0">
      <sharedItems/>
    </cacheField>
    <cacheField name="Quantity" numFmtId="0">
      <sharedItems containsSemiMixedTypes="0" containsString="0" containsNumber="1" containsInteger="1" minValue="1" maxValue="5"/>
    </cacheField>
    <cacheField name="Unit_Price_NGN" numFmtId="165">
      <sharedItems containsSemiMixedTypes="0" containsString="0" containsNumber="1" containsInteger="1" minValue="11075" maxValue="70176"/>
    </cacheField>
    <cacheField name="Gross_Sales_NGN" numFmtId="165">
      <sharedItems containsSemiMixedTypes="0" containsString="0" containsNumber="1" containsInteger="1" minValue="11102" maxValue="349405"/>
    </cacheField>
    <cacheField name="Discount_Amount_NGN" numFmtId="165">
      <sharedItems containsSemiMixedTypes="0" containsString="0" containsNumber="1" minValue="0" maxValue="51331.199999999997"/>
    </cacheField>
    <cacheField name="Discount_Pct" numFmtId="9">
      <sharedItems containsSemiMixedTypes="0" containsString="0" containsNumber="1" minValue="0" maxValue="0.2"/>
    </cacheField>
    <cacheField name="Net_Sales_NGN" numFmtId="165">
      <sharedItems containsSemiMixedTypes="0" containsString="0" containsNumber="1" minValue="9436.7000000000007" maxValue="349405"/>
    </cacheField>
    <cacheField name="Estimated_Cost_NGN" numFmtId="165">
      <sharedItems containsSemiMixedTypes="0" containsString="0" containsNumber="1" minValue="5627.13" maxValue="208760.18"/>
    </cacheField>
    <cacheField name="Estimated_Profit_NGN" numFmtId="165">
      <sharedItems containsSemiMixedTypes="0" containsString="0" containsNumber="1" minValue="2213.9599999999991" maxValue="173768.12"/>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4" maxValue="2026" count="3">
        <n v="2024"/>
        <n v="2025"/>
        <n v="2026"/>
      </sharedItems>
    </cacheField>
    <cacheField name="Month_Number" numFmtId="0">
      <sharedItems containsSemiMixedTypes="0" containsString="0" containsNumber="1" containsInteger="1" minValue="1" maxValue="12"/>
    </cacheField>
    <cacheField name="Months (Order_Date)" numFmtId="0" databaseField="0">
      <fieldGroup base="1">
        <rangePr groupBy="months" startDate="2024-01-01T00:00:00" endDate="2027-01-01T00:00:00"/>
        <groupItems count="14">
          <s v="&lt;1/1/2024"/>
          <s v="Jan"/>
          <s v="Feb"/>
          <s v="Mar"/>
          <s v="Apr"/>
          <s v="May"/>
          <s v="Jun"/>
          <s v="Jul"/>
          <s v="Aug"/>
          <s v="Sep"/>
          <s v="Oct"/>
          <s v="Nov"/>
          <s v="Dec"/>
          <s v="&gt;1/1/2027"/>
        </groupItems>
      </fieldGroup>
    </cacheField>
    <cacheField name="Quarters (Order_Date)" numFmtId="0" databaseField="0">
      <fieldGroup base="1">
        <rangePr groupBy="quarters" startDate="2024-01-01T00:00:00" endDate="2027-01-01T00:00:00"/>
        <groupItems count="6">
          <s v="&lt;1/1/2024"/>
          <s v="Qtr1"/>
          <s v="Qtr2"/>
          <s v="Qtr3"/>
          <s v="Qtr4"/>
          <s v="&gt;1/1/2027"/>
        </groupItems>
      </fieldGroup>
    </cacheField>
    <cacheField name="Years (Order_Date)" numFmtId="0" databaseField="0">
      <fieldGroup base="1">
        <rangePr groupBy="years" startDate="2024-01-01T00:00:00" endDate="2027-01-01T00:00:00"/>
        <groupItems count="6">
          <s v="&lt;1/1/2024"/>
          <s v="2024"/>
          <s v="2025"/>
          <s v="2026"/>
          <s v="2027"/>
          <s v="&gt;1/1/2027"/>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986131134261" createdVersion="8" refreshedVersion="8" minRefreshableVersion="3" recordCount="1200" xr:uid="{1FD22A35-04C8-4DA0-A7C6-FD49240C4490}">
  <cacheSource type="worksheet">
    <worksheetSource ref="A2:P1202" sheet="Fashion_Retail_Sales_Data"/>
  </cacheSource>
  <cacheFields count="16">
    <cacheField name="Order_ID" numFmtId="0">
      <sharedItems/>
    </cacheField>
    <cacheField name="Order_Date" numFmtId="164">
      <sharedItems containsSemiMixedTypes="0" containsNonDate="0" containsDate="1" containsString="0" minDate="2024-01-01T00:00:00" maxDate="2027-01-01T00:00:00"/>
    </cacheField>
    <cacheField name="Product" numFmtId="0">
      <sharedItems/>
    </cacheField>
    <cacheField name="Category" numFmtId="0">
      <sharedItems/>
    </cacheField>
    <cacheField name="Channel" numFmtId="0">
      <sharedItems/>
    </cacheField>
    <cacheField name="Region" numFmtId="0">
      <sharedItems count="5">
        <s v="Oyo"/>
        <s v="Delta"/>
        <s v="Rivers"/>
        <s v="Abuja"/>
        <s v="Lagos"/>
      </sharedItems>
    </cacheField>
    <cacheField name="Customer_Type" numFmtId="0">
      <sharedItems/>
    </cacheField>
    <cacheField name="Campaign" numFmtId="0">
      <sharedItems/>
    </cacheField>
    <cacheField name="Quantity" numFmtId="0">
      <sharedItems containsSemiMixedTypes="0" containsString="0" containsNumber="1" containsInteger="1" minValue="1" maxValue="5"/>
    </cacheField>
    <cacheField name="Unit_Price_NGN" numFmtId="165">
      <sharedItems containsSemiMixedTypes="0" containsString="0" containsNumber="1" containsInteger="1" minValue="11075" maxValue="70176"/>
    </cacheField>
    <cacheField name="Gross_Sales_NGN" numFmtId="165">
      <sharedItems containsSemiMixedTypes="0" containsString="0" containsNumber="1" containsInteger="1" minValue="11102" maxValue="349405"/>
    </cacheField>
    <cacheField name="Discount_Amount_NGN" numFmtId="165">
      <sharedItems containsSemiMixedTypes="0" containsString="0" containsNumber="1" minValue="0" maxValue="51331.199999999997"/>
    </cacheField>
    <cacheField name="Discount_Pct" numFmtId="9">
      <sharedItems containsSemiMixedTypes="0" containsString="0" containsNumber="1" minValue="0" maxValue="0.2"/>
    </cacheField>
    <cacheField name="Net_Sales_NGN" numFmtId="165">
      <sharedItems containsSemiMixedTypes="0" containsString="0" containsNumber="1" minValue="9436.7000000000007" maxValue="349405"/>
    </cacheField>
    <cacheField name="Estimated_Cost_NGN" numFmtId="165">
      <sharedItems containsSemiMixedTypes="0" containsString="0" containsNumber="1" minValue="5627.13" maxValue="208760.18"/>
    </cacheField>
    <cacheField name="Estimated_Profit_NGN" numFmtId="165">
      <sharedItems containsSemiMixedTypes="0" containsString="0" containsNumber="1" minValue="2213.9599999999991" maxValue="173768.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559"/>
    <x v="0"/>
    <x v="0"/>
    <x v="0"/>
    <x v="0"/>
    <x v="0"/>
    <x v="0"/>
    <x v="0"/>
    <n v="1"/>
    <n v="15989"/>
    <n v="15989"/>
    <n v="0"/>
    <n v="0"/>
    <n v="15989"/>
    <n v="7800.77"/>
    <n v="8188.23"/>
    <s v="Jan"/>
    <n v="2024"/>
    <n v="1"/>
  </r>
  <r>
    <s v="ORD-00743"/>
    <x v="0"/>
    <x v="1"/>
    <x v="1"/>
    <x v="0"/>
    <x v="1"/>
    <x v="1"/>
    <x v="0"/>
    <n v="1"/>
    <n v="69509"/>
    <n v="69509"/>
    <n v="10426.35"/>
    <n v="0.15"/>
    <n v="59082.65"/>
    <n v="36611.910000000003"/>
    <n v="22470.739999999998"/>
    <s v="Jan"/>
    <n v="2024"/>
    <n v="1"/>
  </r>
  <r>
    <s v="ORD-00146"/>
    <x v="1"/>
    <x v="2"/>
    <x v="2"/>
    <x v="0"/>
    <x v="2"/>
    <x v="0"/>
    <x v="0"/>
    <n v="2"/>
    <n v="39039"/>
    <n v="78078"/>
    <n v="0"/>
    <n v="0"/>
    <n v="78078"/>
    <n v="47474.52"/>
    <n v="30603.480000000003"/>
    <s v="Jan"/>
    <n v="2024"/>
    <n v="1"/>
  </r>
  <r>
    <s v="ORD-00189"/>
    <x v="1"/>
    <x v="2"/>
    <x v="2"/>
    <x v="0"/>
    <x v="3"/>
    <x v="1"/>
    <x v="0"/>
    <n v="1"/>
    <n v="41273"/>
    <n v="41273"/>
    <n v="0"/>
    <n v="0"/>
    <n v="41273"/>
    <n v="24202.67"/>
    <n v="17070.330000000002"/>
    <s v="Jan"/>
    <n v="2024"/>
    <n v="1"/>
  </r>
  <r>
    <s v="ORD-01178"/>
    <x v="2"/>
    <x v="0"/>
    <x v="0"/>
    <x v="0"/>
    <x v="3"/>
    <x v="1"/>
    <x v="0"/>
    <n v="1"/>
    <n v="14451"/>
    <n v="14451"/>
    <n v="0"/>
    <n v="0"/>
    <n v="14451"/>
    <n v="9760.75"/>
    <n v="4690.25"/>
    <s v="Jan"/>
    <n v="2024"/>
    <n v="1"/>
  </r>
  <r>
    <s v="ORD-01138"/>
    <x v="2"/>
    <x v="0"/>
    <x v="0"/>
    <x v="0"/>
    <x v="4"/>
    <x v="0"/>
    <x v="0"/>
    <n v="4"/>
    <n v="14676"/>
    <n v="58704"/>
    <n v="0"/>
    <n v="0"/>
    <n v="58704"/>
    <n v="39380.18"/>
    <n v="19323.82"/>
    <s v="Jan"/>
    <n v="2024"/>
    <n v="1"/>
  </r>
  <r>
    <s v="ORD-00723"/>
    <x v="3"/>
    <x v="0"/>
    <x v="0"/>
    <x v="1"/>
    <x v="3"/>
    <x v="1"/>
    <x v="0"/>
    <n v="1"/>
    <n v="15933"/>
    <n v="15933"/>
    <n v="0"/>
    <n v="0"/>
    <n v="15933"/>
    <n v="9442.7099999999991"/>
    <n v="6490.2900000000009"/>
    <s v="Jan"/>
    <n v="2024"/>
    <n v="1"/>
  </r>
  <r>
    <s v="ORD-00990"/>
    <x v="3"/>
    <x v="2"/>
    <x v="2"/>
    <x v="2"/>
    <x v="1"/>
    <x v="0"/>
    <x v="0"/>
    <n v="2"/>
    <n v="41128"/>
    <n v="82256"/>
    <n v="0"/>
    <n v="0"/>
    <n v="82256"/>
    <n v="48103.199999999997"/>
    <n v="34152.800000000003"/>
    <s v="Jan"/>
    <n v="2024"/>
    <n v="1"/>
  </r>
  <r>
    <s v="ORD-00308"/>
    <x v="4"/>
    <x v="3"/>
    <x v="0"/>
    <x v="1"/>
    <x v="4"/>
    <x v="1"/>
    <x v="0"/>
    <n v="2"/>
    <n v="11792"/>
    <n v="23584"/>
    <n v="2358.4"/>
    <n v="0.1"/>
    <n v="21225.599999999999"/>
    <n v="12232.72"/>
    <n v="8992.8799999999992"/>
    <s v="Jan"/>
    <n v="2024"/>
    <n v="1"/>
  </r>
  <r>
    <s v="ORD-00773"/>
    <x v="4"/>
    <x v="4"/>
    <x v="2"/>
    <x v="0"/>
    <x v="4"/>
    <x v="1"/>
    <x v="0"/>
    <n v="5"/>
    <n v="24808"/>
    <n v="124040"/>
    <n v="0"/>
    <n v="0"/>
    <n v="124040"/>
    <n v="60728.94"/>
    <n v="63311.06"/>
    <s v="Jan"/>
    <n v="2024"/>
    <n v="1"/>
  </r>
  <r>
    <s v="ORD-00720"/>
    <x v="5"/>
    <x v="5"/>
    <x v="2"/>
    <x v="2"/>
    <x v="4"/>
    <x v="0"/>
    <x v="0"/>
    <n v="2"/>
    <n v="19096"/>
    <n v="38192"/>
    <n v="0"/>
    <n v="0"/>
    <n v="38192"/>
    <n v="22437.75"/>
    <n v="15754.25"/>
    <s v="Jan"/>
    <n v="2024"/>
    <n v="1"/>
  </r>
  <r>
    <s v="ORD-00955"/>
    <x v="6"/>
    <x v="4"/>
    <x v="2"/>
    <x v="1"/>
    <x v="1"/>
    <x v="0"/>
    <x v="0"/>
    <n v="1"/>
    <n v="24972"/>
    <n v="24972"/>
    <n v="0"/>
    <n v="0"/>
    <n v="24972"/>
    <n v="14986.89"/>
    <n v="9985.11"/>
    <s v="Jan"/>
    <n v="2024"/>
    <n v="1"/>
  </r>
  <r>
    <s v="ORD-00656"/>
    <x v="7"/>
    <x v="3"/>
    <x v="0"/>
    <x v="1"/>
    <x v="3"/>
    <x v="1"/>
    <x v="0"/>
    <n v="4"/>
    <n v="12639"/>
    <n v="50556"/>
    <n v="5055.6000000000004"/>
    <n v="0.1"/>
    <n v="45500.4"/>
    <n v="32247.56"/>
    <n v="13252.84"/>
    <s v="Jan"/>
    <n v="2024"/>
    <n v="1"/>
  </r>
  <r>
    <s v="ORD-00195"/>
    <x v="8"/>
    <x v="5"/>
    <x v="2"/>
    <x v="2"/>
    <x v="0"/>
    <x v="0"/>
    <x v="0"/>
    <n v="3"/>
    <n v="19212"/>
    <n v="57636"/>
    <n v="0"/>
    <n v="0"/>
    <n v="57636"/>
    <n v="36068.39"/>
    <n v="21567.61"/>
    <s v="Jan"/>
    <n v="2024"/>
    <n v="1"/>
  </r>
  <r>
    <s v="ORD-00528"/>
    <x v="9"/>
    <x v="5"/>
    <x v="2"/>
    <x v="1"/>
    <x v="4"/>
    <x v="1"/>
    <x v="0"/>
    <n v="2"/>
    <n v="17848"/>
    <n v="35696"/>
    <n v="0"/>
    <n v="0"/>
    <n v="35696"/>
    <n v="19828.05"/>
    <n v="15867.95"/>
    <s v="Jan"/>
    <n v="2024"/>
    <n v="1"/>
  </r>
  <r>
    <s v="ORD-00752"/>
    <x v="9"/>
    <x v="3"/>
    <x v="0"/>
    <x v="3"/>
    <x v="4"/>
    <x v="1"/>
    <x v="0"/>
    <n v="3"/>
    <n v="11744"/>
    <n v="35232"/>
    <n v="1761.6"/>
    <n v="0.05"/>
    <n v="33470.400000000001"/>
    <n v="21763.83"/>
    <n v="11706.57"/>
    <s v="Jan"/>
    <n v="2024"/>
    <n v="1"/>
  </r>
  <r>
    <s v="ORD-00830"/>
    <x v="10"/>
    <x v="0"/>
    <x v="0"/>
    <x v="1"/>
    <x v="4"/>
    <x v="0"/>
    <x v="0"/>
    <n v="5"/>
    <n v="14467"/>
    <n v="72335"/>
    <n v="0"/>
    <n v="0"/>
    <n v="72335"/>
    <n v="37182.080000000002"/>
    <n v="35152.92"/>
    <s v="Jan"/>
    <n v="2024"/>
    <n v="1"/>
  </r>
  <r>
    <s v="ORD-01155"/>
    <x v="10"/>
    <x v="3"/>
    <x v="0"/>
    <x v="3"/>
    <x v="0"/>
    <x v="1"/>
    <x v="0"/>
    <n v="5"/>
    <n v="11671"/>
    <n v="58355"/>
    <n v="0"/>
    <n v="0"/>
    <n v="58355"/>
    <n v="37902.870000000003"/>
    <n v="20452.129999999997"/>
    <s v="Jan"/>
    <n v="2024"/>
    <n v="1"/>
  </r>
  <r>
    <s v="ORD-01027"/>
    <x v="10"/>
    <x v="5"/>
    <x v="2"/>
    <x v="0"/>
    <x v="3"/>
    <x v="1"/>
    <x v="0"/>
    <n v="4"/>
    <n v="18454"/>
    <n v="73816"/>
    <n v="0"/>
    <n v="0"/>
    <n v="73816"/>
    <n v="37882.29"/>
    <n v="35933.71"/>
    <s v="Jan"/>
    <n v="2024"/>
    <n v="1"/>
  </r>
  <r>
    <s v="ORD-00381"/>
    <x v="11"/>
    <x v="3"/>
    <x v="0"/>
    <x v="1"/>
    <x v="4"/>
    <x v="1"/>
    <x v="0"/>
    <n v="1"/>
    <n v="11838"/>
    <n v="11838"/>
    <n v="0"/>
    <n v="0"/>
    <n v="11838"/>
    <n v="6621.6"/>
    <n v="5216.3999999999996"/>
    <s v="Jan"/>
    <n v="2024"/>
    <n v="1"/>
  </r>
  <r>
    <s v="ORD-01066"/>
    <x v="11"/>
    <x v="5"/>
    <x v="2"/>
    <x v="0"/>
    <x v="1"/>
    <x v="0"/>
    <x v="0"/>
    <n v="4"/>
    <n v="18288"/>
    <n v="73152"/>
    <n v="0"/>
    <n v="0"/>
    <n v="73152"/>
    <n v="44507.57"/>
    <n v="28644.43"/>
    <s v="Jan"/>
    <n v="2024"/>
    <n v="1"/>
  </r>
  <r>
    <s v="ORD-00756"/>
    <x v="12"/>
    <x v="2"/>
    <x v="2"/>
    <x v="0"/>
    <x v="1"/>
    <x v="0"/>
    <x v="0"/>
    <n v="1"/>
    <n v="41414"/>
    <n v="41414"/>
    <n v="0"/>
    <n v="0"/>
    <n v="41414"/>
    <n v="21964.45"/>
    <n v="19449.55"/>
    <s v="Jan"/>
    <n v="2024"/>
    <n v="1"/>
  </r>
  <r>
    <s v="ORD-00039"/>
    <x v="13"/>
    <x v="6"/>
    <x v="1"/>
    <x v="1"/>
    <x v="2"/>
    <x v="0"/>
    <x v="0"/>
    <n v="2"/>
    <n v="29422"/>
    <n v="58844"/>
    <n v="0"/>
    <n v="0"/>
    <n v="58844"/>
    <n v="34354.089999999997"/>
    <n v="24489.910000000003"/>
    <s v="Jan"/>
    <n v="2024"/>
    <n v="1"/>
  </r>
  <r>
    <s v="ORD-00820"/>
    <x v="14"/>
    <x v="1"/>
    <x v="1"/>
    <x v="2"/>
    <x v="2"/>
    <x v="1"/>
    <x v="0"/>
    <n v="1"/>
    <n v="64691"/>
    <n v="64691"/>
    <n v="0"/>
    <n v="0"/>
    <n v="64691"/>
    <n v="39976.720000000001"/>
    <n v="24714.28"/>
    <s v="Jan"/>
    <n v="2024"/>
    <n v="1"/>
  </r>
  <r>
    <s v="ORD-00075"/>
    <x v="14"/>
    <x v="4"/>
    <x v="2"/>
    <x v="1"/>
    <x v="4"/>
    <x v="0"/>
    <x v="0"/>
    <n v="1"/>
    <n v="24728"/>
    <n v="24728"/>
    <n v="0"/>
    <n v="0"/>
    <n v="24728"/>
    <n v="14900.79"/>
    <n v="9827.2099999999991"/>
    <s v="Jan"/>
    <n v="2024"/>
    <n v="1"/>
  </r>
  <r>
    <s v="ORD-01112"/>
    <x v="15"/>
    <x v="3"/>
    <x v="0"/>
    <x v="2"/>
    <x v="0"/>
    <x v="1"/>
    <x v="0"/>
    <n v="3"/>
    <n v="11360"/>
    <n v="34080"/>
    <n v="0"/>
    <n v="0"/>
    <n v="34080"/>
    <n v="18987.45"/>
    <n v="15092.55"/>
    <s v="Jan"/>
    <n v="2024"/>
    <n v="1"/>
  </r>
  <r>
    <s v="ORD-00242"/>
    <x v="16"/>
    <x v="6"/>
    <x v="1"/>
    <x v="3"/>
    <x v="4"/>
    <x v="1"/>
    <x v="0"/>
    <n v="3"/>
    <n v="30800"/>
    <n v="92400"/>
    <n v="0"/>
    <n v="0"/>
    <n v="92400"/>
    <n v="58175.13"/>
    <n v="34224.870000000003"/>
    <s v="Jan"/>
    <n v="2024"/>
    <n v="1"/>
  </r>
  <r>
    <s v="ORD-00261"/>
    <x v="17"/>
    <x v="2"/>
    <x v="2"/>
    <x v="2"/>
    <x v="2"/>
    <x v="1"/>
    <x v="0"/>
    <n v="1"/>
    <n v="42420"/>
    <n v="42420"/>
    <n v="0"/>
    <n v="0"/>
    <n v="42420"/>
    <n v="28340.12"/>
    <n v="14079.880000000001"/>
    <s v="Jan"/>
    <n v="2024"/>
    <n v="1"/>
  </r>
  <r>
    <s v="ORD-00916"/>
    <x v="17"/>
    <x v="7"/>
    <x v="2"/>
    <x v="0"/>
    <x v="4"/>
    <x v="1"/>
    <x v="0"/>
    <n v="1"/>
    <n v="47579"/>
    <n v="47579"/>
    <n v="0"/>
    <n v="0"/>
    <n v="47579"/>
    <n v="31642.55"/>
    <n v="15936.45"/>
    <s v="Jan"/>
    <n v="2024"/>
    <n v="1"/>
  </r>
  <r>
    <s v="ORD-00282"/>
    <x v="18"/>
    <x v="7"/>
    <x v="2"/>
    <x v="3"/>
    <x v="2"/>
    <x v="1"/>
    <x v="0"/>
    <n v="1"/>
    <n v="48841"/>
    <n v="48841"/>
    <n v="2442.0500000000002"/>
    <n v="0.05"/>
    <n v="46398.95"/>
    <n v="25572.26"/>
    <n v="20826.689999999999"/>
    <s v="Jan"/>
    <n v="2024"/>
    <n v="1"/>
  </r>
  <r>
    <s v="ORD-00033"/>
    <x v="19"/>
    <x v="4"/>
    <x v="2"/>
    <x v="1"/>
    <x v="2"/>
    <x v="0"/>
    <x v="0"/>
    <n v="1"/>
    <n v="24775"/>
    <n v="24775"/>
    <n v="0"/>
    <n v="0"/>
    <n v="24775"/>
    <n v="12769.78"/>
    <n v="12005.22"/>
    <s v="Jan"/>
    <n v="2024"/>
    <n v="1"/>
  </r>
  <r>
    <s v="ORD-00017"/>
    <x v="20"/>
    <x v="8"/>
    <x v="2"/>
    <x v="3"/>
    <x v="4"/>
    <x v="0"/>
    <x v="0"/>
    <n v="1"/>
    <n v="39954"/>
    <n v="39954"/>
    <n v="0"/>
    <n v="0"/>
    <n v="39954"/>
    <n v="24534.84"/>
    <n v="15419.16"/>
    <s v="Jan"/>
    <n v="2024"/>
    <n v="1"/>
  </r>
  <r>
    <s v="ORD-00358"/>
    <x v="21"/>
    <x v="4"/>
    <x v="2"/>
    <x v="0"/>
    <x v="4"/>
    <x v="1"/>
    <x v="0"/>
    <n v="2"/>
    <n v="23840"/>
    <n v="47680"/>
    <n v="0"/>
    <n v="0"/>
    <n v="47680"/>
    <n v="23126.7"/>
    <n v="24553.3"/>
    <s v="Jan"/>
    <n v="2024"/>
    <n v="1"/>
  </r>
  <r>
    <s v="ORD-00834"/>
    <x v="21"/>
    <x v="0"/>
    <x v="0"/>
    <x v="0"/>
    <x v="3"/>
    <x v="1"/>
    <x v="0"/>
    <n v="3"/>
    <n v="16062"/>
    <n v="48186"/>
    <n v="0"/>
    <n v="0"/>
    <n v="48186"/>
    <n v="28793.01"/>
    <n v="19392.990000000002"/>
    <s v="Jan"/>
    <n v="2024"/>
    <n v="1"/>
  </r>
  <r>
    <s v="ORD-00689"/>
    <x v="22"/>
    <x v="3"/>
    <x v="0"/>
    <x v="2"/>
    <x v="3"/>
    <x v="1"/>
    <x v="0"/>
    <n v="2"/>
    <n v="12904"/>
    <n v="25808"/>
    <n v="1290.4000000000001"/>
    <n v="0.05"/>
    <n v="24517.599999999999"/>
    <n v="16832.150000000001"/>
    <n v="7685.4499999999971"/>
    <s v="Jan"/>
    <n v="2024"/>
    <n v="1"/>
  </r>
  <r>
    <s v="ORD-00886"/>
    <x v="22"/>
    <x v="5"/>
    <x v="2"/>
    <x v="1"/>
    <x v="1"/>
    <x v="0"/>
    <x v="0"/>
    <n v="5"/>
    <n v="17366"/>
    <n v="86830"/>
    <n v="0"/>
    <n v="0"/>
    <n v="86830"/>
    <n v="43627.58"/>
    <n v="43202.42"/>
    <s v="Jan"/>
    <n v="2024"/>
    <n v="1"/>
  </r>
  <r>
    <s v="ORD-01052"/>
    <x v="22"/>
    <x v="8"/>
    <x v="2"/>
    <x v="1"/>
    <x v="1"/>
    <x v="0"/>
    <x v="0"/>
    <n v="1"/>
    <n v="40689"/>
    <n v="40689"/>
    <n v="0"/>
    <n v="0"/>
    <n v="40689"/>
    <n v="22062.93"/>
    <n v="18626.07"/>
    <s v="Jan"/>
    <n v="2024"/>
    <n v="1"/>
  </r>
  <r>
    <s v="ORD-01007"/>
    <x v="23"/>
    <x v="9"/>
    <x v="0"/>
    <x v="0"/>
    <x v="0"/>
    <x v="1"/>
    <x v="0"/>
    <n v="1"/>
    <n v="45081"/>
    <n v="45081"/>
    <n v="0"/>
    <n v="0"/>
    <n v="45081"/>
    <n v="29521.71"/>
    <n v="15559.29"/>
    <s v="Jan"/>
    <n v="2024"/>
    <n v="1"/>
  </r>
  <r>
    <s v="ORD-00230"/>
    <x v="23"/>
    <x v="2"/>
    <x v="2"/>
    <x v="2"/>
    <x v="3"/>
    <x v="1"/>
    <x v="0"/>
    <n v="1"/>
    <n v="42993"/>
    <n v="42993"/>
    <n v="0"/>
    <n v="0"/>
    <n v="42993"/>
    <n v="23051.83"/>
    <n v="19941.169999999998"/>
    <s v="Jan"/>
    <n v="2024"/>
    <n v="1"/>
  </r>
  <r>
    <s v="ORD-00665"/>
    <x v="24"/>
    <x v="9"/>
    <x v="0"/>
    <x v="0"/>
    <x v="4"/>
    <x v="0"/>
    <x v="0"/>
    <n v="2"/>
    <n v="41843"/>
    <n v="83686"/>
    <n v="0"/>
    <n v="0"/>
    <n v="83686"/>
    <n v="55149.64"/>
    <n v="28536.36"/>
    <s v="Jan"/>
    <n v="2024"/>
    <n v="1"/>
  </r>
  <r>
    <s v="ORD-00681"/>
    <x v="24"/>
    <x v="7"/>
    <x v="2"/>
    <x v="2"/>
    <x v="4"/>
    <x v="0"/>
    <x v="0"/>
    <n v="3"/>
    <n v="51987"/>
    <n v="155961"/>
    <n v="0"/>
    <n v="0"/>
    <n v="155961"/>
    <n v="89177.56"/>
    <n v="66783.44"/>
    <s v="Jan"/>
    <n v="2024"/>
    <n v="1"/>
  </r>
  <r>
    <s v="ORD-01123"/>
    <x v="25"/>
    <x v="4"/>
    <x v="2"/>
    <x v="3"/>
    <x v="2"/>
    <x v="1"/>
    <x v="0"/>
    <n v="1"/>
    <n v="23063"/>
    <n v="23063"/>
    <n v="0"/>
    <n v="0"/>
    <n v="23063"/>
    <n v="13658.15"/>
    <n v="9404.85"/>
    <s v="Jan"/>
    <n v="2024"/>
    <n v="1"/>
  </r>
  <r>
    <s v="ORD-00456"/>
    <x v="25"/>
    <x v="4"/>
    <x v="2"/>
    <x v="0"/>
    <x v="0"/>
    <x v="1"/>
    <x v="0"/>
    <n v="2"/>
    <n v="25639"/>
    <n v="51278"/>
    <n v="0"/>
    <n v="0"/>
    <n v="51278"/>
    <n v="25961.15"/>
    <n v="25316.85"/>
    <s v="Jan"/>
    <n v="2024"/>
    <n v="1"/>
  </r>
  <r>
    <s v="ORD-00993"/>
    <x v="25"/>
    <x v="8"/>
    <x v="2"/>
    <x v="0"/>
    <x v="0"/>
    <x v="1"/>
    <x v="0"/>
    <n v="2"/>
    <n v="40120"/>
    <n v="80240"/>
    <n v="4012"/>
    <n v="0.05"/>
    <n v="76228"/>
    <n v="53553.98"/>
    <n v="22674.019999999997"/>
    <s v="Jan"/>
    <n v="2024"/>
    <n v="1"/>
  </r>
  <r>
    <s v="ORD-01025"/>
    <x v="25"/>
    <x v="4"/>
    <x v="2"/>
    <x v="0"/>
    <x v="1"/>
    <x v="0"/>
    <x v="0"/>
    <n v="3"/>
    <n v="23929"/>
    <n v="71787"/>
    <n v="7178.7"/>
    <n v="0.1"/>
    <n v="64608.3"/>
    <n v="46845.16"/>
    <n v="17763.14"/>
    <s v="Jan"/>
    <n v="2024"/>
    <n v="1"/>
  </r>
  <r>
    <s v="ORD-00910"/>
    <x v="26"/>
    <x v="5"/>
    <x v="2"/>
    <x v="2"/>
    <x v="0"/>
    <x v="1"/>
    <x v="0"/>
    <n v="3"/>
    <n v="17057"/>
    <n v="51171"/>
    <n v="0"/>
    <n v="0"/>
    <n v="51171"/>
    <n v="29176.720000000001"/>
    <n v="21994.28"/>
    <s v="Feb"/>
    <n v="2024"/>
    <n v="2"/>
  </r>
  <r>
    <s v="ORD-00696"/>
    <x v="27"/>
    <x v="5"/>
    <x v="2"/>
    <x v="2"/>
    <x v="4"/>
    <x v="1"/>
    <x v="0"/>
    <n v="2"/>
    <n v="17949"/>
    <n v="35898"/>
    <n v="0"/>
    <n v="0"/>
    <n v="35898"/>
    <n v="22745.61"/>
    <n v="13152.39"/>
    <s v="Feb"/>
    <n v="2024"/>
    <n v="2"/>
  </r>
  <r>
    <s v="ORD-00566"/>
    <x v="27"/>
    <x v="6"/>
    <x v="1"/>
    <x v="0"/>
    <x v="3"/>
    <x v="1"/>
    <x v="1"/>
    <n v="2"/>
    <n v="27700"/>
    <n v="55400"/>
    <n v="5540"/>
    <n v="0.1"/>
    <n v="49860"/>
    <n v="26951.95"/>
    <n v="22908.05"/>
    <s v="Feb"/>
    <n v="2024"/>
    <n v="2"/>
  </r>
  <r>
    <s v="ORD-01002"/>
    <x v="27"/>
    <x v="6"/>
    <x v="1"/>
    <x v="1"/>
    <x v="2"/>
    <x v="0"/>
    <x v="1"/>
    <n v="4"/>
    <n v="30624"/>
    <n v="122496"/>
    <n v="12249.6"/>
    <n v="0.1"/>
    <n v="110246.39999999999"/>
    <n v="66069.45"/>
    <n v="44176.95"/>
    <s v="Feb"/>
    <n v="2024"/>
    <n v="2"/>
  </r>
  <r>
    <s v="ORD-00048"/>
    <x v="28"/>
    <x v="5"/>
    <x v="2"/>
    <x v="1"/>
    <x v="4"/>
    <x v="1"/>
    <x v="1"/>
    <n v="2"/>
    <n v="18380"/>
    <n v="36760"/>
    <n v="3676"/>
    <n v="0.1"/>
    <n v="33084"/>
    <n v="18687.13"/>
    <n v="14396.869999999999"/>
    <s v="Feb"/>
    <n v="2024"/>
    <n v="2"/>
  </r>
  <r>
    <s v="ORD-00384"/>
    <x v="28"/>
    <x v="3"/>
    <x v="0"/>
    <x v="3"/>
    <x v="1"/>
    <x v="1"/>
    <x v="1"/>
    <n v="1"/>
    <n v="11461"/>
    <n v="11461"/>
    <n v="1146.0999999999999"/>
    <n v="0.1"/>
    <n v="10314.9"/>
    <n v="7598.65"/>
    <n v="2716.25"/>
    <s v="Feb"/>
    <n v="2024"/>
    <n v="2"/>
  </r>
  <r>
    <s v="ORD-00280"/>
    <x v="29"/>
    <x v="3"/>
    <x v="0"/>
    <x v="0"/>
    <x v="3"/>
    <x v="1"/>
    <x v="0"/>
    <n v="4"/>
    <n v="11642"/>
    <n v="46568"/>
    <n v="0"/>
    <n v="0"/>
    <n v="46568"/>
    <n v="24882.52"/>
    <n v="21685.48"/>
    <s v="Feb"/>
    <n v="2024"/>
    <n v="2"/>
  </r>
  <r>
    <s v="ORD-01199"/>
    <x v="30"/>
    <x v="3"/>
    <x v="0"/>
    <x v="0"/>
    <x v="1"/>
    <x v="0"/>
    <x v="1"/>
    <n v="2"/>
    <n v="12108"/>
    <n v="24216"/>
    <n v="2421.6"/>
    <n v="0.1"/>
    <n v="21794.400000000001"/>
    <n v="15782.9"/>
    <n v="6011.5000000000018"/>
    <s v="Feb"/>
    <n v="2024"/>
    <n v="2"/>
  </r>
  <r>
    <s v="ORD-00409"/>
    <x v="30"/>
    <x v="5"/>
    <x v="2"/>
    <x v="1"/>
    <x v="4"/>
    <x v="1"/>
    <x v="1"/>
    <n v="2"/>
    <n v="17943"/>
    <n v="35886"/>
    <n v="5382.9"/>
    <n v="0.15"/>
    <n v="30503.1"/>
    <n v="18797.990000000002"/>
    <n v="11705.109999999997"/>
    <s v="Feb"/>
    <n v="2024"/>
    <n v="2"/>
  </r>
  <r>
    <s v="ORD-00226"/>
    <x v="31"/>
    <x v="5"/>
    <x v="2"/>
    <x v="0"/>
    <x v="2"/>
    <x v="0"/>
    <x v="1"/>
    <n v="2"/>
    <n v="19067"/>
    <n v="38134"/>
    <n v="3813.4"/>
    <n v="0.1"/>
    <n v="34320.6"/>
    <n v="22365.62"/>
    <n v="11954.98"/>
    <s v="Feb"/>
    <n v="2024"/>
    <n v="2"/>
  </r>
  <r>
    <s v="ORD-01195"/>
    <x v="31"/>
    <x v="4"/>
    <x v="2"/>
    <x v="0"/>
    <x v="3"/>
    <x v="1"/>
    <x v="1"/>
    <n v="1"/>
    <n v="24805"/>
    <n v="24805"/>
    <n v="3720.75"/>
    <n v="0.15"/>
    <n v="21084.25"/>
    <n v="13200.27"/>
    <n v="7883.98"/>
    <s v="Feb"/>
    <n v="2024"/>
    <n v="2"/>
  </r>
  <r>
    <s v="ORD-01107"/>
    <x v="32"/>
    <x v="4"/>
    <x v="2"/>
    <x v="3"/>
    <x v="3"/>
    <x v="1"/>
    <x v="1"/>
    <n v="1"/>
    <n v="23338"/>
    <n v="23338"/>
    <n v="1166.9000000000001"/>
    <n v="0.05"/>
    <n v="22171.1"/>
    <n v="11720.14"/>
    <n v="10450.959999999999"/>
    <s v="Feb"/>
    <n v="2024"/>
    <n v="2"/>
  </r>
  <r>
    <s v="ORD-00467"/>
    <x v="32"/>
    <x v="2"/>
    <x v="2"/>
    <x v="3"/>
    <x v="4"/>
    <x v="1"/>
    <x v="0"/>
    <n v="2"/>
    <n v="42125"/>
    <n v="84250"/>
    <n v="0"/>
    <n v="0"/>
    <n v="84250"/>
    <n v="44363.67"/>
    <n v="39886.33"/>
    <s v="Feb"/>
    <n v="2024"/>
    <n v="2"/>
  </r>
  <r>
    <s v="ORD-01191"/>
    <x v="33"/>
    <x v="4"/>
    <x v="2"/>
    <x v="2"/>
    <x v="4"/>
    <x v="0"/>
    <x v="1"/>
    <n v="1"/>
    <n v="26419"/>
    <n v="26419"/>
    <n v="3962.85"/>
    <n v="0.15"/>
    <n v="22456.15"/>
    <n v="14409.94"/>
    <n v="8046.2100000000009"/>
    <s v="Feb"/>
    <n v="2024"/>
    <n v="2"/>
  </r>
  <r>
    <s v="ORD-00087"/>
    <x v="34"/>
    <x v="8"/>
    <x v="2"/>
    <x v="0"/>
    <x v="3"/>
    <x v="1"/>
    <x v="1"/>
    <n v="2"/>
    <n v="36301"/>
    <n v="72602"/>
    <n v="3630.1"/>
    <n v="0.05"/>
    <n v="68971.899999999994"/>
    <n v="45531.08"/>
    <n v="23440.819999999992"/>
    <s v="Feb"/>
    <n v="2024"/>
    <n v="2"/>
  </r>
  <r>
    <s v="ORD-00513"/>
    <x v="34"/>
    <x v="3"/>
    <x v="0"/>
    <x v="3"/>
    <x v="4"/>
    <x v="0"/>
    <x v="1"/>
    <n v="3"/>
    <n v="11447"/>
    <n v="34341"/>
    <n v="5151.1499999999996"/>
    <n v="0.15"/>
    <n v="29189.85"/>
    <n v="18415.599999999999"/>
    <n v="10774.25"/>
    <s v="Feb"/>
    <n v="2024"/>
    <n v="2"/>
  </r>
  <r>
    <s v="ORD-01000"/>
    <x v="34"/>
    <x v="5"/>
    <x v="2"/>
    <x v="3"/>
    <x v="2"/>
    <x v="0"/>
    <x v="1"/>
    <n v="1"/>
    <n v="18125"/>
    <n v="18125"/>
    <n v="1812.5"/>
    <n v="0.1"/>
    <n v="16312.5"/>
    <n v="9161.44"/>
    <n v="7151.0599999999995"/>
    <s v="Feb"/>
    <n v="2024"/>
    <n v="2"/>
  </r>
  <r>
    <s v="ORD-00999"/>
    <x v="35"/>
    <x v="6"/>
    <x v="1"/>
    <x v="3"/>
    <x v="4"/>
    <x v="1"/>
    <x v="1"/>
    <n v="2"/>
    <n v="30539"/>
    <n v="61078"/>
    <n v="3053.9"/>
    <n v="0.05"/>
    <n v="58024.1"/>
    <n v="38690.199999999997"/>
    <n v="19333.900000000001"/>
    <s v="Feb"/>
    <n v="2024"/>
    <n v="2"/>
  </r>
  <r>
    <s v="ORD-01051"/>
    <x v="35"/>
    <x v="5"/>
    <x v="2"/>
    <x v="2"/>
    <x v="4"/>
    <x v="1"/>
    <x v="1"/>
    <n v="2"/>
    <n v="18860"/>
    <n v="37720"/>
    <n v="5658"/>
    <n v="0.15"/>
    <n v="32062"/>
    <n v="22696.16"/>
    <n v="9365.84"/>
    <s v="Feb"/>
    <n v="2024"/>
    <n v="2"/>
  </r>
  <r>
    <s v="ORD-00617"/>
    <x v="36"/>
    <x v="1"/>
    <x v="1"/>
    <x v="2"/>
    <x v="0"/>
    <x v="1"/>
    <x v="0"/>
    <n v="2"/>
    <n v="67308"/>
    <n v="134616"/>
    <n v="0"/>
    <n v="0"/>
    <n v="134616"/>
    <n v="82225.539999999994"/>
    <n v="52390.460000000006"/>
    <s v="Feb"/>
    <n v="2024"/>
    <n v="2"/>
  </r>
  <r>
    <s v="ORD-01075"/>
    <x v="37"/>
    <x v="9"/>
    <x v="0"/>
    <x v="2"/>
    <x v="2"/>
    <x v="1"/>
    <x v="0"/>
    <n v="2"/>
    <n v="45330"/>
    <n v="90660"/>
    <n v="4533"/>
    <n v="0.05"/>
    <n v="86127"/>
    <n v="48065.98"/>
    <n v="38061.019999999997"/>
    <s v="Feb"/>
    <n v="2024"/>
    <n v="2"/>
  </r>
  <r>
    <s v="ORD-00645"/>
    <x v="37"/>
    <x v="9"/>
    <x v="0"/>
    <x v="2"/>
    <x v="4"/>
    <x v="1"/>
    <x v="1"/>
    <n v="1"/>
    <n v="45978"/>
    <n v="45978"/>
    <n v="6896.7"/>
    <n v="0.15"/>
    <n v="39081.300000000003"/>
    <n v="22830.27"/>
    <n v="16251.030000000002"/>
    <s v="Feb"/>
    <n v="2024"/>
    <n v="2"/>
  </r>
  <r>
    <s v="ORD-00494"/>
    <x v="37"/>
    <x v="8"/>
    <x v="2"/>
    <x v="1"/>
    <x v="4"/>
    <x v="0"/>
    <x v="0"/>
    <n v="2"/>
    <n v="36283"/>
    <n v="72566"/>
    <n v="0"/>
    <n v="0"/>
    <n v="72566"/>
    <n v="43154.01"/>
    <n v="29411.989999999998"/>
    <s v="Feb"/>
    <n v="2024"/>
    <n v="2"/>
  </r>
  <r>
    <s v="ORD-00821"/>
    <x v="37"/>
    <x v="0"/>
    <x v="0"/>
    <x v="1"/>
    <x v="4"/>
    <x v="1"/>
    <x v="1"/>
    <n v="2"/>
    <n v="15866"/>
    <n v="31732"/>
    <n v="4759.8"/>
    <n v="0.15"/>
    <n v="26972.2"/>
    <n v="15312.32"/>
    <n v="11659.880000000001"/>
    <s v="Feb"/>
    <n v="2024"/>
    <n v="2"/>
  </r>
  <r>
    <s v="ORD-00313"/>
    <x v="37"/>
    <x v="0"/>
    <x v="0"/>
    <x v="2"/>
    <x v="3"/>
    <x v="0"/>
    <x v="1"/>
    <n v="3"/>
    <n v="15935"/>
    <n v="47805"/>
    <n v="2390.25"/>
    <n v="0.05"/>
    <n v="45414.75"/>
    <n v="25757.98"/>
    <n v="19656.77"/>
    <s v="Feb"/>
    <n v="2024"/>
    <n v="2"/>
  </r>
  <r>
    <s v="ORD-00652"/>
    <x v="38"/>
    <x v="5"/>
    <x v="2"/>
    <x v="0"/>
    <x v="4"/>
    <x v="0"/>
    <x v="1"/>
    <n v="1"/>
    <n v="17956"/>
    <n v="17956"/>
    <n v="1795.6"/>
    <n v="0.1"/>
    <n v="16160.4"/>
    <n v="9770.6200000000008"/>
    <n v="6389.7799999999988"/>
    <s v="Feb"/>
    <n v="2024"/>
    <n v="2"/>
  </r>
  <r>
    <s v="ORD-00292"/>
    <x v="39"/>
    <x v="2"/>
    <x v="2"/>
    <x v="1"/>
    <x v="2"/>
    <x v="0"/>
    <x v="1"/>
    <n v="1"/>
    <n v="44683"/>
    <n v="44683"/>
    <n v="4468.3"/>
    <n v="0.1"/>
    <n v="40214.699999999997"/>
    <n v="25416.720000000001"/>
    <n v="14797.979999999996"/>
    <s v="Feb"/>
    <n v="2024"/>
    <n v="2"/>
  </r>
  <r>
    <s v="ORD-00855"/>
    <x v="39"/>
    <x v="1"/>
    <x v="1"/>
    <x v="0"/>
    <x v="3"/>
    <x v="0"/>
    <x v="0"/>
    <n v="1"/>
    <n v="64042"/>
    <n v="64042"/>
    <n v="3202.1"/>
    <n v="0.05"/>
    <n v="60839.9"/>
    <n v="39400.449999999997"/>
    <n v="21439.450000000004"/>
    <s v="Feb"/>
    <n v="2024"/>
    <n v="2"/>
  </r>
  <r>
    <s v="ORD-00560"/>
    <x v="39"/>
    <x v="1"/>
    <x v="1"/>
    <x v="0"/>
    <x v="1"/>
    <x v="1"/>
    <x v="1"/>
    <n v="1"/>
    <n v="66514"/>
    <n v="66514"/>
    <n v="9977.1"/>
    <n v="0.15"/>
    <n v="56536.9"/>
    <n v="41676.04"/>
    <n v="14860.86"/>
    <s v="Feb"/>
    <n v="2024"/>
    <n v="2"/>
  </r>
  <r>
    <s v="ORD-00614"/>
    <x v="40"/>
    <x v="2"/>
    <x v="2"/>
    <x v="3"/>
    <x v="0"/>
    <x v="0"/>
    <x v="1"/>
    <n v="1"/>
    <n v="44026"/>
    <n v="44026"/>
    <n v="2201.3000000000002"/>
    <n v="0.05"/>
    <n v="41824.699999999997"/>
    <n v="25372.97"/>
    <n v="16451.729999999996"/>
    <s v="Feb"/>
    <n v="2024"/>
    <n v="2"/>
  </r>
  <r>
    <s v="ORD-01168"/>
    <x v="41"/>
    <x v="1"/>
    <x v="1"/>
    <x v="1"/>
    <x v="0"/>
    <x v="0"/>
    <x v="1"/>
    <n v="1"/>
    <n v="68491"/>
    <n v="68491"/>
    <n v="10273.65"/>
    <n v="0.15"/>
    <n v="58217.35"/>
    <n v="33363.410000000003"/>
    <n v="24853.939999999995"/>
    <s v="Feb"/>
    <n v="2024"/>
    <n v="2"/>
  </r>
  <r>
    <s v="ORD-00200"/>
    <x v="41"/>
    <x v="8"/>
    <x v="2"/>
    <x v="0"/>
    <x v="2"/>
    <x v="1"/>
    <x v="0"/>
    <n v="2"/>
    <n v="38759"/>
    <n v="77518"/>
    <n v="7751.8"/>
    <n v="0.1"/>
    <n v="69766.2"/>
    <n v="50120.51"/>
    <n v="19645.689999999995"/>
    <s v="Feb"/>
    <n v="2024"/>
    <n v="2"/>
  </r>
  <r>
    <s v="ORD-00932"/>
    <x v="42"/>
    <x v="3"/>
    <x v="0"/>
    <x v="3"/>
    <x v="1"/>
    <x v="0"/>
    <x v="1"/>
    <n v="2"/>
    <n v="11075"/>
    <n v="22150"/>
    <n v="2215"/>
    <n v="0.1"/>
    <n v="19935"/>
    <n v="13973.24"/>
    <n v="5961.76"/>
    <s v="Feb"/>
    <n v="2024"/>
    <n v="2"/>
  </r>
  <r>
    <s v="ORD-01033"/>
    <x v="42"/>
    <x v="1"/>
    <x v="1"/>
    <x v="0"/>
    <x v="4"/>
    <x v="0"/>
    <x v="1"/>
    <n v="4"/>
    <n v="60924"/>
    <n v="243696"/>
    <n v="24369.599999999999"/>
    <n v="0.1"/>
    <n v="219326.4"/>
    <n v="121156.43"/>
    <n v="98169.97"/>
    <s v="Feb"/>
    <n v="2024"/>
    <n v="2"/>
  </r>
  <r>
    <s v="ORD-00927"/>
    <x v="42"/>
    <x v="6"/>
    <x v="1"/>
    <x v="2"/>
    <x v="3"/>
    <x v="1"/>
    <x v="1"/>
    <n v="2"/>
    <n v="30285"/>
    <n v="60570"/>
    <n v="6057"/>
    <n v="0.1"/>
    <n v="54513"/>
    <n v="40925.03"/>
    <n v="13587.970000000001"/>
    <s v="Feb"/>
    <n v="2024"/>
    <n v="2"/>
  </r>
  <r>
    <s v="ORD-00661"/>
    <x v="43"/>
    <x v="2"/>
    <x v="2"/>
    <x v="0"/>
    <x v="2"/>
    <x v="1"/>
    <x v="1"/>
    <n v="5"/>
    <n v="43201"/>
    <n v="216005"/>
    <n v="10800.25"/>
    <n v="0.05"/>
    <n v="205204.75"/>
    <n v="134645.35999999999"/>
    <n v="70559.390000000014"/>
    <s v="Feb"/>
    <n v="2024"/>
    <n v="2"/>
  </r>
  <r>
    <s v="ORD-00485"/>
    <x v="44"/>
    <x v="6"/>
    <x v="1"/>
    <x v="0"/>
    <x v="4"/>
    <x v="0"/>
    <x v="0"/>
    <n v="2"/>
    <n v="32161"/>
    <n v="64322"/>
    <n v="0"/>
    <n v="0"/>
    <n v="64322"/>
    <n v="31121.14"/>
    <n v="33200.86"/>
    <s v="Feb"/>
    <n v="2024"/>
    <n v="2"/>
  </r>
  <r>
    <s v="ORD-00981"/>
    <x v="45"/>
    <x v="8"/>
    <x v="2"/>
    <x v="0"/>
    <x v="2"/>
    <x v="1"/>
    <x v="0"/>
    <n v="2"/>
    <n v="41024"/>
    <n v="82048"/>
    <n v="0"/>
    <n v="0"/>
    <n v="82048"/>
    <n v="42310.48"/>
    <n v="39737.519999999997"/>
    <s v="Feb"/>
    <n v="2024"/>
    <n v="2"/>
  </r>
  <r>
    <s v="ORD-00629"/>
    <x v="46"/>
    <x v="1"/>
    <x v="1"/>
    <x v="2"/>
    <x v="4"/>
    <x v="0"/>
    <x v="0"/>
    <n v="1"/>
    <n v="60614"/>
    <n v="60614"/>
    <n v="0"/>
    <n v="0"/>
    <n v="60614"/>
    <n v="38611.199999999997"/>
    <n v="22002.800000000003"/>
    <s v="Mar"/>
    <n v="2024"/>
    <n v="3"/>
  </r>
  <r>
    <s v="ORD-01151"/>
    <x v="46"/>
    <x v="0"/>
    <x v="0"/>
    <x v="1"/>
    <x v="0"/>
    <x v="1"/>
    <x v="2"/>
    <n v="2"/>
    <n v="14179"/>
    <n v="28358"/>
    <n v="4253.7"/>
    <n v="0.15"/>
    <n v="24104.3"/>
    <n v="16150.12"/>
    <n v="7954.1799999999985"/>
    <s v="Mar"/>
    <n v="2024"/>
    <n v="3"/>
  </r>
  <r>
    <s v="ORD-01049"/>
    <x v="46"/>
    <x v="4"/>
    <x v="2"/>
    <x v="3"/>
    <x v="3"/>
    <x v="0"/>
    <x v="0"/>
    <n v="1"/>
    <n v="26696"/>
    <n v="26696"/>
    <n v="0"/>
    <n v="0"/>
    <n v="26696"/>
    <n v="17786.3"/>
    <n v="8909.7000000000007"/>
    <s v="Mar"/>
    <n v="2024"/>
    <n v="3"/>
  </r>
  <r>
    <s v="ORD-00414"/>
    <x v="47"/>
    <x v="6"/>
    <x v="1"/>
    <x v="1"/>
    <x v="0"/>
    <x v="0"/>
    <x v="2"/>
    <n v="1"/>
    <n v="30402"/>
    <n v="30402"/>
    <n v="3040.2"/>
    <n v="0.1"/>
    <n v="27361.8"/>
    <n v="19769.849999999999"/>
    <n v="7591.9500000000007"/>
    <s v="Mar"/>
    <n v="2024"/>
    <n v="3"/>
  </r>
  <r>
    <s v="ORD-01176"/>
    <x v="47"/>
    <x v="9"/>
    <x v="0"/>
    <x v="2"/>
    <x v="1"/>
    <x v="0"/>
    <x v="0"/>
    <n v="3"/>
    <n v="45873"/>
    <n v="137619"/>
    <n v="0"/>
    <n v="0"/>
    <n v="137619"/>
    <n v="89781.1"/>
    <n v="47837.899999999994"/>
    <s v="Mar"/>
    <n v="2024"/>
    <n v="3"/>
  </r>
  <r>
    <s v="ORD-00890"/>
    <x v="48"/>
    <x v="2"/>
    <x v="2"/>
    <x v="1"/>
    <x v="3"/>
    <x v="1"/>
    <x v="2"/>
    <n v="3"/>
    <n v="39910"/>
    <n v="119730"/>
    <n v="17959.5"/>
    <n v="0.15"/>
    <n v="101770.5"/>
    <n v="74719.25"/>
    <n v="27051.25"/>
    <s v="Mar"/>
    <n v="2024"/>
    <n v="3"/>
  </r>
  <r>
    <s v="ORD-00540"/>
    <x v="48"/>
    <x v="5"/>
    <x v="2"/>
    <x v="1"/>
    <x v="4"/>
    <x v="1"/>
    <x v="2"/>
    <n v="1"/>
    <n v="17133"/>
    <n v="17133"/>
    <n v="856.65"/>
    <n v="0.05"/>
    <n v="16276.35"/>
    <n v="8231.32"/>
    <n v="8045.0300000000007"/>
    <s v="Mar"/>
    <n v="2024"/>
    <n v="3"/>
  </r>
  <r>
    <s v="ORD-00076"/>
    <x v="49"/>
    <x v="6"/>
    <x v="1"/>
    <x v="1"/>
    <x v="1"/>
    <x v="0"/>
    <x v="0"/>
    <n v="1"/>
    <n v="30822"/>
    <n v="30822"/>
    <n v="0"/>
    <n v="0"/>
    <n v="30822"/>
    <n v="20214.72"/>
    <n v="10607.279999999999"/>
    <s v="Mar"/>
    <n v="2024"/>
    <n v="3"/>
  </r>
  <r>
    <s v="ORD-00690"/>
    <x v="50"/>
    <x v="1"/>
    <x v="1"/>
    <x v="1"/>
    <x v="0"/>
    <x v="1"/>
    <x v="0"/>
    <n v="1"/>
    <n v="64023"/>
    <n v="64023"/>
    <n v="0"/>
    <n v="0"/>
    <n v="64023"/>
    <n v="38117.800000000003"/>
    <n v="25905.199999999997"/>
    <s v="Mar"/>
    <n v="2024"/>
    <n v="3"/>
  </r>
  <r>
    <s v="ORD-00612"/>
    <x v="51"/>
    <x v="1"/>
    <x v="1"/>
    <x v="3"/>
    <x v="4"/>
    <x v="1"/>
    <x v="0"/>
    <n v="1"/>
    <n v="67123"/>
    <n v="67123"/>
    <n v="0"/>
    <n v="0"/>
    <n v="67123"/>
    <n v="32350.32"/>
    <n v="34772.68"/>
    <s v="Mar"/>
    <n v="2024"/>
    <n v="3"/>
  </r>
  <r>
    <s v="ORD-01038"/>
    <x v="51"/>
    <x v="9"/>
    <x v="0"/>
    <x v="0"/>
    <x v="3"/>
    <x v="1"/>
    <x v="2"/>
    <n v="2"/>
    <n v="42506"/>
    <n v="85012"/>
    <n v="17002.400000000001"/>
    <n v="0.2"/>
    <n v="68009.600000000006"/>
    <n v="48178.1"/>
    <n v="19831.500000000007"/>
    <s v="Mar"/>
    <n v="2024"/>
    <n v="3"/>
  </r>
  <r>
    <s v="ORD-00829"/>
    <x v="51"/>
    <x v="4"/>
    <x v="2"/>
    <x v="0"/>
    <x v="4"/>
    <x v="0"/>
    <x v="2"/>
    <n v="1"/>
    <n v="24560"/>
    <n v="24560"/>
    <n v="2456"/>
    <n v="0.1"/>
    <n v="22104"/>
    <n v="16353.33"/>
    <n v="5750.67"/>
    <s v="Mar"/>
    <n v="2024"/>
    <n v="3"/>
  </r>
  <r>
    <s v="ORD-01045"/>
    <x v="52"/>
    <x v="6"/>
    <x v="1"/>
    <x v="3"/>
    <x v="4"/>
    <x v="0"/>
    <x v="2"/>
    <n v="4"/>
    <n v="29121"/>
    <n v="116484"/>
    <n v="17472.599999999999"/>
    <n v="0.15"/>
    <n v="99011.4"/>
    <n v="61801.96"/>
    <n v="37209.439999999995"/>
    <s v="Mar"/>
    <n v="2024"/>
    <n v="3"/>
  </r>
  <r>
    <s v="ORD-00996"/>
    <x v="53"/>
    <x v="3"/>
    <x v="0"/>
    <x v="2"/>
    <x v="2"/>
    <x v="1"/>
    <x v="2"/>
    <n v="3"/>
    <n v="12381"/>
    <n v="37143"/>
    <n v="1857.15"/>
    <n v="0.05"/>
    <n v="35285.85"/>
    <n v="20280.91"/>
    <n v="15004.939999999999"/>
    <s v="Mar"/>
    <n v="2024"/>
    <n v="3"/>
  </r>
  <r>
    <s v="ORD-00722"/>
    <x v="53"/>
    <x v="6"/>
    <x v="1"/>
    <x v="1"/>
    <x v="1"/>
    <x v="1"/>
    <x v="0"/>
    <n v="4"/>
    <n v="28410"/>
    <n v="113640"/>
    <n v="0"/>
    <n v="0"/>
    <n v="113640"/>
    <n v="72030.73"/>
    <n v="41609.270000000004"/>
    <s v="Mar"/>
    <n v="2024"/>
    <n v="3"/>
  </r>
  <r>
    <s v="ORD-00587"/>
    <x v="53"/>
    <x v="3"/>
    <x v="0"/>
    <x v="3"/>
    <x v="2"/>
    <x v="1"/>
    <x v="0"/>
    <n v="3"/>
    <n v="11828"/>
    <n v="35484"/>
    <n v="5322.6"/>
    <n v="0.15"/>
    <n v="30161.4"/>
    <n v="23392.87"/>
    <n v="6768.5300000000025"/>
    <s v="Mar"/>
    <n v="2024"/>
    <n v="3"/>
  </r>
  <r>
    <s v="ORD-00875"/>
    <x v="53"/>
    <x v="2"/>
    <x v="2"/>
    <x v="2"/>
    <x v="0"/>
    <x v="1"/>
    <x v="0"/>
    <n v="2"/>
    <n v="44438"/>
    <n v="88876"/>
    <n v="0"/>
    <n v="0"/>
    <n v="88876"/>
    <n v="56489.31"/>
    <n v="32386.690000000002"/>
    <s v="Mar"/>
    <n v="2024"/>
    <n v="3"/>
  </r>
  <r>
    <s v="ORD-00423"/>
    <x v="54"/>
    <x v="0"/>
    <x v="0"/>
    <x v="0"/>
    <x v="3"/>
    <x v="0"/>
    <x v="2"/>
    <n v="1"/>
    <n v="14707"/>
    <n v="14707"/>
    <n v="2206.0500000000002"/>
    <n v="0.15"/>
    <n v="12500.95"/>
    <n v="8430.7999999999993"/>
    <n v="4070.1500000000015"/>
    <s v="Mar"/>
    <n v="2024"/>
    <n v="3"/>
  </r>
  <r>
    <s v="ORD-00775"/>
    <x v="55"/>
    <x v="2"/>
    <x v="2"/>
    <x v="0"/>
    <x v="4"/>
    <x v="0"/>
    <x v="2"/>
    <n v="3"/>
    <n v="40429"/>
    <n v="121287"/>
    <n v="6064.35"/>
    <n v="0.05"/>
    <n v="115222.65"/>
    <n v="68404.38"/>
    <n v="46818.26999999999"/>
    <s v="Mar"/>
    <n v="2024"/>
    <n v="3"/>
  </r>
  <r>
    <s v="ORD-00666"/>
    <x v="55"/>
    <x v="6"/>
    <x v="1"/>
    <x v="0"/>
    <x v="4"/>
    <x v="0"/>
    <x v="2"/>
    <n v="2"/>
    <n v="30408"/>
    <n v="60816"/>
    <n v="6081.6"/>
    <n v="0.1"/>
    <n v="54734.400000000001"/>
    <n v="35220.870000000003"/>
    <n v="19513.53"/>
    <s v="Mar"/>
    <n v="2024"/>
    <n v="3"/>
  </r>
  <r>
    <s v="ORD-00490"/>
    <x v="56"/>
    <x v="8"/>
    <x v="2"/>
    <x v="1"/>
    <x v="3"/>
    <x v="1"/>
    <x v="2"/>
    <n v="3"/>
    <n v="38453"/>
    <n v="115359"/>
    <n v="11535.9"/>
    <n v="0.1"/>
    <n v="103823.1"/>
    <n v="67214.16"/>
    <n v="36608.94"/>
    <s v="Mar"/>
    <n v="2024"/>
    <n v="3"/>
  </r>
  <r>
    <s v="ORD-00604"/>
    <x v="57"/>
    <x v="5"/>
    <x v="2"/>
    <x v="0"/>
    <x v="4"/>
    <x v="1"/>
    <x v="2"/>
    <n v="2"/>
    <n v="18863"/>
    <n v="37726"/>
    <n v="3772.6"/>
    <n v="0.1"/>
    <n v="33953.4"/>
    <n v="21325.14"/>
    <n v="12628.260000000002"/>
    <s v="Mar"/>
    <n v="2024"/>
    <n v="3"/>
  </r>
  <r>
    <s v="ORD-00962"/>
    <x v="58"/>
    <x v="2"/>
    <x v="2"/>
    <x v="2"/>
    <x v="0"/>
    <x v="1"/>
    <x v="2"/>
    <n v="2"/>
    <n v="38764"/>
    <n v="77528"/>
    <n v="7752.8"/>
    <n v="0.1"/>
    <n v="69775.199999999997"/>
    <n v="40731.67"/>
    <n v="29043.53"/>
    <s v="Mar"/>
    <n v="2024"/>
    <n v="3"/>
  </r>
  <r>
    <s v="ORD-00557"/>
    <x v="59"/>
    <x v="0"/>
    <x v="0"/>
    <x v="0"/>
    <x v="2"/>
    <x v="1"/>
    <x v="0"/>
    <n v="1"/>
    <n v="16009"/>
    <n v="16009"/>
    <n v="0"/>
    <n v="0"/>
    <n v="16009"/>
    <n v="9415.06"/>
    <n v="6593.9400000000005"/>
    <s v="Mar"/>
    <n v="2024"/>
    <n v="3"/>
  </r>
  <r>
    <s v="ORD-00684"/>
    <x v="60"/>
    <x v="0"/>
    <x v="0"/>
    <x v="2"/>
    <x v="4"/>
    <x v="0"/>
    <x v="2"/>
    <n v="5"/>
    <n v="15496"/>
    <n v="77480"/>
    <n v="11622"/>
    <n v="0.15"/>
    <n v="65858"/>
    <n v="43576.25"/>
    <n v="22281.75"/>
    <s v="Mar"/>
    <n v="2024"/>
    <n v="3"/>
  </r>
  <r>
    <s v="ORD-00931"/>
    <x v="61"/>
    <x v="4"/>
    <x v="2"/>
    <x v="0"/>
    <x v="4"/>
    <x v="0"/>
    <x v="0"/>
    <n v="3"/>
    <n v="24492"/>
    <n v="73476"/>
    <n v="3673.8"/>
    <n v="0.05"/>
    <n v="69802.2"/>
    <n v="43474.05"/>
    <n v="26328.149999999994"/>
    <s v="Mar"/>
    <n v="2024"/>
    <n v="3"/>
  </r>
  <r>
    <s v="ORD-00007"/>
    <x v="62"/>
    <x v="7"/>
    <x v="2"/>
    <x v="1"/>
    <x v="0"/>
    <x v="0"/>
    <x v="0"/>
    <n v="2"/>
    <n v="50755"/>
    <n v="101510"/>
    <n v="0"/>
    <n v="0"/>
    <n v="101510"/>
    <n v="50057.14"/>
    <n v="51452.86"/>
    <s v="Mar"/>
    <n v="2024"/>
    <n v="3"/>
  </r>
  <r>
    <s v="ORD-00780"/>
    <x v="63"/>
    <x v="8"/>
    <x v="2"/>
    <x v="1"/>
    <x v="0"/>
    <x v="0"/>
    <x v="2"/>
    <n v="2"/>
    <n v="40773"/>
    <n v="81546"/>
    <n v="12231.9"/>
    <n v="0.15"/>
    <n v="69314.100000000006"/>
    <n v="43185.66"/>
    <n v="26128.440000000002"/>
    <s v="Mar"/>
    <n v="2024"/>
    <n v="3"/>
  </r>
  <r>
    <s v="ORD-00508"/>
    <x v="64"/>
    <x v="9"/>
    <x v="0"/>
    <x v="0"/>
    <x v="3"/>
    <x v="1"/>
    <x v="2"/>
    <n v="4"/>
    <n v="41405"/>
    <n v="165620"/>
    <n v="33124"/>
    <n v="0.2"/>
    <n v="132496"/>
    <n v="103323.71"/>
    <n v="29172.289999999994"/>
    <s v="Mar"/>
    <n v="2024"/>
    <n v="3"/>
  </r>
  <r>
    <s v="ORD-00744"/>
    <x v="64"/>
    <x v="3"/>
    <x v="0"/>
    <x v="0"/>
    <x v="2"/>
    <x v="1"/>
    <x v="0"/>
    <n v="1"/>
    <n v="12222"/>
    <n v="12222"/>
    <n v="0"/>
    <n v="0"/>
    <n v="12222"/>
    <n v="6854.46"/>
    <n v="5367.54"/>
    <s v="Mar"/>
    <n v="2024"/>
    <n v="3"/>
  </r>
  <r>
    <s v="ORD-00387"/>
    <x v="64"/>
    <x v="0"/>
    <x v="0"/>
    <x v="1"/>
    <x v="3"/>
    <x v="0"/>
    <x v="2"/>
    <n v="2"/>
    <n v="15021"/>
    <n v="30042"/>
    <n v="4506.3"/>
    <n v="0.15"/>
    <n v="25535.7"/>
    <n v="19623.650000000001"/>
    <n v="5912.0499999999993"/>
    <s v="Mar"/>
    <n v="2024"/>
    <n v="3"/>
  </r>
  <r>
    <s v="ORD-00465"/>
    <x v="65"/>
    <x v="3"/>
    <x v="0"/>
    <x v="0"/>
    <x v="4"/>
    <x v="1"/>
    <x v="0"/>
    <n v="2"/>
    <n v="12695"/>
    <n v="25390"/>
    <n v="0"/>
    <n v="0"/>
    <n v="25390"/>
    <n v="17183.48"/>
    <n v="8206.52"/>
    <s v="Mar"/>
    <n v="2024"/>
    <n v="3"/>
  </r>
  <r>
    <s v="ORD-00044"/>
    <x v="66"/>
    <x v="9"/>
    <x v="0"/>
    <x v="0"/>
    <x v="2"/>
    <x v="1"/>
    <x v="0"/>
    <n v="1"/>
    <n v="44881"/>
    <n v="44881"/>
    <n v="0"/>
    <n v="0"/>
    <n v="44881"/>
    <n v="26481.82"/>
    <n v="18399.18"/>
    <s v="Apr"/>
    <n v="2024"/>
    <n v="4"/>
  </r>
  <r>
    <s v="ORD-00627"/>
    <x v="67"/>
    <x v="3"/>
    <x v="0"/>
    <x v="2"/>
    <x v="4"/>
    <x v="0"/>
    <x v="2"/>
    <n v="3"/>
    <n v="12688"/>
    <n v="38064"/>
    <n v="3806.4"/>
    <n v="0.1"/>
    <n v="34257.599999999999"/>
    <n v="21329.65"/>
    <n v="12927.949999999997"/>
    <s v="Apr"/>
    <n v="2024"/>
    <n v="4"/>
  </r>
  <r>
    <s v="ORD-00347"/>
    <x v="68"/>
    <x v="6"/>
    <x v="1"/>
    <x v="0"/>
    <x v="3"/>
    <x v="1"/>
    <x v="0"/>
    <n v="1"/>
    <n v="27897"/>
    <n v="27897"/>
    <n v="0"/>
    <n v="0"/>
    <n v="27897"/>
    <n v="16592.39"/>
    <n v="11304.61"/>
    <s v="Apr"/>
    <n v="2024"/>
    <n v="4"/>
  </r>
  <r>
    <s v="ORD-00825"/>
    <x v="69"/>
    <x v="3"/>
    <x v="0"/>
    <x v="0"/>
    <x v="4"/>
    <x v="0"/>
    <x v="0"/>
    <n v="1"/>
    <n v="11689"/>
    <n v="11689"/>
    <n v="0"/>
    <n v="0"/>
    <n v="11689"/>
    <n v="6460.65"/>
    <n v="5228.3500000000004"/>
    <s v="Apr"/>
    <n v="2024"/>
    <n v="4"/>
  </r>
  <r>
    <s v="ORD-00621"/>
    <x v="69"/>
    <x v="5"/>
    <x v="2"/>
    <x v="0"/>
    <x v="3"/>
    <x v="0"/>
    <x v="0"/>
    <n v="1"/>
    <n v="18986"/>
    <n v="18986"/>
    <n v="0"/>
    <n v="0"/>
    <n v="18986"/>
    <n v="11621.22"/>
    <n v="7364.7800000000007"/>
    <s v="Apr"/>
    <n v="2024"/>
    <n v="4"/>
  </r>
  <r>
    <s v="ORD-00567"/>
    <x v="69"/>
    <x v="9"/>
    <x v="0"/>
    <x v="1"/>
    <x v="1"/>
    <x v="0"/>
    <x v="2"/>
    <n v="1"/>
    <n v="41757"/>
    <n v="41757"/>
    <n v="6263.55"/>
    <n v="0.15"/>
    <n v="35493.449999999997"/>
    <n v="20317.759999999998"/>
    <n v="15175.689999999999"/>
    <s v="Apr"/>
    <n v="2024"/>
    <n v="4"/>
  </r>
  <r>
    <s v="ORD-00407"/>
    <x v="70"/>
    <x v="4"/>
    <x v="2"/>
    <x v="2"/>
    <x v="4"/>
    <x v="0"/>
    <x v="0"/>
    <n v="1"/>
    <n v="24248"/>
    <n v="24248"/>
    <n v="0"/>
    <n v="0"/>
    <n v="24248"/>
    <n v="15500.78"/>
    <n v="8747.2199999999993"/>
    <s v="Apr"/>
    <n v="2024"/>
    <n v="4"/>
  </r>
  <r>
    <s v="ORD-00118"/>
    <x v="70"/>
    <x v="0"/>
    <x v="0"/>
    <x v="2"/>
    <x v="4"/>
    <x v="1"/>
    <x v="0"/>
    <n v="2"/>
    <n v="15811"/>
    <n v="31622"/>
    <n v="0"/>
    <n v="0"/>
    <n v="31622"/>
    <n v="17892.88"/>
    <n v="13729.119999999999"/>
    <s v="Apr"/>
    <n v="2024"/>
    <n v="4"/>
  </r>
  <r>
    <s v="ORD-00944"/>
    <x v="70"/>
    <x v="6"/>
    <x v="1"/>
    <x v="0"/>
    <x v="3"/>
    <x v="0"/>
    <x v="0"/>
    <n v="3"/>
    <n v="30439"/>
    <n v="91317"/>
    <n v="0"/>
    <n v="0"/>
    <n v="91317"/>
    <n v="44458.44"/>
    <n v="46858.559999999998"/>
    <s v="Apr"/>
    <n v="2024"/>
    <n v="4"/>
  </r>
  <r>
    <s v="ORD-01032"/>
    <x v="71"/>
    <x v="9"/>
    <x v="0"/>
    <x v="0"/>
    <x v="2"/>
    <x v="0"/>
    <x v="0"/>
    <n v="2"/>
    <n v="42152"/>
    <n v="84304"/>
    <n v="0"/>
    <n v="0"/>
    <n v="84304"/>
    <n v="45306.81"/>
    <n v="38997.19"/>
    <s v="Apr"/>
    <n v="2024"/>
    <n v="4"/>
  </r>
  <r>
    <s v="ORD-00593"/>
    <x v="71"/>
    <x v="7"/>
    <x v="2"/>
    <x v="0"/>
    <x v="4"/>
    <x v="0"/>
    <x v="2"/>
    <n v="2"/>
    <n v="49031"/>
    <n v="98062"/>
    <n v="14709.3"/>
    <n v="0.15"/>
    <n v="83352.7"/>
    <n v="56078.64"/>
    <n v="27274.059999999998"/>
    <s v="Apr"/>
    <n v="2024"/>
    <n v="4"/>
  </r>
  <r>
    <s v="ORD-00098"/>
    <x v="72"/>
    <x v="4"/>
    <x v="2"/>
    <x v="0"/>
    <x v="4"/>
    <x v="0"/>
    <x v="0"/>
    <n v="2"/>
    <n v="24647"/>
    <n v="49294"/>
    <n v="0"/>
    <n v="0"/>
    <n v="49294"/>
    <n v="29038.42"/>
    <n v="20255.580000000002"/>
    <s v="Apr"/>
    <n v="2024"/>
    <n v="4"/>
  </r>
  <r>
    <s v="ORD-00206"/>
    <x v="72"/>
    <x v="4"/>
    <x v="2"/>
    <x v="3"/>
    <x v="2"/>
    <x v="0"/>
    <x v="0"/>
    <n v="1"/>
    <n v="23273"/>
    <n v="23273"/>
    <n v="2327.3000000000002"/>
    <n v="0.1"/>
    <n v="20945.7"/>
    <n v="14409.7"/>
    <n v="6536"/>
    <s v="Apr"/>
    <n v="2024"/>
    <n v="4"/>
  </r>
  <r>
    <s v="ORD-00247"/>
    <x v="72"/>
    <x v="2"/>
    <x v="2"/>
    <x v="2"/>
    <x v="4"/>
    <x v="1"/>
    <x v="0"/>
    <n v="2"/>
    <n v="41617"/>
    <n v="83234"/>
    <n v="0"/>
    <n v="0"/>
    <n v="83234"/>
    <n v="54285.97"/>
    <n v="28948.03"/>
    <s v="Apr"/>
    <n v="2024"/>
    <n v="4"/>
  </r>
  <r>
    <s v="ORD-01057"/>
    <x v="73"/>
    <x v="6"/>
    <x v="1"/>
    <x v="3"/>
    <x v="1"/>
    <x v="1"/>
    <x v="0"/>
    <n v="2"/>
    <n v="31413"/>
    <n v="62826"/>
    <n v="0"/>
    <n v="0"/>
    <n v="62826"/>
    <n v="34332.019999999997"/>
    <n v="28493.980000000003"/>
    <s v="Apr"/>
    <n v="2024"/>
    <n v="4"/>
  </r>
  <r>
    <s v="ORD-00589"/>
    <x v="74"/>
    <x v="7"/>
    <x v="2"/>
    <x v="0"/>
    <x v="3"/>
    <x v="1"/>
    <x v="0"/>
    <n v="2"/>
    <n v="48446"/>
    <n v="96892"/>
    <n v="0"/>
    <n v="0"/>
    <n v="96892"/>
    <n v="64581.23"/>
    <n v="32310.769999999997"/>
    <s v="Apr"/>
    <n v="2024"/>
    <n v="4"/>
  </r>
  <r>
    <s v="ORD-00203"/>
    <x v="75"/>
    <x v="4"/>
    <x v="2"/>
    <x v="1"/>
    <x v="3"/>
    <x v="0"/>
    <x v="0"/>
    <n v="3"/>
    <n v="24673"/>
    <n v="74019"/>
    <n v="11102.85"/>
    <n v="0.15"/>
    <n v="62916.15"/>
    <n v="37029.82"/>
    <n v="25886.33"/>
    <s v="Apr"/>
    <n v="2024"/>
    <n v="4"/>
  </r>
  <r>
    <s v="ORD-00795"/>
    <x v="75"/>
    <x v="3"/>
    <x v="0"/>
    <x v="3"/>
    <x v="1"/>
    <x v="0"/>
    <x v="2"/>
    <n v="1"/>
    <n v="12879"/>
    <n v="12879"/>
    <n v="2575.8000000000002"/>
    <n v="0.2"/>
    <n v="10303.200000000001"/>
    <n v="6220.55"/>
    <n v="4082.6500000000005"/>
    <s v="Apr"/>
    <n v="2024"/>
    <n v="4"/>
  </r>
  <r>
    <s v="ORD-00544"/>
    <x v="76"/>
    <x v="9"/>
    <x v="0"/>
    <x v="1"/>
    <x v="2"/>
    <x v="1"/>
    <x v="0"/>
    <n v="3"/>
    <n v="45565"/>
    <n v="136695"/>
    <n v="0"/>
    <n v="0"/>
    <n v="136695"/>
    <n v="80762.12"/>
    <n v="55932.880000000005"/>
    <s v="Apr"/>
    <n v="2024"/>
    <n v="4"/>
  </r>
  <r>
    <s v="ORD-00650"/>
    <x v="77"/>
    <x v="8"/>
    <x v="2"/>
    <x v="0"/>
    <x v="4"/>
    <x v="1"/>
    <x v="0"/>
    <n v="4"/>
    <n v="39899"/>
    <n v="159596"/>
    <n v="0"/>
    <n v="0"/>
    <n v="159596"/>
    <n v="105791.1"/>
    <n v="53804.899999999994"/>
    <s v="Apr"/>
    <n v="2024"/>
    <n v="4"/>
  </r>
  <r>
    <s v="ORD-01055"/>
    <x v="78"/>
    <x v="4"/>
    <x v="2"/>
    <x v="1"/>
    <x v="4"/>
    <x v="1"/>
    <x v="2"/>
    <n v="2"/>
    <n v="26863"/>
    <n v="53726"/>
    <n v="5372.6"/>
    <n v="0.1"/>
    <n v="48353.4"/>
    <n v="30556.29"/>
    <n v="17797.11"/>
    <s v="Apr"/>
    <n v="2024"/>
    <n v="4"/>
  </r>
  <r>
    <s v="ORD-00692"/>
    <x v="79"/>
    <x v="7"/>
    <x v="2"/>
    <x v="3"/>
    <x v="4"/>
    <x v="1"/>
    <x v="2"/>
    <n v="1"/>
    <n v="50116"/>
    <n v="50116"/>
    <n v="7517.4"/>
    <n v="0.15"/>
    <n v="42598.6"/>
    <n v="27258.99"/>
    <n v="15339.609999999997"/>
    <s v="Apr"/>
    <n v="2024"/>
    <n v="4"/>
  </r>
  <r>
    <s v="ORD-00438"/>
    <x v="79"/>
    <x v="9"/>
    <x v="0"/>
    <x v="0"/>
    <x v="4"/>
    <x v="0"/>
    <x v="0"/>
    <n v="2"/>
    <n v="41519"/>
    <n v="83038"/>
    <n v="0"/>
    <n v="0"/>
    <n v="83038"/>
    <n v="53072.25"/>
    <n v="29965.75"/>
    <s v="Apr"/>
    <n v="2024"/>
    <n v="4"/>
  </r>
  <r>
    <s v="ORD-00693"/>
    <x v="80"/>
    <x v="4"/>
    <x v="2"/>
    <x v="0"/>
    <x v="4"/>
    <x v="0"/>
    <x v="0"/>
    <n v="3"/>
    <n v="23759"/>
    <n v="71277"/>
    <n v="0"/>
    <n v="0"/>
    <n v="71277"/>
    <n v="44495.199999999997"/>
    <n v="26781.800000000003"/>
    <s v="Apr"/>
    <n v="2024"/>
    <n v="4"/>
  </r>
  <r>
    <s v="ORD-00618"/>
    <x v="80"/>
    <x v="9"/>
    <x v="0"/>
    <x v="3"/>
    <x v="4"/>
    <x v="0"/>
    <x v="0"/>
    <n v="1"/>
    <n v="44985"/>
    <n v="44985"/>
    <n v="0"/>
    <n v="0"/>
    <n v="44985"/>
    <n v="28898.07"/>
    <n v="16086.93"/>
    <s v="Apr"/>
    <n v="2024"/>
    <n v="4"/>
  </r>
  <r>
    <s v="ORD-00695"/>
    <x v="80"/>
    <x v="4"/>
    <x v="2"/>
    <x v="2"/>
    <x v="3"/>
    <x v="0"/>
    <x v="2"/>
    <n v="1"/>
    <n v="26945"/>
    <n v="26945"/>
    <n v="5389"/>
    <n v="0.2"/>
    <n v="21556"/>
    <n v="17968.38"/>
    <n v="3587.619999999999"/>
    <s v="Apr"/>
    <n v="2024"/>
    <n v="4"/>
  </r>
  <r>
    <s v="ORD-00740"/>
    <x v="81"/>
    <x v="6"/>
    <x v="1"/>
    <x v="1"/>
    <x v="4"/>
    <x v="0"/>
    <x v="2"/>
    <n v="3"/>
    <n v="28788"/>
    <n v="86364"/>
    <n v="4318.2"/>
    <n v="0.05"/>
    <n v="82045.8"/>
    <n v="54633.74"/>
    <n v="27412.060000000005"/>
    <s v="Apr"/>
    <n v="2024"/>
    <n v="4"/>
  </r>
  <r>
    <s v="ORD-00145"/>
    <x v="81"/>
    <x v="6"/>
    <x v="1"/>
    <x v="0"/>
    <x v="2"/>
    <x v="1"/>
    <x v="0"/>
    <n v="4"/>
    <n v="31083"/>
    <n v="124332"/>
    <n v="0"/>
    <n v="0"/>
    <n v="124332"/>
    <n v="71017.919999999998"/>
    <n v="53314.080000000002"/>
    <s v="Apr"/>
    <n v="2024"/>
    <n v="4"/>
  </r>
  <r>
    <s v="ORD-00923"/>
    <x v="82"/>
    <x v="3"/>
    <x v="0"/>
    <x v="3"/>
    <x v="4"/>
    <x v="1"/>
    <x v="0"/>
    <n v="3"/>
    <n v="11420"/>
    <n v="34260"/>
    <n v="0"/>
    <n v="0"/>
    <n v="34260"/>
    <n v="21869.119999999999"/>
    <n v="12390.880000000001"/>
    <s v="Apr"/>
    <n v="2024"/>
    <n v="4"/>
  </r>
  <r>
    <s v="ORD-00393"/>
    <x v="83"/>
    <x v="2"/>
    <x v="2"/>
    <x v="0"/>
    <x v="4"/>
    <x v="0"/>
    <x v="2"/>
    <n v="1"/>
    <n v="43598"/>
    <n v="43598"/>
    <n v="4359.8"/>
    <n v="0.1"/>
    <n v="39238.199999999997"/>
    <n v="24764.28"/>
    <n v="14473.919999999998"/>
    <s v="Apr"/>
    <n v="2024"/>
    <n v="4"/>
  </r>
  <r>
    <s v="ORD-00326"/>
    <x v="84"/>
    <x v="2"/>
    <x v="2"/>
    <x v="2"/>
    <x v="3"/>
    <x v="1"/>
    <x v="0"/>
    <n v="1"/>
    <n v="44416"/>
    <n v="44416"/>
    <n v="0"/>
    <n v="0"/>
    <n v="44416"/>
    <n v="27490.43"/>
    <n v="16925.57"/>
    <s v="Apr"/>
    <n v="2024"/>
    <n v="4"/>
  </r>
  <r>
    <s v="ORD-00870"/>
    <x v="84"/>
    <x v="0"/>
    <x v="0"/>
    <x v="0"/>
    <x v="1"/>
    <x v="1"/>
    <x v="2"/>
    <n v="2"/>
    <n v="16174"/>
    <n v="32348"/>
    <n v="3234.8"/>
    <n v="0.1"/>
    <n v="29113.200000000001"/>
    <n v="16007.94"/>
    <n v="13105.26"/>
    <s v="Apr"/>
    <n v="2024"/>
    <n v="4"/>
  </r>
  <r>
    <s v="ORD-00573"/>
    <x v="85"/>
    <x v="9"/>
    <x v="0"/>
    <x v="1"/>
    <x v="3"/>
    <x v="1"/>
    <x v="2"/>
    <n v="3"/>
    <n v="47988"/>
    <n v="143964"/>
    <n v="21594.6"/>
    <n v="0.15"/>
    <n v="122369.4"/>
    <n v="88773.26"/>
    <n v="33596.14"/>
    <s v="Apr"/>
    <n v="2024"/>
    <n v="4"/>
  </r>
  <r>
    <s v="ORD-00725"/>
    <x v="85"/>
    <x v="8"/>
    <x v="2"/>
    <x v="1"/>
    <x v="4"/>
    <x v="0"/>
    <x v="0"/>
    <n v="3"/>
    <n v="40309"/>
    <n v="120927"/>
    <n v="0"/>
    <n v="0"/>
    <n v="120927"/>
    <n v="63947.75"/>
    <n v="56979.25"/>
    <s v="Apr"/>
    <n v="2024"/>
    <n v="4"/>
  </r>
  <r>
    <s v="ORD-00322"/>
    <x v="86"/>
    <x v="6"/>
    <x v="1"/>
    <x v="0"/>
    <x v="1"/>
    <x v="0"/>
    <x v="2"/>
    <n v="1"/>
    <n v="32036"/>
    <n v="32036"/>
    <n v="4805.3999999999996"/>
    <n v="0.15"/>
    <n v="27230.6"/>
    <n v="18574.29"/>
    <n v="8656.3099999999977"/>
    <s v="Apr"/>
    <n v="2024"/>
    <n v="4"/>
  </r>
  <r>
    <s v="ORD-00004"/>
    <x v="87"/>
    <x v="4"/>
    <x v="2"/>
    <x v="2"/>
    <x v="0"/>
    <x v="1"/>
    <x v="0"/>
    <n v="1"/>
    <n v="25467"/>
    <n v="25467"/>
    <n v="0"/>
    <n v="0"/>
    <n v="25467"/>
    <n v="15442.24"/>
    <n v="10024.76"/>
    <s v="May"/>
    <n v="2024"/>
    <n v="5"/>
  </r>
  <r>
    <s v="ORD-00156"/>
    <x v="88"/>
    <x v="6"/>
    <x v="1"/>
    <x v="0"/>
    <x v="4"/>
    <x v="0"/>
    <x v="0"/>
    <n v="3"/>
    <n v="28361"/>
    <n v="85083"/>
    <n v="0"/>
    <n v="0"/>
    <n v="85083"/>
    <n v="54857.74"/>
    <n v="30225.260000000002"/>
    <s v="May"/>
    <n v="2024"/>
    <n v="5"/>
  </r>
  <r>
    <s v="ORD-00685"/>
    <x v="89"/>
    <x v="8"/>
    <x v="2"/>
    <x v="0"/>
    <x v="2"/>
    <x v="0"/>
    <x v="0"/>
    <n v="3"/>
    <n v="37357"/>
    <n v="112071"/>
    <n v="0"/>
    <n v="0"/>
    <n v="112071"/>
    <n v="56487.35"/>
    <n v="55583.65"/>
    <s v="May"/>
    <n v="2024"/>
    <n v="5"/>
  </r>
  <r>
    <s v="ORD-00616"/>
    <x v="89"/>
    <x v="1"/>
    <x v="1"/>
    <x v="1"/>
    <x v="1"/>
    <x v="0"/>
    <x v="0"/>
    <n v="1"/>
    <n v="66792"/>
    <n v="66792"/>
    <n v="0"/>
    <n v="0"/>
    <n v="66792"/>
    <n v="33380.949999999997"/>
    <n v="33411.050000000003"/>
    <s v="May"/>
    <n v="2024"/>
    <n v="5"/>
  </r>
  <r>
    <s v="ORD-00851"/>
    <x v="90"/>
    <x v="4"/>
    <x v="2"/>
    <x v="2"/>
    <x v="3"/>
    <x v="0"/>
    <x v="0"/>
    <n v="1"/>
    <n v="25531"/>
    <n v="25531"/>
    <n v="0"/>
    <n v="0"/>
    <n v="25531"/>
    <n v="14849.67"/>
    <n v="10681.33"/>
    <s v="May"/>
    <n v="2024"/>
    <n v="5"/>
  </r>
  <r>
    <s v="ORD-00260"/>
    <x v="91"/>
    <x v="9"/>
    <x v="0"/>
    <x v="1"/>
    <x v="3"/>
    <x v="1"/>
    <x v="0"/>
    <n v="3"/>
    <n v="44700"/>
    <n v="134100"/>
    <n v="13410"/>
    <n v="0.1"/>
    <n v="120690"/>
    <n v="79770.39"/>
    <n v="40919.61"/>
    <s v="May"/>
    <n v="2024"/>
    <n v="5"/>
  </r>
  <r>
    <s v="ORD-00982"/>
    <x v="91"/>
    <x v="8"/>
    <x v="2"/>
    <x v="2"/>
    <x v="0"/>
    <x v="0"/>
    <x v="0"/>
    <n v="3"/>
    <n v="40201"/>
    <n v="120603"/>
    <n v="0"/>
    <n v="0"/>
    <n v="120603"/>
    <n v="62572.52"/>
    <n v="58030.48"/>
    <s v="May"/>
    <n v="2024"/>
    <n v="5"/>
  </r>
  <r>
    <s v="ORD-00998"/>
    <x v="91"/>
    <x v="4"/>
    <x v="2"/>
    <x v="2"/>
    <x v="3"/>
    <x v="0"/>
    <x v="0"/>
    <n v="4"/>
    <n v="26413"/>
    <n v="105652"/>
    <n v="10565.2"/>
    <n v="0.1"/>
    <n v="95086.8"/>
    <n v="57102.45"/>
    <n v="37984.350000000006"/>
    <s v="May"/>
    <n v="2024"/>
    <n v="5"/>
  </r>
  <r>
    <s v="ORD-00824"/>
    <x v="92"/>
    <x v="6"/>
    <x v="1"/>
    <x v="0"/>
    <x v="4"/>
    <x v="1"/>
    <x v="0"/>
    <n v="1"/>
    <n v="32306"/>
    <n v="32306"/>
    <n v="0"/>
    <n v="0"/>
    <n v="32306"/>
    <n v="15569.56"/>
    <n v="16736.440000000002"/>
    <s v="May"/>
    <n v="2024"/>
    <n v="5"/>
  </r>
  <r>
    <s v="ORD-01020"/>
    <x v="92"/>
    <x v="4"/>
    <x v="2"/>
    <x v="0"/>
    <x v="2"/>
    <x v="1"/>
    <x v="0"/>
    <n v="1"/>
    <n v="24945"/>
    <n v="24945"/>
    <n v="0"/>
    <n v="0"/>
    <n v="24945"/>
    <n v="12947.33"/>
    <n v="11997.67"/>
    <s v="May"/>
    <n v="2024"/>
    <n v="5"/>
  </r>
  <r>
    <s v="ORD-01054"/>
    <x v="93"/>
    <x v="8"/>
    <x v="2"/>
    <x v="3"/>
    <x v="4"/>
    <x v="1"/>
    <x v="0"/>
    <n v="1"/>
    <n v="36613"/>
    <n v="36613"/>
    <n v="0"/>
    <n v="0"/>
    <n v="36613"/>
    <n v="17929.759999999998"/>
    <n v="18683.240000000002"/>
    <s v="May"/>
    <n v="2024"/>
    <n v="5"/>
  </r>
  <r>
    <s v="ORD-01100"/>
    <x v="93"/>
    <x v="7"/>
    <x v="2"/>
    <x v="2"/>
    <x v="4"/>
    <x v="1"/>
    <x v="0"/>
    <n v="3"/>
    <n v="50376"/>
    <n v="151128"/>
    <n v="0"/>
    <n v="0"/>
    <n v="151128"/>
    <n v="84589.35"/>
    <n v="66538.649999999994"/>
    <s v="May"/>
    <n v="2024"/>
    <n v="5"/>
  </r>
  <r>
    <s v="ORD-00009"/>
    <x v="93"/>
    <x v="3"/>
    <x v="0"/>
    <x v="1"/>
    <x v="0"/>
    <x v="0"/>
    <x v="0"/>
    <n v="1"/>
    <n v="11481"/>
    <n v="11481"/>
    <n v="1148.0999999999999"/>
    <n v="0.1"/>
    <n v="10332.9"/>
    <n v="7504.11"/>
    <n v="2828.79"/>
    <s v="May"/>
    <n v="2024"/>
    <n v="5"/>
  </r>
  <r>
    <s v="ORD-00777"/>
    <x v="94"/>
    <x v="5"/>
    <x v="2"/>
    <x v="0"/>
    <x v="0"/>
    <x v="1"/>
    <x v="0"/>
    <n v="3"/>
    <n v="16891"/>
    <n v="50673"/>
    <n v="0"/>
    <n v="0"/>
    <n v="50673"/>
    <n v="28797.95"/>
    <n v="21875.05"/>
    <s v="May"/>
    <n v="2024"/>
    <n v="5"/>
  </r>
  <r>
    <s v="ORD-00605"/>
    <x v="95"/>
    <x v="1"/>
    <x v="1"/>
    <x v="0"/>
    <x v="4"/>
    <x v="1"/>
    <x v="0"/>
    <n v="1"/>
    <n v="68198"/>
    <n v="68198"/>
    <n v="0"/>
    <n v="0"/>
    <n v="68198"/>
    <n v="33481.32"/>
    <n v="34716.68"/>
    <s v="May"/>
    <n v="2024"/>
    <n v="5"/>
  </r>
  <r>
    <s v="ORD-00484"/>
    <x v="96"/>
    <x v="4"/>
    <x v="2"/>
    <x v="0"/>
    <x v="0"/>
    <x v="0"/>
    <x v="0"/>
    <n v="2"/>
    <n v="23422"/>
    <n v="46844"/>
    <n v="0"/>
    <n v="0"/>
    <n v="46844"/>
    <n v="27907.37"/>
    <n v="18936.63"/>
    <s v="May"/>
    <n v="2024"/>
    <n v="5"/>
  </r>
  <r>
    <s v="ORD-00089"/>
    <x v="97"/>
    <x v="3"/>
    <x v="0"/>
    <x v="2"/>
    <x v="4"/>
    <x v="1"/>
    <x v="0"/>
    <n v="5"/>
    <n v="12384"/>
    <n v="61920"/>
    <n v="0"/>
    <n v="0"/>
    <n v="61920"/>
    <n v="36984.559999999998"/>
    <n v="24935.440000000002"/>
    <s v="May"/>
    <n v="2024"/>
    <n v="5"/>
  </r>
  <r>
    <s v="ORD-01085"/>
    <x v="98"/>
    <x v="6"/>
    <x v="1"/>
    <x v="0"/>
    <x v="4"/>
    <x v="0"/>
    <x v="0"/>
    <n v="2"/>
    <n v="27690"/>
    <n v="55380"/>
    <n v="0"/>
    <n v="0"/>
    <n v="55380"/>
    <n v="35244.21"/>
    <n v="20135.79"/>
    <s v="May"/>
    <n v="2024"/>
    <n v="5"/>
  </r>
  <r>
    <s v="ORD-00608"/>
    <x v="99"/>
    <x v="2"/>
    <x v="2"/>
    <x v="3"/>
    <x v="2"/>
    <x v="1"/>
    <x v="0"/>
    <n v="5"/>
    <n v="39761"/>
    <n v="198805"/>
    <n v="0"/>
    <n v="0"/>
    <n v="198805"/>
    <n v="98822.33"/>
    <n v="99982.67"/>
    <s v="May"/>
    <n v="2024"/>
    <n v="5"/>
  </r>
  <r>
    <s v="ORD-00747"/>
    <x v="100"/>
    <x v="1"/>
    <x v="1"/>
    <x v="0"/>
    <x v="3"/>
    <x v="0"/>
    <x v="0"/>
    <n v="4"/>
    <n v="60343"/>
    <n v="241372"/>
    <n v="24137.200000000001"/>
    <n v="0.1"/>
    <n v="217234.8"/>
    <n v="136916.54999999999"/>
    <n v="80318.25"/>
    <s v="May"/>
    <n v="2024"/>
    <n v="5"/>
  </r>
  <r>
    <s v="ORD-00741"/>
    <x v="101"/>
    <x v="3"/>
    <x v="0"/>
    <x v="1"/>
    <x v="0"/>
    <x v="0"/>
    <x v="0"/>
    <n v="1"/>
    <n v="12465"/>
    <n v="12465"/>
    <n v="0"/>
    <n v="0"/>
    <n v="12465"/>
    <n v="7228.75"/>
    <n v="5236.25"/>
    <s v="May"/>
    <n v="2024"/>
    <n v="5"/>
  </r>
  <r>
    <s v="ORD-00841"/>
    <x v="102"/>
    <x v="2"/>
    <x v="2"/>
    <x v="0"/>
    <x v="3"/>
    <x v="1"/>
    <x v="0"/>
    <n v="5"/>
    <n v="40707"/>
    <n v="203535"/>
    <n v="0"/>
    <n v="0"/>
    <n v="203535"/>
    <n v="131881.1"/>
    <n v="71653.899999999994"/>
    <s v="May"/>
    <n v="2024"/>
    <n v="5"/>
  </r>
  <r>
    <s v="ORD-00788"/>
    <x v="103"/>
    <x v="9"/>
    <x v="0"/>
    <x v="3"/>
    <x v="4"/>
    <x v="0"/>
    <x v="0"/>
    <n v="1"/>
    <n v="44375"/>
    <n v="44375"/>
    <n v="0"/>
    <n v="0"/>
    <n v="44375"/>
    <n v="27331.02"/>
    <n v="17043.98"/>
    <s v="May"/>
    <n v="2024"/>
    <n v="5"/>
  </r>
  <r>
    <s v="ORD-00165"/>
    <x v="104"/>
    <x v="2"/>
    <x v="2"/>
    <x v="0"/>
    <x v="0"/>
    <x v="0"/>
    <x v="0"/>
    <n v="2"/>
    <n v="38738"/>
    <n v="77476"/>
    <n v="7747.6"/>
    <n v="0.1"/>
    <n v="69728.399999999994"/>
    <n v="42415.72"/>
    <n v="27312.679999999993"/>
    <s v="May"/>
    <n v="2024"/>
    <n v="5"/>
  </r>
  <r>
    <s v="ORD-00429"/>
    <x v="104"/>
    <x v="1"/>
    <x v="1"/>
    <x v="3"/>
    <x v="0"/>
    <x v="1"/>
    <x v="0"/>
    <n v="1"/>
    <n v="68141"/>
    <n v="68141"/>
    <n v="0"/>
    <n v="0"/>
    <n v="68141"/>
    <n v="40030.660000000003"/>
    <n v="28110.339999999997"/>
    <s v="May"/>
    <n v="2024"/>
    <n v="5"/>
  </r>
  <r>
    <s v="ORD-00184"/>
    <x v="104"/>
    <x v="4"/>
    <x v="2"/>
    <x v="0"/>
    <x v="4"/>
    <x v="1"/>
    <x v="0"/>
    <n v="4"/>
    <n v="26359"/>
    <n v="105436"/>
    <n v="10543.6"/>
    <n v="0.1"/>
    <n v="94892.4"/>
    <n v="55431.8"/>
    <n v="39460.599999999991"/>
    <s v="May"/>
    <n v="2024"/>
    <n v="5"/>
  </r>
  <r>
    <s v="ORD-00688"/>
    <x v="105"/>
    <x v="5"/>
    <x v="2"/>
    <x v="2"/>
    <x v="0"/>
    <x v="0"/>
    <x v="0"/>
    <n v="3"/>
    <n v="18880"/>
    <n v="56640"/>
    <n v="0"/>
    <n v="0"/>
    <n v="56640"/>
    <n v="30538.28"/>
    <n v="26101.72"/>
    <s v="May"/>
    <n v="2024"/>
    <n v="5"/>
  </r>
  <r>
    <s v="ORD-00791"/>
    <x v="105"/>
    <x v="2"/>
    <x v="2"/>
    <x v="2"/>
    <x v="4"/>
    <x v="1"/>
    <x v="0"/>
    <n v="2"/>
    <n v="40090"/>
    <n v="80180"/>
    <n v="0"/>
    <n v="0"/>
    <n v="80180"/>
    <n v="43500.58"/>
    <n v="36679.42"/>
    <s v="May"/>
    <n v="2024"/>
    <n v="5"/>
  </r>
  <r>
    <s v="ORD-01141"/>
    <x v="106"/>
    <x v="0"/>
    <x v="0"/>
    <x v="1"/>
    <x v="4"/>
    <x v="1"/>
    <x v="0"/>
    <n v="4"/>
    <n v="14132"/>
    <n v="56528"/>
    <n v="0"/>
    <n v="0"/>
    <n v="56528"/>
    <n v="35047.25"/>
    <n v="21480.75"/>
    <s v="May"/>
    <n v="2024"/>
    <n v="5"/>
  </r>
  <r>
    <s v="ORD-00536"/>
    <x v="106"/>
    <x v="3"/>
    <x v="0"/>
    <x v="2"/>
    <x v="2"/>
    <x v="1"/>
    <x v="0"/>
    <n v="1"/>
    <n v="11102"/>
    <n v="11102"/>
    <n v="1665.3"/>
    <n v="0.15"/>
    <n v="9436.7000000000007"/>
    <n v="6935.04"/>
    <n v="2501.6600000000008"/>
    <s v="May"/>
    <n v="2024"/>
    <n v="5"/>
  </r>
  <r>
    <s v="ORD-00959"/>
    <x v="107"/>
    <x v="2"/>
    <x v="2"/>
    <x v="2"/>
    <x v="0"/>
    <x v="1"/>
    <x v="0"/>
    <n v="2"/>
    <n v="41271"/>
    <n v="82542"/>
    <n v="0"/>
    <n v="0"/>
    <n v="82542"/>
    <n v="41693.82"/>
    <n v="40848.18"/>
    <s v="May"/>
    <n v="2024"/>
    <n v="5"/>
  </r>
  <r>
    <s v="ORD-00173"/>
    <x v="107"/>
    <x v="0"/>
    <x v="0"/>
    <x v="2"/>
    <x v="4"/>
    <x v="0"/>
    <x v="0"/>
    <n v="3"/>
    <n v="14609"/>
    <n v="43827"/>
    <n v="0"/>
    <n v="0"/>
    <n v="43827"/>
    <n v="25759.87"/>
    <n v="18067.13"/>
    <s v="May"/>
    <n v="2024"/>
    <n v="5"/>
  </r>
  <r>
    <s v="ORD-00899"/>
    <x v="108"/>
    <x v="6"/>
    <x v="1"/>
    <x v="1"/>
    <x v="4"/>
    <x v="1"/>
    <x v="0"/>
    <n v="1"/>
    <n v="29512"/>
    <n v="29512"/>
    <n v="0"/>
    <n v="0"/>
    <n v="29512"/>
    <n v="18725.349999999999"/>
    <n v="10786.650000000001"/>
    <s v="May"/>
    <n v="2024"/>
    <n v="5"/>
  </r>
  <r>
    <s v="ORD-01026"/>
    <x v="109"/>
    <x v="3"/>
    <x v="0"/>
    <x v="3"/>
    <x v="0"/>
    <x v="1"/>
    <x v="0"/>
    <n v="1"/>
    <n v="11824"/>
    <n v="11824"/>
    <n v="0"/>
    <n v="0"/>
    <n v="11824"/>
    <n v="7481.39"/>
    <n v="4342.6099999999997"/>
    <s v="May"/>
    <n v="2024"/>
    <n v="5"/>
  </r>
  <r>
    <s v="ORD-00294"/>
    <x v="110"/>
    <x v="7"/>
    <x v="2"/>
    <x v="1"/>
    <x v="0"/>
    <x v="1"/>
    <x v="0"/>
    <n v="1"/>
    <n v="51851"/>
    <n v="51851"/>
    <n v="0"/>
    <n v="0"/>
    <n v="51851"/>
    <n v="27174.55"/>
    <n v="24676.45"/>
    <s v="May"/>
    <n v="2024"/>
    <n v="5"/>
  </r>
  <r>
    <s v="ORD-00182"/>
    <x v="111"/>
    <x v="7"/>
    <x v="2"/>
    <x v="2"/>
    <x v="4"/>
    <x v="0"/>
    <x v="0"/>
    <n v="5"/>
    <n v="50101"/>
    <n v="250505"/>
    <n v="0"/>
    <n v="0"/>
    <n v="250505"/>
    <n v="152078.76"/>
    <n v="98426.239999999991"/>
    <s v="May"/>
    <n v="2024"/>
    <n v="5"/>
  </r>
  <r>
    <s v="ORD-00958"/>
    <x v="111"/>
    <x v="8"/>
    <x v="2"/>
    <x v="0"/>
    <x v="4"/>
    <x v="1"/>
    <x v="0"/>
    <n v="2"/>
    <n v="38235"/>
    <n v="76470"/>
    <n v="0"/>
    <n v="0"/>
    <n v="76470"/>
    <n v="42306.89"/>
    <n v="34163.11"/>
    <s v="May"/>
    <n v="2024"/>
    <n v="5"/>
  </r>
  <r>
    <s v="ORD-00199"/>
    <x v="112"/>
    <x v="1"/>
    <x v="1"/>
    <x v="0"/>
    <x v="0"/>
    <x v="1"/>
    <x v="0"/>
    <n v="3"/>
    <n v="63924"/>
    <n v="191772"/>
    <n v="0"/>
    <n v="0"/>
    <n v="191772"/>
    <n v="125238.46"/>
    <n v="66533.539999999994"/>
    <s v="May"/>
    <n v="2024"/>
    <n v="5"/>
  </r>
  <r>
    <s v="ORD-00207"/>
    <x v="113"/>
    <x v="2"/>
    <x v="2"/>
    <x v="0"/>
    <x v="2"/>
    <x v="1"/>
    <x v="3"/>
    <n v="5"/>
    <n v="43182"/>
    <n v="215910"/>
    <n v="21591"/>
    <n v="0.1"/>
    <n v="194319"/>
    <n v="129978.14"/>
    <n v="64340.86"/>
    <s v="Jun"/>
    <n v="2024"/>
    <n v="6"/>
  </r>
  <r>
    <s v="ORD-01044"/>
    <x v="114"/>
    <x v="1"/>
    <x v="1"/>
    <x v="0"/>
    <x v="4"/>
    <x v="0"/>
    <x v="3"/>
    <n v="1"/>
    <n v="66637"/>
    <n v="66637"/>
    <n v="6663.7"/>
    <n v="0.1"/>
    <n v="59973.3"/>
    <n v="37193.01"/>
    <n v="22780.29"/>
    <s v="Jun"/>
    <n v="2024"/>
    <n v="6"/>
  </r>
  <r>
    <s v="ORD-00341"/>
    <x v="114"/>
    <x v="0"/>
    <x v="0"/>
    <x v="2"/>
    <x v="3"/>
    <x v="1"/>
    <x v="0"/>
    <n v="1"/>
    <n v="14157"/>
    <n v="14157"/>
    <n v="0"/>
    <n v="0"/>
    <n v="14157"/>
    <n v="8544.9699999999993"/>
    <n v="5612.0300000000007"/>
    <s v="Jun"/>
    <n v="2024"/>
    <n v="6"/>
  </r>
  <r>
    <s v="ORD-00569"/>
    <x v="114"/>
    <x v="7"/>
    <x v="2"/>
    <x v="0"/>
    <x v="2"/>
    <x v="0"/>
    <x v="3"/>
    <n v="1"/>
    <n v="51810"/>
    <n v="51810"/>
    <n v="10362"/>
    <n v="0.2"/>
    <n v="41448"/>
    <n v="29522.2"/>
    <n v="11925.8"/>
    <s v="Jun"/>
    <n v="2024"/>
    <n v="6"/>
  </r>
  <r>
    <s v="ORD-00268"/>
    <x v="115"/>
    <x v="6"/>
    <x v="1"/>
    <x v="1"/>
    <x v="3"/>
    <x v="1"/>
    <x v="3"/>
    <n v="1"/>
    <n v="32134"/>
    <n v="32134"/>
    <n v="6426.8"/>
    <n v="0.2"/>
    <n v="25707.200000000001"/>
    <n v="21366.04"/>
    <n v="4341.16"/>
    <s v="Jun"/>
    <n v="2024"/>
    <n v="6"/>
  </r>
  <r>
    <s v="ORD-00894"/>
    <x v="116"/>
    <x v="1"/>
    <x v="1"/>
    <x v="1"/>
    <x v="4"/>
    <x v="1"/>
    <x v="0"/>
    <n v="1"/>
    <n v="67426"/>
    <n v="67426"/>
    <n v="0"/>
    <n v="0"/>
    <n v="67426"/>
    <n v="41066.18"/>
    <n v="26359.82"/>
    <s v="Jun"/>
    <n v="2024"/>
    <n v="6"/>
  </r>
  <r>
    <s v="ORD-00805"/>
    <x v="117"/>
    <x v="6"/>
    <x v="1"/>
    <x v="1"/>
    <x v="0"/>
    <x v="0"/>
    <x v="3"/>
    <n v="2"/>
    <n v="31867"/>
    <n v="63734"/>
    <n v="6373.4"/>
    <n v="0.1"/>
    <n v="57360.6"/>
    <n v="37289.9"/>
    <n v="20070.699999999997"/>
    <s v="Jun"/>
    <n v="2024"/>
    <n v="6"/>
  </r>
  <r>
    <s v="ORD-00243"/>
    <x v="118"/>
    <x v="5"/>
    <x v="2"/>
    <x v="0"/>
    <x v="4"/>
    <x v="1"/>
    <x v="0"/>
    <n v="1"/>
    <n v="18883"/>
    <n v="18883"/>
    <n v="0"/>
    <n v="0"/>
    <n v="18883"/>
    <n v="12831.48"/>
    <n v="6051.52"/>
    <s v="Jun"/>
    <n v="2024"/>
    <n v="6"/>
  </r>
  <r>
    <s v="ORD-00372"/>
    <x v="119"/>
    <x v="8"/>
    <x v="2"/>
    <x v="3"/>
    <x v="4"/>
    <x v="1"/>
    <x v="0"/>
    <n v="1"/>
    <n v="36887"/>
    <n v="36887"/>
    <n v="0"/>
    <n v="0"/>
    <n v="36887"/>
    <n v="24164.59"/>
    <n v="12722.41"/>
    <s v="Jun"/>
    <n v="2024"/>
    <n v="6"/>
  </r>
  <r>
    <s v="ORD-01179"/>
    <x v="119"/>
    <x v="8"/>
    <x v="2"/>
    <x v="3"/>
    <x v="4"/>
    <x v="1"/>
    <x v="0"/>
    <n v="2"/>
    <n v="39594"/>
    <n v="79188"/>
    <n v="0"/>
    <n v="0"/>
    <n v="79188"/>
    <n v="52833.81"/>
    <n v="26354.190000000002"/>
    <s v="Jun"/>
    <n v="2024"/>
    <n v="6"/>
  </r>
  <r>
    <s v="ORD-00213"/>
    <x v="120"/>
    <x v="5"/>
    <x v="2"/>
    <x v="1"/>
    <x v="4"/>
    <x v="1"/>
    <x v="3"/>
    <n v="2"/>
    <n v="18307"/>
    <n v="36614"/>
    <n v="5492.1"/>
    <n v="0.15"/>
    <n v="31121.9"/>
    <n v="18168.96"/>
    <n v="12952.940000000002"/>
    <s v="Jun"/>
    <n v="2024"/>
    <n v="6"/>
  </r>
  <r>
    <s v="ORD-00056"/>
    <x v="121"/>
    <x v="9"/>
    <x v="0"/>
    <x v="1"/>
    <x v="4"/>
    <x v="1"/>
    <x v="0"/>
    <n v="2"/>
    <n v="44258"/>
    <n v="88516"/>
    <n v="0"/>
    <n v="0"/>
    <n v="88516"/>
    <n v="53120.12"/>
    <n v="35395.879999999997"/>
    <s v="Jun"/>
    <n v="2024"/>
    <n v="6"/>
  </r>
  <r>
    <s v="ORD-00930"/>
    <x v="121"/>
    <x v="0"/>
    <x v="0"/>
    <x v="0"/>
    <x v="4"/>
    <x v="1"/>
    <x v="3"/>
    <n v="2"/>
    <n v="14280"/>
    <n v="28560"/>
    <n v="2856"/>
    <n v="0.1"/>
    <n v="25704"/>
    <n v="18288.38"/>
    <n v="7415.619999999999"/>
    <s v="Jun"/>
    <n v="2024"/>
    <n v="6"/>
  </r>
  <r>
    <s v="ORD-00948"/>
    <x v="122"/>
    <x v="8"/>
    <x v="2"/>
    <x v="0"/>
    <x v="3"/>
    <x v="1"/>
    <x v="0"/>
    <n v="2"/>
    <n v="36529"/>
    <n v="73058"/>
    <n v="0"/>
    <n v="0"/>
    <n v="73058"/>
    <n v="43589.25"/>
    <n v="29468.75"/>
    <s v="Jun"/>
    <n v="2024"/>
    <n v="6"/>
  </r>
  <r>
    <s v="ORD-00599"/>
    <x v="123"/>
    <x v="3"/>
    <x v="0"/>
    <x v="0"/>
    <x v="4"/>
    <x v="0"/>
    <x v="3"/>
    <n v="1"/>
    <n v="11933"/>
    <n v="11933"/>
    <n v="2386.6"/>
    <n v="0.2"/>
    <n v="9546.4"/>
    <n v="7155.47"/>
    <n v="2390.9299999999994"/>
    <s v="Jun"/>
    <n v="2024"/>
    <n v="6"/>
  </r>
  <r>
    <s v="ORD-00035"/>
    <x v="124"/>
    <x v="3"/>
    <x v="0"/>
    <x v="0"/>
    <x v="2"/>
    <x v="1"/>
    <x v="0"/>
    <n v="2"/>
    <n v="11244"/>
    <n v="22488"/>
    <n v="0"/>
    <n v="0"/>
    <n v="22488"/>
    <n v="15289.2"/>
    <n v="7198.7999999999993"/>
    <s v="Jun"/>
    <n v="2024"/>
    <n v="6"/>
  </r>
  <r>
    <s v="ORD-00464"/>
    <x v="124"/>
    <x v="0"/>
    <x v="0"/>
    <x v="0"/>
    <x v="0"/>
    <x v="0"/>
    <x v="0"/>
    <n v="1"/>
    <n v="14550"/>
    <n v="14550"/>
    <n v="0"/>
    <n v="0"/>
    <n v="14550"/>
    <n v="9025.5499999999993"/>
    <n v="5524.4500000000007"/>
    <s v="Jun"/>
    <n v="2024"/>
    <n v="6"/>
  </r>
  <r>
    <s v="ORD-01010"/>
    <x v="125"/>
    <x v="6"/>
    <x v="1"/>
    <x v="0"/>
    <x v="0"/>
    <x v="1"/>
    <x v="0"/>
    <n v="4"/>
    <n v="32136"/>
    <n v="128544"/>
    <n v="0"/>
    <n v="0"/>
    <n v="128544"/>
    <n v="63607.66"/>
    <n v="64936.34"/>
    <s v="Jun"/>
    <n v="2024"/>
    <n v="6"/>
  </r>
  <r>
    <s v="ORD-00452"/>
    <x v="126"/>
    <x v="2"/>
    <x v="2"/>
    <x v="0"/>
    <x v="1"/>
    <x v="1"/>
    <x v="0"/>
    <n v="2"/>
    <n v="39776"/>
    <n v="79552"/>
    <n v="0"/>
    <n v="0"/>
    <n v="79552"/>
    <n v="51761.58"/>
    <n v="27790.42"/>
    <s v="Jun"/>
    <n v="2024"/>
    <n v="6"/>
  </r>
  <r>
    <s v="ORD-01189"/>
    <x v="126"/>
    <x v="0"/>
    <x v="0"/>
    <x v="0"/>
    <x v="0"/>
    <x v="1"/>
    <x v="0"/>
    <n v="1"/>
    <n v="16165"/>
    <n v="16165"/>
    <n v="0"/>
    <n v="0"/>
    <n v="16165"/>
    <n v="10851.77"/>
    <n v="5313.23"/>
    <s v="Jun"/>
    <n v="2024"/>
    <n v="6"/>
  </r>
  <r>
    <s v="ORD-00754"/>
    <x v="127"/>
    <x v="6"/>
    <x v="1"/>
    <x v="3"/>
    <x v="4"/>
    <x v="1"/>
    <x v="0"/>
    <n v="1"/>
    <n v="30973"/>
    <n v="30973"/>
    <n v="1548.65"/>
    <n v="0.05"/>
    <n v="29424.35"/>
    <n v="18764.169999999998"/>
    <n v="10660.18"/>
    <s v="Jun"/>
    <n v="2024"/>
    <n v="6"/>
  </r>
  <r>
    <s v="ORD-01056"/>
    <x v="127"/>
    <x v="8"/>
    <x v="2"/>
    <x v="1"/>
    <x v="3"/>
    <x v="0"/>
    <x v="3"/>
    <n v="1"/>
    <n v="37646"/>
    <n v="37646"/>
    <n v="1882.3"/>
    <n v="0.05"/>
    <n v="35763.699999999997"/>
    <n v="20937.84"/>
    <n v="14825.859999999997"/>
    <s v="Jun"/>
    <n v="2024"/>
    <n v="6"/>
  </r>
  <r>
    <s v="ORD-00734"/>
    <x v="128"/>
    <x v="2"/>
    <x v="2"/>
    <x v="1"/>
    <x v="0"/>
    <x v="1"/>
    <x v="0"/>
    <n v="5"/>
    <n v="38915"/>
    <n v="194575"/>
    <n v="0"/>
    <n v="0"/>
    <n v="194575"/>
    <n v="110946.14"/>
    <n v="83628.86"/>
    <s v="Jun"/>
    <n v="2024"/>
    <n v="6"/>
  </r>
  <r>
    <s v="ORD-00468"/>
    <x v="128"/>
    <x v="9"/>
    <x v="0"/>
    <x v="3"/>
    <x v="1"/>
    <x v="1"/>
    <x v="0"/>
    <n v="1"/>
    <n v="45388"/>
    <n v="45388"/>
    <n v="0"/>
    <n v="0"/>
    <n v="45388"/>
    <n v="25917.23"/>
    <n v="19470.77"/>
    <s v="Jun"/>
    <n v="2024"/>
    <n v="6"/>
  </r>
  <r>
    <s v="ORD-00488"/>
    <x v="128"/>
    <x v="5"/>
    <x v="2"/>
    <x v="0"/>
    <x v="4"/>
    <x v="1"/>
    <x v="3"/>
    <n v="5"/>
    <n v="17409"/>
    <n v="87045"/>
    <n v="8704.5"/>
    <n v="0.1"/>
    <n v="78340.5"/>
    <n v="51610.62"/>
    <n v="26729.879999999997"/>
    <s v="Jun"/>
    <n v="2024"/>
    <n v="6"/>
  </r>
  <r>
    <s v="ORD-00420"/>
    <x v="129"/>
    <x v="8"/>
    <x v="2"/>
    <x v="1"/>
    <x v="3"/>
    <x v="0"/>
    <x v="3"/>
    <n v="1"/>
    <n v="37069"/>
    <n v="37069"/>
    <n v="3706.9"/>
    <n v="0.1"/>
    <n v="33362.1"/>
    <n v="24633.43"/>
    <n v="8728.6699999999983"/>
    <s v="Jun"/>
    <n v="2024"/>
    <n v="6"/>
  </r>
  <r>
    <s v="ORD-00888"/>
    <x v="129"/>
    <x v="8"/>
    <x v="2"/>
    <x v="1"/>
    <x v="4"/>
    <x v="1"/>
    <x v="0"/>
    <n v="2"/>
    <n v="37560"/>
    <n v="75120"/>
    <n v="0"/>
    <n v="0"/>
    <n v="75120"/>
    <n v="39283.78"/>
    <n v="35836.22"/>
    <s v="Jun"/>
    <n v="2024"/>
    <n v="6"/>
  </r>
  <r>
    <s v="ORD-00538"/>
    <x v="129"/>
    <x v="3"/>
    <x v="0"/>
    <x v="2"/>
    <x v="4"/>
    <x v="1"/>
    <x v="3"/>
    <n v="2"/>
    <n v="12645"/>
    <n v="25290"/>
    <n v="1264.5"/>
    <n v="0.05"/>
    <n v="24025.5"/>
    <n v="14804.8"/>
    <n v="9220.7000000000007"/>
    <s v="Jun"/>
    <n v="2024"/>
    <n v="6"/>
  </r>
  <r>
    <s v="ORD-00252"/>
    <x v="130"/>
    <x v="8"/>
    <x v="2"/>
    <x v="1"/>
    <x v="0"/>
    <x v="1"/>
    <x v="0"/>
    <n v="3"/>
    <n v="35474"/>
    <n v="106422"/>
    <n v="10642.2"/>
    <n v="0.1"/>
    <n v="95779.8"/>
    <n v="69833.539999999994"/>
    <n v="25946.260000000009"/>
    <s v="Jun"/>
    <n v="2024"/>
    <n v="6"/>
  </r>
  <r>
    <s v="ORD-00949"/>
    <x v="131"/>
    <x v="0"/>
    <x v="0"/>
    <x v="0"/>
    <x v="3"/>
    <x v="1"/>
    <x v="0"/>
    <n v="3"/>
    <n v="15764"/>
    <n v="47292"/>
    <n v="0"/>
    <n v="0"/>
    <n v="47292"/>
    <n v="24517.81"/>
    <n v="22774.19"/>
    <s v="Jun"/>
    <n v="2024"/>
    <n v="6"/>
  </r>
  <r>
    <s v="ORD-01104"/>
    <x v="132"/>
    <x v="0"/>
    <x v="0"/>
    <x v="0"/>
    <x v="1"/>
    <x v="1"/>
    <x v="3"/>
    <n v="1"/>
    <n v="14640"/>
    <n v="14640"/>
    <n v="2196"/>
    <n v="0.15"/>
    <n v="12444"/>
    <n v="8060.33"/>
    <n v="4383.67"/>
    <s v="Jul"/>
    <n v="2024"/>
    <n v="7"/>
  </r>
  <r>
    <s v="ORD-00609"/>
    <x v="133"/>
    <x v="3"/>
    <x v="0"/>
    <x v="3"/>
    <x v="0"/>
    <x v="1"/>
    <x v="0"/>
    <n v="2"/>
    <n v="11869"/>
    <n v="23738"/>
    <n v="0"/>
    <n v="0"/>
    <n v="23738"/>
    <n v="14669.25"/>
    <n v="9068.75"/>
    <s v="Jul"/>
    <n v="2024"/>
    <n v="7"/>
  </r>
  <r>
    <s v="ORD-00167"/>
    <x v="134"/>
    <x v="3"/>
    <x v="0"/>
    <x v="2"/>
    <x v="3"/>
    <x v="0"/>
    <x v="3"/>
    <n v="3"/>
    <n v="12040"/>
    <n v="36120"/>
    <n v="5418"/>
    <n v="0.15"/>
    <n v="30702"/>
    <n v="18244.57"/>
    <n v="12457.43"/>
    <s v="Jul"/>
    <n v="2024"/>
    <n v="7"/>
  </r>
  <r>
    <s v="ORD-01150"/>
    <x v="134"/>
    <x v="8"/>
    <x v="2"/>
    <x v="0"/>
    <x v="4"/>
    <x v="1"/>
    <x v="3"/>
    <n v="1"/>
    <n v="40420"/>
    <n v="40420"/>
    <n v="4042"/>
    <n v="0.1"/>
    <n v="36378"/>
    <n v="23819.64"/>
    <n v="12558.36"/>
    <s v="Jul"/>
    <n v="2024"/>
    <n v="7"/>
  </r>
  <r>
    <s v="ORD-01029"/>
    <x v="134"/>
    <x v="1"/>
    <x v="1"/>
    <x v="1"/>
    <x v="3"/>
    <x v="1"/>
    <x v="3"/>
    <n v="5"/>
    <n v="67053"/>
    <n v="335265"/>
    <n v="16763.25"/>
    <n v="0.05"/>
    <n v="318501.75"/>
    <n v="162645.92000000001"/>
    <n v="155855.82999999999"/>
    <s v="Jul"/>
    <n v="2024"/>
    <n v="7"/>
  </r>
  <r>
    <s v="ORD-01099"/>
    <x v="135"/>
    <x v="5"/>
    <x v="2"/>
    <x v="0"/>
    <x v="3"/>
    <x v="1"/>
    <x v="0"/>
    <n v="1"/>
    <n v="17549"/>
    <n v="17549"/>
    <n v="0"/>
    <n v="0"/>
    <n v="17549"/>
    <n v="11094.87"/>
    <n v="6454.1299999999992"/>
    <s v="Jul"/>
    <n v="2024"/>
    <n v="7"/>
  </r>
  <r>
    <s v="ORD-00071"/>
    <x v="135"/>
    <x v="0"/>
    <x v="0"/>
    <x v="1"/>
    <x v="4"/>
    <x v="1"/>
    <x v="3"/>
    <n v="2"/>
    <n v="16129"/>
    <n v="32258"/>
    <n v="6451.6"/>
    <n v="0.2"/>
    <n v="25806.400000000001"/>
    <n v="20540.88"/>
    <n v="5265.52"/>
    <s v="Jul"/>
    <n v="2024"/>
    <n v="7"/>
  </r>
  <r>
    <s v="ORD-00132"/>
    <x v="136"/>
    <x v="3"/>
    <x v="0"/>
    <x v="0"/>
    <x v="2"/>
    <x v="0"/>
    <x v="0"/>
    <n v="2"/>
    <n v="11568"/>
    <n v="23136"/>
    <n v="0"/>
    <n v="0"/>
    <n v="23136"/>
    <n v="14756.07"/>
    <n v="8379.93"/>
    <s v="Jul"/>
    <n v="2024"/>
    <n v="7"/>
  </r>
  <r>
    <s v="ORD-00479"/>
    <x v="136"/>
    <x v="0"/>
    <x v="0"/>
    <x v="2"/>
    <x v="3"/>
    <x v="0"/>
    <x v="0"/>
    <n v="2"/>
    <n v="14129"/>
    <n v="28258"/>
    <n v="0"/>
    <n v="0"/>
    <n v="28258"/>
    <n v="15552.81"/>
    <n v="12705.19"/>
    <s v="Jul"/>
    <n v="2024"/>
    <n v="7"/>
  </r>
  <r>
    <s v="ORD-00026"/>
    <x v="136"/>
    <x v="1"/>
    <x v="1"/>
    <x v="2"/>
    <x v="3"/>
    <x v="1"/>
    <x v="0"/>
    <n v="2"/>
    <n v="63536"/>
    <n v="127072"/>
    <n v="0"/>
    <n v="0"/>
    <n v="127072"/>
    <n v="65150.42"/>
    <n v="61921.58"/>
    <s v="Jul"/>
    <n v="2024"/>
    <n v="7"/>
  </r>
  <r>
    <s v="ORD-00256"/>
    <x v="137"/>
    <x v="4"/>
    <x v="2"/>
    <x v="1"/>
    <x v="4"/>
    <x v="1"/>
    <x v="3"/>
    <n v="5"/>
    <n v="26871"/>
    <n v="134355"/>
    <n v="20153.25"/>
    <n v="0.15"/>
    <n v="114201.75"/>
    <n v="71970.44"/>
    <n v="42231.31"/>
    <s v="Jul"/>
    <n v="2024"/>
    <n v="7"/>
  </r>
  <r>
    <s v="ORD-00403"/>
    <x v="138"/>
    <x v="0"/>
    <x v="0"/>
    <x v="1"/>
    <x v="3"/>
    <x v="1"/>
    <x v="0"/>
    <n v="2"/>
    <n v="15749"/>
    <n v="31498"/>
    <n v="0"/>
    <n v="0"/>
    <n v="31498"/>
    <n v="15821.37"/>
    <n v="15676.63"/>
    <s v="Jul"/>
    <n v="2024"/>
    <n v="7"/>
  </r>
  <r>
    <s v="ORD-00730"/>
    <x v="139"/>
    <x v="2"/>
    <x v="2"/>
    <x v="3"/>
    <x v="1"/>
    <x v="1"/>
    <x v="0"/>
    <n v="3"/>
    <n v="39325"/>
    <n v="117975"/>
    <n v="11797.5"/>
    <n v="0.1"/>
    <n v="106177.5"/>
    <n v="58101.45"/>
    <n v="48076.05"/>
    <s v="Jul"/>
    <n v="2024"/>
    <n v="7"/>
  </r>
  <r>
    <s v="ORD-00920"/>
    <x v="139"/>
    <x v="5"/>
    <x v="2"/>
    <x v="1"/>
    <x v="4"/>
    <x v="1"/>
    <x v="3"/>
    <n v="1"/>
    <n v="18210"/>
    <n v="18210"/>
    <n v="1821"/>
    <n v="0.1"/>
    <n v="16389"/>
    <n v="11091.15"/>
    <n v="5297.85"/>
    <s v="Jul"/>
    <n v="2024"/>
    <n v="7"/>
  </r>
  <r>
    <s v="ORD-00811"/>
    <x v="140"/>
    <x v="3"/>
    <x v="0"/>
    <x v="1"/>
    <x v="2"/>
    <x v="1"/>
    <x v="3"/>
    <n v="1"/>
    <n v="12782"/>
    <n v="12782"/>
    <n v="1278.2"/>
    <n v="0.1"/>
    <n v="11503.8"/>
    <n v="7389.14"/>
    <n v="4114.6599999999989"/>
    <s v="Jul"/>
    <n v="2024"/>
    <n v="7"/>
  </r>
  <r>
    <s v="ORD-00797"/>
    <x v="141"/>
    <x v="0"/>
    <x v="0"/>
    <x v="0"/>
    <x v="2"/>
    <x v="1"/>
    <x v="3"/>
    <n v="2"/>
    <n v="15741"/>
    <n v="31482"/>
    <n v="3148.2"/>
    <n v="0.1"/>
    <n v="28333.8"/>
    <n v="17988.97"/>
    <n v="10344.829999999998"/>
    <s v="Jul"/>
    <n v="2024"/>
    <n v="7"/>
  </r>
  <r>
    <s v="ORD-00162"/>
    <x v="141"/>
    <x v="3"/>
    <x v="0"/>
    <x v="3"/>
    <x v="4"/>
    <x v="0"/>
    <x v="0"/>
    <n v="1"/>
    <n v="11397"/>
    <n v="11397"/>
    <n v="0"/>
    <n v="0"/>
    <n v="11397"/>
    <n v="6418.33"/>
    <n v="4978.67"/>
    <s v="Jul"/>
    <n v="2024"/>
    <n v="7"/>
  </r>
  <r>
    <s v="ORD-01043"/>
    <x v="142"/>
    <x v="3"/>
    <x v="0"/>
    <x v="1"/>
    <x v="4"/>
    <x v="0"/>
    <x v="0"/>
    <n v="1"/>
    <n v="12635"/>
    <n v="12635"/>
    <n v="0"/>
    <n v="0"/>
    <n v="12635"/>
    <n v="7062.43"/>
    <n v="5572.57"/>
    <s v="Jul"/>
    <n v="2024"/>
    <n v="7"/>
  </r>
  <r>
    <s v="ORD-00090"/>
    <x v="142"/>
    <x v="6"/>
    <x v="1"/>
    <x v="0"/>
    <x v="4"/>
    <x v="0"/>
    <x v="3"/>
    <n v="2"/>
    <n v="31641"/>
    <n v="63282"/>
    <n v="9492.2999999999993"/>
    <n v="0.15"/>
    <n v="53789.7"/>
    <n v="40533.93"/>
    <n v="13255.769999999997"/>
    <s v="Jul"/>
    <n v="2024"/>
    <n v="7"/>
  </r>
  <r>
    <s v="ORD-00057"/>
    <x v="143"/>
    <x v="9"/>
    <x v="0"/>
    <x v="1"/>
    <x v="0"/>
    <x v="1"/>
    <x v="0"/>
    <n v="2"/>
    <n v="44259"/>
    <n v="88518"/>
    <n v="0"/>
    <n v="0"/>
    <n v="88518"/>
    <n v="53605.62"/>
    <n v="34912.379999999997"/>
    <s v="Jul"/>
    <n v="2024"/>
    <n v="7"/>
  </r>
  <r>
    <s v="ORD-00868"/>
    <x v="143"/>
    <x v="6"/>
    <x v="1"/>
    <x v="2"/>
    <x v="1"/>
    <x v="1"/>
    <x v="3"/>
    <n v="2"/>
    <n v="30024"/>
    <n v="60048"/>
    <n v="9007.2000000000007"/>
    <n v="0.15"/>
    <n v="51040.800000000003"/>
    <n v="30491.89"/>
    <n v="20548.910000000003"/>
    <s v="Jul"/>
    <n v="2024"/>
    <n v="7"/>
  </r>
  <r>
    <s v="ORD-00492"/>
    <x v="144"/>
    <x v="3"/>
    <x v="0"/>
    <x v="3"/>
    <x v="4"/>
    <x v="1"/>
    <x v="3"/>
    <n v="1"/>
    <n v="11370"/>
    <n v="11370"/>
    <n v="568.5"/>
    <n v="0.05"/>
    <n v="10801.5"/>
    <n v="6618.52"/>
    <n v="4182.9799999999996"/>
    <s v="Jul"/>
    <n v="2024"/>
    <n v="7"/>
  </r>
  <r>
    <s v="ORD-00155"/>
    <x v="144"/>
    <x v="9"/>
    <x v="0"/>
    <x v="2"/>
    <x v="3"/>
    <x v="0"/>
    <x v="0"/>
    <n v="2"/>
    <n v="44734"/>
    <n v="89468"/>
    <n v="0"/>
    <n v="0"/>
    <n v="89468"/>
    <n v="48369.87"/>
    <n v="41098.129999999997"/>
    <s v="Jul"/>
    <n v="2024"/>
    <n v="7"/>
  </r>
  <r>
    <s v="ORD-00615"/>
    <x v="145"/>
    <x v="2"/>
    <x v="2"/>
    <x v="2"/>
    <x v="2"/>
    <x v="0"/>
    <x v="0"/>
    <n v="1"/>
    <n v="44023"/>
    <n v="44023"/>
    <n v="0"/>
    <n v="0"/>
    <n v="44023"/>
    <n v="29084.55"/>
    <n v="14938.45"/>
    <s v="Jul"/>
    <n v="2024"/>
    <n v="7"/>
  </r>
  <r>
    <s v="ORD-00049"/>
    <x v="146"/>
    <x v="2"/>
    <x v="2"/>
    <x v="0"/>
    <x v="2"/>
    <x v="1"/>
    <x v="3"/>
    <n v="3"/>
    <n v="40932"/>
    <n v="122796"/>
    <n v="6139.8"/>
    <n v="0.05"/>
    <n v="116656.2"/>
    <n v="73756.67"/>
    <n v="42899.53"/>
    <s v="Jul"/>
    <n v="2024"/>
    <n v="7"/>
  </r>
  <r>
    <s v="ORD-00111"/>
    <x v="147"/>
    <x v="4"/>
    <x v="2"/>
    <x v="3"/>
    <x v="4"/>
    <x v="0"/>
    <x v="3"/>
    <n v="2"/>
    <n v="23290"/>
    <n v="46580"/>
    <n v="9316"/>
    <n v="0.2"/>
    <n v="37264"/>
    <n v="25529.38"/>
    <n v="11734.619999999999"/>
    <s v="Jul"/>
    <n v="2024"/>
    <n v="7"/>
  </r>
  <r>
    <s v="ORD-00197"/>
    <x v="148"/>
    <x v="9"/>
    <x v="0"/>
    <x v="0"/>
    <x v="4"/>
    <x v="1"/>
    <x v="0"/>
    <n v="2"/>
    <n v="41515"/>
    <n v="83030"/>
    <n v="0"/>
    <n v="0"/>
    <n v="83030"/>
    <n v="41919.9"/>
    <n v="41110.1"/>
    <s v="Jul"/>
    <n v="2024"/>
    <n v="7"/>
  </r>
  <r>
    <s v="ORD-00646"/>
    <x v="149"/>
    <x v="5"/>
    <x v="2"/>
    <x v="2"/>
    <x v="4"/>
    <x v="1"/>
    <x v="0"/>
    <n v="2"/>
    <n v="18848"/>
    <n v="37696"/>
    <n v="0"/>
    <n v="0"/>
    <n v="37696"/>
    <n v="19381.54"/>
    <n v="18314.46"/>
    <s v="Aug"/>
    <n v="2024"/>
    <n v="8"/>
  </r>
  <r>
    <s v="ORD-00906"/>
    <x v="150"/>
    <x v="8"/>
    <x v="2"/>
    <x v="1"/>
    <x v="4"/>
    <x v="1"/>
    <x v="0"/>
    <n v="3"/>
    <n v="38479"/>
    <n v="115437"/>
    <n v="17315.55"/>
    <n v="0.15"/>
    <n v="98121.45"/>
    <n v="68748.179999999993"/>
    <n v="29373.270000000004"/>
    <s v="Aug"/>
    <n v="2024"/>
    <n v="8"/>
  </r>
  <r>
    <s v="ORD-01177"/>
    <x v="151"/>
    <x v="7"/>
    <x v="2"/>
    <x v="3"/>
    <x v="3"/>
    <x v="0"/>
    <x v="0"/>
    <n v="1"/>
    <n v="46602"/>
    <n v="46602"/>
    <n v="0"/>
    <n v="0"/>
    <n v="46602"/>
    <n v="24194.26"/>
    <n v="22407.74"/>
    <s v="Aug"/>
    <n v="2024"/>
    <n v="8"/>
  </r>
  <r>
    <s v="ORD-00818"/>
    <x v="151"/>
    <x v="6"/>
    <x v="1"/>
    <x v="2"/>
    <x v="2"/>
    <x v="1"/>
    <x v="0"/>
    <n v="2"/>
    <n v="32129"/>
    <n v="64258"/>
    <n v="6425.8"/>
    <n v="0.1"/>
    <n v="57832.2"/>
    <n v="37309.07"/>
    <n v="20523.129999999997"/>
    <s v="Aug"/>
    <n v="2024"/>
    <n v="8"/>
  </r>
  <r>
    <s v="ORD-01067"/>
    <x v="151"/>
    <x v="2"/>
    <x v="2"/>
    <x v="1"/>
    <x v="2"/>
    <x v="1"/>
    <x v="0"/>
    <n v="2"/>
    <n v="40236"/>
    <n v="80472"/>
    <n v="0"/>
    <n v="0"/>
    <n v="80472"/>
    <n v="53415.75"/>
    <n v="27056.25"/>
    <s v="Aug"/>
    <n v="2024"/>
    <n v="8"/>
  </r>
  <r>
    <s v="ORD-00460"/>
    <x v="152"/>
    <x v="8"/>
    <x v="2"/>
    <x v="3"/>
    <x v="4"/>
    <x v="0"/>
    <x v="0"/>
    <n v="2"/>
    <n v="35007"/>
    <n v="70014"/>
    <n v="0"/>
    <n v="0"/>
    <n v="70014"/>
    <n v="47420.31"/>
    <n v="22593.690000000002"/>
    <s v="Aug"/>
    <n v="2024"/>
    <n v="8"/>
  </r>
  <r>
    <s v="ORD-00069"/>
    <x v="152"/>
    <x v="4"/>
    <x v="2"/>
    <x v="1"/>
    <x v="1"/>
    <x v="1"/>
    <x v="0"/>
    <n v="2"/>
    <n v="26580"/>
    <n v="53160"/>
    <n v="0"/>
    <n v="0"/>
    <n v="53160"/>
    <n v="32044.14"/>
    <n v="21115.86"/>
    <s v="Aug"/>
    <n v="2024"/>
    <n v="8"/>
  </r>
  <r>
    <s v="ORD-00411"/>
    <x v="152"/>
    <x v="5"/>
    <x v="2"/>
    <x v="2"/>
    <x v="3"/>
    <x v="0"/>
    <x v="0"/>
    <n v="1"/>
    <n v="16915"/>
    <n v="16915"/>
    <n v="0"/>
    <n v="0"/>
    <n v="16915"/>
    <n v="8122.39"/>
    <n v="8792.61"/>
    <s v="Aug"/>
    <n v="2024"/>
    <n v="8"/>
  </r>
  <r>
    <s v="ORD-00840"/>
    <x v="153"/>
    <x v="6"/>
    <x v="1"/>
    <x v="2"/>
    <x v="0"/>
    <x v="1"/>
    <x v="0"/>
    <n v="1"/>
    <n v="32285"/>
    <n v="32285"/>
    <n v="0"/>
    <n v="0"/>
    <n v="32285"/>
    <n v="18442.009999999998"/>
    <n v="13842.990000000002"/>
    <s v="Aug"/>
    <n v="2024"/>
    <n v="8"/>
  </r>
  <r>
    <s v="ORD-00352"/>
    <x v="153"/>
    <x v="7"/>
    <x v="2"/>
    <x v="0"/>
    <x v="0"/>
    <x v="1"/>
    <x v="0"/>
    <n v="2"/>
    <n v="46775"/>
    <n v="93550"/>
    <n v="0"/>
    <n v="0"/>
    <n v="93550"/>
    <n v="59825.49"/>
    <n v="33724.51"/>
    <s v="Aug"/>
    <n v="2024"/>
    <n v="8"/>
  </r>
  <r>
    <s v="ORD-01163"/>
    <x v="153"/>
    <x v="4"/>
    <x v="2"/>
    <x v="1"/>
    <x v="0"/>
    <x v="1"/>
    <x v="0"/>
    <n v="1"/>
    <n v="24010"/>
    <n v="24010"/>
    <n v="0"/>
    <n v="0"/>
    <n v="24010"/>
    <n v="14570.18"/>
    <n v="9439.82"/>
    <s v="Aug"/>
    <n v="2024"/>
    <n v="8"/>
  </r>
  <r>
    <s v="ORD-00148"/>
    <x v="154"/>
    <x v="6"/>
    <x v="1"/>
    <x v="0"/>
    <x v="0"/>
    <x v="0"/>
    <x v="0"/>
    <n v="1"/>
    <n v="29321"/>
    <n v="29321"/>
    <n v="0"/>
    <n v="0"/>
    <n v="29321"/>
    <n v="15708.78"/>
    <n v="13612.22"/>
    <s v="Aug"/>
    <n v="2024"/>
    <n v="8"/>
  </r>
  <r>
    <s v="ORD-00537"/>
    <x v="155"/>
    <x v="2"/>
    <x v="2"/>
    <x v="0"/>
    <x v="3"/>
    <x v="0"/>
    <x v="0"/>
    <n v="1"/>
    <n v="44612"/>
    <n v="44612"/>
    <n v="0"/>
    <n v="0"/>
    <n v="44612"/>
    <n v="25429.41"/>
    <n v="19182.59"/>
    <s v="Aug"/>
    <n v="2024"/>
    <n v="8"/>
  </r>
  <r>
    <s v="ORD-00738"/>
    <x v="156"/>
    <x v="9"/>
    <x v="0"/>
    <x v="3"/>
    <x v="3"/>
    <x v="0"/>
    <x v="0"/>
    <n v="2"/>
    <n v="48250"/>
    <n v="96500"/>
    <n v="0"/>
    <n v="0"/>
    <n v="96500"/>
    <n v="61329.23"/>
    <n v="35170.769999999997"/>
    <s v="Aug"/>
    <n v="2024"/>
    <n v="8"/>
  </r>
  <r>
    <s v="ORD-00231"/>
    <x v="157"/>
    <x v="4"/>
    <x v="2"/>
    <x v="1"/>
    <x v="0"/>
    <x v="1"/>
    <x v="0"/>
    <n v="2"/>
    <n v="23266"/>
    <n v="46532"/>
    <n v="0"/>
    <n v="0"/>
    <n v="46532"/>
    <n v="23025.01"/>
    <n v="23506.99"/>
    <s v="Aug"/>
    <n v="2024"/>
    <n v="8"/>
  </r>
  <r>
    <s v="ORD-01157"/>
    <x v="157"/>
    <x v="6"/>
    <x v="1"/>
    <x v="1"/>
    <x v="0"/>
    <x v="1"/>
    <x v="0"/>
    <n v="2"/>
    <n v="30011"/>
    <n v="60022"/>
    <n v="0"/>
    <n v="0"/>
    <n v="60022"/>
    <n v="37898.03"/>
    <n v="22123.97"/>
    <s v="Aug"/>
    <n v="2024"/>
    <n v="8"/>
  </r>
  <r>
    <s v="ORD-01161"/>
    <x v="157"/>
    <x v="5"/>
    <x v="2"/>
    <x v="3"/>
    <x v="4"/>
    <x v="0"/>
    <x v="0"/>
    <n v="4"/>
    <n v="17895"/>
    <n v="71580"/>
    <n v="0"/>
    <n v="0"/>
    <n v="71580"/>
    <n v="36492.85"/>
    <n v="35087.15"/>
    <s v="Aug"/>
    <n v="2024"/>
    <n v="8"/>
  </r>
  <r>
    <s v="ORD-00694"/>
    <x v="158"/>
    <x v="3"/>
    <x v="0"/>
    <x v="0"/>
    <x v="4"/>
    <x v="0"/>
    <x v="0"/>
    <n v="3"/>
    <n v="11726"/>
    <n v="35178"/>
    <n v="0"/>
    <n v="0"/>
    <n v="35178"/>
    <n v="21407.94"/>
    <n v="13770.060000000001"/>
    <s v="Aug"/>
    <n v="2024"/>
    <n v="8"/>
  </r>
  <r>
    <s v="ORD-00817"/>
    <x v="158"/>
    <x v="9"/>
    <x v="0"/>
    <x v="0"/>
    <x v="4"/>
    <x v="1"/>
    <x v="0"/>
    <n v="5"/>
    <n v="41920"/>
    <n v="209600"/>
    <n v="0"/>
    <n v="0"/>
    <n v="209600"/>
    <n v="113260.91"/>
    <n v="96339.09"/>
    <s v="Aug"/>
    <n v="2024"/>
    <n v="8"/>
  </r>
  <r>
    <s v="ORD-00717"/>
    <x v="159"/>
    <x v="4"/>
    <x v="2"/>
    <x v="3"/>
    <x v="4"/>
    <x v="1"/>
    <x v="0"/>
    <n v="2"/>
    <n v="23375"/>
    <n v="46750"/>
    <n v="0"/>
    <n v="0"/>
    <n v="46750"/>
    <n v="27715.22"/>
    <n v="19034.78"/>
    <s v="Aug"/>
    <n v="2024"/>
    <n v="8"/>
  </r>
  <r>
    <s v="ORD-00227"/>
    <x v="160"/>
    <x v="5"/>
    <x v="2"/>
    <x v="0"/>
    <x v="1"/>
    <x v="1"/>
    <x v="0"/>
    <n v="5"/>
    <n v="16889"/>
    <n v="84445"/>
    <n v="0"/>
    <n v="0"/>
    <n v="84445"/>
    <n v="51999.5"/>
    <n v="32445.5"/>
    <s v="Aug"/>
    <n v="2024"/>
    <n v="8"/>
  </r>
  <r>
    <s v="ORD-00120"/>
    <x v="161"/>
    <x v="4"/>
    <x v="2"/>
    <x v="2"/>
    <x v="2"/>
    <x v="1"/>
    <x v="0"/>
    <n v="2"/>
    <n v="24738"/>
    <n v="49476"/>
    <n v="0"/>
    <n v="0"/>
    <n v="49476"/>
    <n v="29704.63"/>
    <n v="19771.37"/>
    <s v="Aug"/>
    <n v="2024"/>
    <n v="8"/>
  </r>
  <r>
    <s v="ORD-00085"/>
    <x v="161"/>
    <x v="8"/>
    <x v="2"/>
    <x v="0"/>
    <x v="0"/>
    <x v="1"/>
    <x v="0"/>
    <n v="1"/>
    <n v="35281"/>
    <n v="35281"/>
    <n v="0"/>
    <n v="0"/>
    <n v="35281"/>
    <n v="21164.15"/>
    <n v="14116.849999999999"/>
    <s v="Aug"/>
    <n v="2024"/>
    <n v="8"/>
  </r>
  <r>
    <s v="ORD-00691"/>
    <x v="162"/>
    <x v="5"/>
    <x v="2"/>
    <x v="0"/>
    <x v="1"/>
    <x v="0"/>
    <x v="0"/>
    <n v="4"/>
    <n v="16861"/>
    <n v="67444"/>
    <n v="0"/>
    <n v="0"/>
    <n v="67444"/>
    <n v="39886.47"/>
    <n v="27557.53"/>
    <s v="Aug"/>
    <n v="2024"/>
    <n v="8"/>
  </r>
  <r>
    <s v="ORD-00638"/>
    <x v="162"/>
    <x v="7"/>
    <x v="2"/>
    <x v="1"/>
    <x v="0"/>
    <x v="1"/>
    <x v="0"/>
    <n v="2"/>
    <n v="52018"/>
    <n v="104036"/>
    <n v="0"/>
    <n v="0"/>
    <n v="104036"/>
    <n v="61467.09"/>
    <n v="42568.91"/>
    <s v="Aug"/>
    <n v="2024"/>
    <n v="8"/>
  </r>
  <r>
    <s v="ORD-00444"/>
    <x v="163"/>
    <x v="4"/>
    <x v="2"/>
    <x v="3"/>
    <x v="1"/>
    <x v="1"/>
    <x v="0"/>
    <n v="1"/>
    <n v="24841"/>
    <n v="24841"/>
    <n v="0"/>
    <n v="0"/>
    <n v="24841"/>
    <n v="16810.96"/>
    <n v="8030.0400000000009"/>
    <s v="Aug"/>
    <n v="2024"/>
    <n v="8"/>
  </r>
  <r>
    <s v="ORD-00763"/>
    <x v="164"/>
    <x v="9"/>
    <x v="0"/>
    <x v="1"/>
    <x v="4"/>
    <x v="1"/>
    <x v="0"/>
    <n v="1"/>
    <n v="43855"/>
    <n v="43855"/>
    <n v="0"/>
    <n v="0"/>
    <n v="43855"/>
    <n v="27292.560000000001"/>
    <n v="16562.439999999999"/>
    <s v="Aug"/>
    <n v="2024"/>
    <n v="8"/>
  </r>
  <r>
    <s v="ORD-00577"/>
    <x v="164"/>
    <x v="4"/>
    <x v="2"/>
    <x v="0"/>
    <x v="4"/>
    <x v="0"/>
    <x v="0"/>
    <n v="5"/>
    <n v="24979"/>
    <n v="124895"/>
    <n v="0"/>
    <n v="0"/>
    <n v="124895"/>
    <n v="73916.27"/>
    <n v="50978.729999999996"/>
    <s v="Aug"/>
    <n v="2024"/>
    <n v="8"/>
  </r>
  <r>
    <s v="ORD-00988"/>
    <x v="165"/>
    <x v="6"/>
    <x v="1"/>
    <x v="3"/>
    <x v="4"/>
    <x v="1"/>
    <x v="0"/>
    <n v="2"/>
    <n v="30929"/>
    <n v="61858"/>
    <n v="0"/>
    <n v="0"/>
    <n v="61858"/>
    <n v="40244.620000000003"/>
    <n v="21613.379999999997"/>
    <s v="Aug"/>
    <n v="2024"/>
    <n v="8"/>
  </r>
  <r>
    <s v="ORD-00647"/>
    <x v="166"/>
    <x v="0"/>
    <x v="0"/>
    <x v="2"/>
    <x v="0"/>
    <x v="1"/>
    <x v="0"/>
    <n v="1"/>
    <n v="15989"/>
    <n v="15989"/>
    <n v="2398.35"/>
    <n v="0.15"/>
    <n v="13590.65"/>
    <n v="8457.27"/>
    <n v="5133.3799999999992"/>
    <s v="Aug"/>
    <n v="2024"/>
    <n v="8"/>
  </r>
  <r>
    <s v="ORD-00040"/>
    <x v="167"/>
    <x v="6"/>
    <x v="1"/>
    <x v="2"/>
    <x v="0"/>
    <x v="1"/>
    <x v="0"/>
    <n v="1"/>
    <n v="28781"/>
    <n v="28781"/>
    <n v="0"/>
    <n v="0"/>
    <n v="28781"/>
    <n v="16084.93"/>
    <n v="12696.07"/>
    <s v="Aug"/>
    <n v="2024"/>
    <n v="8"/>
  </r>
  <r>
    <s v="ORD-00714"/>
    <x v="168"/>
    <x v="4"/>
    <x v="2"/>
    <x v="1"/>
    <x v="4"/>
    <x v="1"/>
    <x v="0"/>
    <n v="3"/>
    <n v="24183"/>
    <n v="72549"/>
    <n v="0"/>
    <n v="0"/>
    <n v="72549"/>
    <n v="40933.870000000003"/>
    <n v="31615.129999999997"/>
    <s v="Aug"/>
    <n v="2024"/>
    <n v="8"/>
  </r>
  <r>
    <s v="ORD-00873"/>
    <x v="169"/>
    <x v="5"/>
    <x v="2"/>
    <x v="3"/>
    <x v="3"/>
    <x v="1"/>
    <x v="0"/>
    <n v="2"/>
    <n v="18927"/>
    <n v="37854"/>
    <n v="0"/>
    <n v="0"/>
    <n v="37854"/>
    <n v="23510.080000000002"/>
    <n v="14343.919999999998"/>
    <s v="Aug"/>
    <n v="2024"/>
    <n v="8"/>
  </r>
  <r>
    <s v="ORD-01127"/>
    <x v="170"/>
    <x v="5"/>
    <x v="2"/>
    <x v="3"/>
    <x v="1"/>
    <x v="0"/>
    <x v="0"/>
    <n v="1"/>
    <n v="16734"/>
    <n v="16734"/>
    <n v="1673.4"/>
    <n v="0.1"/>
    <n v="15060.6"/>
    <n v="10426.02"/>
    <n v="4634.58"/>
    <s v="Sep"/>
    <n v="2024"/>
    <n v="9"/>
  </r>
  <r>
    <s v="ORD-00271"/>
    <x v="171"/>
    <x v="7"/>
    <x v="2"/>
    <x v="0"/>
    <x v="4"/>
    <x v="0"/>
    <x v="0"/>
    <n v="1"/>
    <n v="53427"/>
    <n v="53427"/>
    <n v="0"/>
    <n v="0"/>
    <n v="53427"/>
    <n v="34150.620000000003"/>
    <n v="19276.379999999997"/>
    <s v="Sep"/>
    <n v="2024"/>
    <n v="9"/>
  </r>
  <r>
    <s v="ORD-00340"/>
    <x v="172"/>
    <x v="8"/>
    <x v="2"/>
    <x v="0"/>
    <x v="4"/>
    <x v="0"/>
    <x v="0"/>
    <n v="1"/>
    <n v="40863"/>
    <n v="40863"/>
    <n v="0"/>
    <n v="0"/>
    <n v="40863"/>
    <n v="25515.4"/>
    <n v="15347.599999999999"/>
    <s v="Sep"/>
    <n v="2024"/>
    <n v="9"/>
  </r>
  <r>
    <s v="ORD-00153"/>
    <x v="172"/>
    <x v="7"/>
    <x v="2"/>
    <x v="3"/>
    <x v="4"/>
    <x v="1"/>
    <x v="0"/>
    <n v="1"/>
    <n v="53433"/>
    <n v="53433"/>
    <n v="0"/>
    <n v="0"/>
    <n v="53433"/>
    <n v="35331.089999999997"/>
    <n v="18101.910000000003"/>
    <s v="Sep"/>
    <n v="2024"/>
    <n v="9"/>
  </r>
  <r>
    <s v="ORD-00644"/>
    <x v="173"/>
    <x v="3"/>
    <x v="0"/>
    <x v="2"/>
    <x v="2"/>
    <x v="1"/>
    <x v="0"/>
    <n v="2"/>
    <n v="12114"/>
    <n v="24228"/>
    <n v="0"/>
    <n v="0"/>
    <n v="24228"/>
    <n v="14076.14"/>
    <n v="10151.86"/>
    <s v="Sep"/>
    <n v="2024"/>
    <n v="9"/>
  </r>
  <r>
    <s v="ORD-00598"/>
    <x v="173"/>
    <x v="2"/>
    <x v="2"/>
    <x v="2"/>
    <x v="3"/>
    <x v="0"/>
    <x v="0"/>
    <n v="2"/>
    <n v="45358"/>
    <n v="90716"/>
    <n v="13607.4"/>
    <n v="0.15"/>
    <n v="77108.600000000006"/>
    <n v="45615.34"/>
    <n v="31493.260000000009"/>
    <s v="Sep"/>
    <n v="2024"/>
    <n v="9"/>
  </r>
  <r>
    <s v="ORD-01081"/>
    <x v="174"/>
    <x v="1"/>
    <x v="1"/>
    <x v="3"/>
    <x v="1"/>
    <x v="0"/>
    <x v="0"/>
    <n v="3"/>
    <n v="64531"/>
    <n v="193593"/>
    <n v="0"/>
    <n v="0"/>
    <n v="193593"/>
    <n v="129594.54"/>
    <n v="63998.460000000006"/>
    <s v="Sep"/>
    <n v="2024"/>
    <n v="9"/>
  </r>
  <r>
    <s v="ORD-00570"/>
    <x v="174"/>
    <x v="6"/>
    <x v="1"/>
    <x v="2"/>
    <x v="2"/>
    <x v="0"/>
    <x v="0"/>
    <n v="2"/>
    <n v="31198"/>
    <n v="62396"/>
    <n v="6239.6"/>
    <n v="0.1"/>
    <n v="56156.4"/>
    <n v="37810.379999999997"/>
    <n v="18346.020000000004"/>
    <s v="Sep"/>
    <n v="2024"/>
    <n v="9"/>
  </r>
  <r>
    <s v="ORD-01119"/>
    <x v="175"/>
    <x v="5"/>
    <x v="2"/>
    <x v="0"/>
    <x v="4"/>
    <x v="1"/>
    <x v="0"/>
    <n v="1"/>
    <n v="19167"/>
    <n v="19167"/>
    <n v="0"/>
    <n v="0"/>
    <n v="19167"/>
    <n v="10042.74"/>
    <n v="9124.26"/>
    <s v="Sep"/>
    <n v="2024"/>
    <n v="9"/>
  </r>
  <r>
    <s v="ORD-00018"/>
    <x v="176"/>
    <x v="0"/>
    <x v="0"/>
    <x v="0"/>
    <x v="2"/>
    <x v="1"/>
    <x v="0"/>
    <n v="4"/>
    <n v="15501"/>
    <n v="62004"/>
    <n v="3100.2"/>
    <n v="0.05"/>
    <n v="58903.8"/>
    <n v="38617.17"/>
    <n v="20286.630000000005"/>
    <s v="Sep"/>
    <n v="2024"/>
    <n v="9"/>
  </r>
  <r>
    <s v="ORD-00257"/>
    <x v="176"/>
    <x v="0"/>
    <x v="0"/>
    <x v="1"/>
    <x v="2"/>
    <x v="1"/>
    <x v="0"/>
    <n v="1"/>
    <n v="14677"/>
    <n v="14677"/>
    <n v="0"/>
    <n v="0"/>
    <n v="14677"/>
    <n v="7932.86"/>
    <n v="6744.14"/>
    <s v="Sep"/>
    <n v="2024"/>
    <n v="9"/>
  </r>
  <r>
    <s v="ORD-00191"/>
    <x v="177"/>
    <x v="8"/>
    <x v="2"/>
    <x v="2"/>
    <x v="4"/>
    <x v="0"/>
    <x v="0"/>
    <n v="3"/>
    <n v="37529"/>
    <n v="112587"/>
    <n v="0"/>
    <n v="0"/>
    <n v="112587"/>
    <n v="61366.559999999998"/>
    <n v="51220.44"/>
    <s v="Sep"/>
    <n v="2024"/>
    <n v="9"/>
  </r>
  <r>
    <s v="ORD-00204"/>
    <x v="177"/>
    <x v="0"/>
    <x v="0"/>
    <x v="1"/>
    <x v="3"/>
    <x v="0"/>
    <x v="0"/>
    <n v="1"/>
    <n v="14230"/>
    <n v="14230"/>
    <n v="0"/>
    <n v="0"/>
    <n v="14230"/>
    <n v="7152.86"/>
    <n v="7077.14"/>
    <s v="Sep"/>
    <n v="2024"/>
    <n v="9"/>
  </r>
  <r>
    <s v="ORD-00525"/>
    <x v="178"/>
    <x v="7"/>
    <x v="2"/>
    <x v="0"/>
    <x v="0"/>
    <x v="1"/>
    <x v="0"/>
    <n v="2"/>
    <n v="53489"/>
    <n v="106978"/>
    <n v="0"/>
    <n v="0"/>
    <n v="106978"/>
    <n v="71681.23"/>
    <n v="35296.770000000004"/>
    <s v="Sep"/>
    <n v="2024"/>
    <n v="9"/>
  </r>
  <r>
    <s v="ORD-00369"/>
    <x v="179"/>
    <x v="7"/>
    <x v="2"/>
    <x v="0"/>
    <x v="0"/>
    <x v="0"/>
    <x v="0"/>
    <n v="5"/>
    <n v="47045"/>
    <n v="235225"/>
    <n v="0"/>
    <n v="0"/>
    <n v="235225"/>
    <n v="147218.38"/>
    <n v="88006.62"/>
    <s v="Sep"/>
    <n v="2024"/>
    <n v="9"/>
  </r>
  <r>
    <s v="ORD-00749"/>
    <x v="180"/>
    <x v="3"/>
    <x v="0"/>
    <x v="2"/>
    <x v="4"/>
    <x v="1"/>
    <x v="0"/>
    <n v="1"/>
    <n v="12942"/>
    <n v="12942"/>
    <n v="0"/>
    <n v="0"/>
    <n v="12942"/>
    <n v="6742.04"/>
    <n v="6199.96"/>
    <s v="Sep"/>
    <n v="2024"/>
    <n v="9"/>
  </r>
  <r>
    <s v="ORD-01167"/>
    <x v="180"/>
    <x v="8"/>
    <x v="2"/>
    <x v="3"/>
    <x v="3"/>
    <x v="0"/>
    <x v="0"/>
    <n v="5"/>
    <n v="40572"/>
    <n v="202860"/>
    <n v="0"/>
    <n v="0"/>
    <n v="202860"/>
    <n v="137501.53"/>
    <n v="65358.47"/>
    <s v="Sep"/>
    <n v="2024"/>
    <n v="9"/>
  </r>
  <r>
    <s v="ORD-00971"/>
    <x v="181"/>
    <x v="7"/>
    <x v="2"/>
    <x v="1"/>
    <x v="1"/>
    <x v="1"/>
    <x v="0"/>
    <n v="2"/>
    <n v="48883"/>
    <n v="97766"/>
    <n v="0"/>
    <n v="0"/>
    <n v="97766"/>
    <n v="54935.08"/>
    <n v="42830.92"/>
    <s v="Sep"/>
    <n v="2024"/>
    <n v="9"/>
  </r>
  <r>
    <s v="ORD-00753"/>
    <x v="181"/>
    <x v="1"/>
    <x v="1"/>
    <x v="0"/>
    <x v="0"/>
    <x v="1"/>
    <x v="0"/>
    <n v="1"/>
    <n v="63438"/>
    <n v="63438"/>
    <n v="0"/>
    <n v="0"/>
    <n v="63438"/>
    <n v="35011.980000000003"/>
    <n v="28426.019999999997"/>
    <s v="Sep"/>
    <n v="2024"/>
    <n v="9"/>
  </r>
  <r>
    <s v="ORD-00183"/>
    <x v="182"/>
    <x v="8"/>
    <x v="2"/>
    <x v="0"/>
    <x v="1"/>
    <x v="0"/>
    <x v="0"/>
    <n v="2"/>
    <n v="39748"/>
    <n v="79496"/>
    <n v="0"/>
    <n v="0"/>
    <n v="79496"/>
    <n v="47126.41"/>
    <n v="32369.589999999997"/>
    <s v="Sep"/>
    <n v="2024"/>
    <n v="9"/>
  </r>
  <r>
    <s v="ORD-00305"/>
    <x v="183"/>
    <x v="0"/>
    <x v="0"/>
    <x v="1"/>
    <x v="3"/>
    <x v="1"/>
    <x v="0"/>
    <n v="1"/>
    <n v="14422"/>
    <n v="14422"/>
    <n v="0"/>
    <n v="0"/>
    <n v="14422"/>
    <n v="7181.91"/>
    <n v="7240.09"/>
    <s v="Sep"/>
    <n v="2024"/>
    <n v="9"/>
  </r>
  <r>
    <s v="ORD-00424"/>
    <x v="184"/>
    <x v="9"/>
    <x v="0"/>
    <x v="1"/>
    <x v="4"/>
    <x v="0"/>
    <x v="0"/>
    <n v="1"/>
    <n v="47476"/>
    <n v="47476"/>
    <n v="2373.8000000000002"/>
    <n v="0.05"/>
    <n v="45102.2"/>
    <n v="26792.73"/>
    <n v="18309.469999999998"/>
    <s v="Sep"/>
    <n v="2024"/>
    <n v="9"/>
  </r>
  <r>
    <s v="ORD-01132"/>
    <x v="185"/>
    <x v="3"/>
    <x v="0"/>
    <x v="2"/>
    <x v="4"/>
    <x v="0"/>
    <x v="0"/>
    <n v="1"/>
    <n v="12714"/>
    <n v="12714"/>
    <n v="0"/>
    <n v="0"/>
    <n v="12714"/>
    <n v="7315.11"/>
    <n v="5398.89"/>
    <s v="Sep"/>
    <n v="2024"/>
    <n v="9"/>
  </r>
  <r>
    <s v="ORD-00575"/>
    <x v="186"/>
    <x v="4"/>
    <x v="2"/>
    <x v="1"/>
    <x v="4"/>
    <x v="0"/>
    <x v="0"/>
    <n v="1"/>
    <n v="25919"/>
    <n v="25919"/>
    <n v="1295.95"/>
    <n v="0.05"/>
    <n v="24623.05"/>
    <n v="12855.92"/>
    <n v="11767.13"/>
    <s v="Sep"/>
    <n v="2024"/>
    <n v="9"/>
  </r>
  <r>
    <s v="ORD-01012"/>
    <x v="186"/>
    <x v="8"/>
    <x v="2"/>
    <x v="1"/>
    <x v="3"/>
    <x v="1"/>
    <x v="0"/>
    <n v="3"/>
    <n v="39306"/>
    <n v="117918"/>
    <n v="0"/>
    <n v="0"/>
    <n v="117918"/>
    <n v="68686.64"/>
    <n v="49231.360000000001"/>
    <s v="Sep"/>
    <n v="2024"/>
    <n v="9"/>
  </r>
  <r>
    <s v="ORD-00318"/>
    <x v="187"/>
    <x v="8"/>
    <x v="2"/>
    <x v="0"/>
    <x v="0"/>
    <x v="0"/>
    <x v="0"/>
    <n v="3"/>
    <n v="38811"/>
    <n v="116433"/>
    <n v="0"/>
    <n v="0"/>
    <n v="116433"/>
    <n v="65153.21"/>
    <n v="51279.79"/>
    <s v="Sep"/>
    <n v="2024"/>
    <n v="9"/>
  </r>
  <r>
    <s v="ORD-00059"/>
    <x v="188"/>
    <x v="2"/>
    <x v="2"/>
    <x v="3"/>
    <x v="1"/>
    <x v="0"/>
    <x v="0"/>
    <n v="3"/>
    <n v="44432"/>
    <n v="133296"/>
    <n v="0"/>
    <n v="0"/>
    <n v="133296"/>
    <n v="76966.759999999995"/>
    <n v="56329.240000000005"/>
    <s v="Sep"/>
    <n v="2024"/>
    <n v="9"/>
  </r>
  <r>
    <s v="ORD-00770"/>
    <x v="188"/>
    <x v="9"/>
    <x v="0"/>
    <x v="3"/>
    <x v="3"/>
    <x v="1"/>
    <x v="0"/>
    <n v="2"/>
    <n v="43257"/>
    <n v="86514"/>
    <n v="0"/>
    <n v="0"/>
    <n v="86514"/>
    <n v="58406.07"/>
    <n v="28107.93"/>
    <s v="Sep"/>
    <n v="2024"/>
    <n v="9"/>
  </r>
  <r>
    <s v="ORD-01130"/>
    <x v="189"/>
    <x v="1"/>
    <x v="1"/>
    <x v="0"/>
    <x v="1"/>
    <x v="1"/>
    <x v="0"/>
    <n v="1"/>
    <n v="61830"/>
    <n v="61830"/>
    <n v="0"/>
    <n v="0"/>
    <n v="61830"/>
    <n v="31658.15"/>
    <n v="30171.85"/>
    <s v="Sep"/>
    <n v="2024"/>
    <n v="9"/>
  </r>
  <r>
    <s v="ORD-01060"/>
    <x v="190"/>
    <x v="3"/>
    <x v="0"/>
    <x v="1"/>
    <x v="0"/>
    <x v="1"/>
    <x v="0"/>
    <n v="4"/>
    <n v="11260"/>
    <n v="45040"/>
    <n v="0"/>
    <n v="0"/>
    <n v="45040"/>
    <n v="24936.58"/>
    <n v="20103.419999999998"/>
    <s v="Oct"/>
    <n v="2024"/>
    <n v="10"/>
  </r>
  <r>
    <s v="ORD-00015"/>
    <x v="191"/>
    <x v="6"/>
    <x v="1"/>
    <x v="3"/>
    <x v="2"/>
    <x v="0"/>
    <x v="0"/>
    <n v="3"/>
    <n v="31195"/>
    <n v="93585"/>
    <n v="9358.5"/>
    <n v="0.1"/>
    <n v="84226.5"/>
    <n v="46844.77"/>
    <n v="37381.730000000003"/>
    <s v="Oct"/>
    <n v="2024"/>
    <n v="10"/>
  </r>
  <r>
    <s v="ORD-00706"/>
    <x v="191"/>
    <x v="6"/>
    <x v="1"/>
    <x v="0"/>
    <x v="4"/>
    <x v="1"/>
    <x v="0"/>
    <n v="1"/>
    <n v="30626"/>
    <n v="30626"/>
    <n v="4593.8999999999996"/>
    <n v="0.15"/>
    <n v="26032.1"/>
    <n v="17379.32"/>
    <n v="8652.7799999999988"/>
    <s v="Oct"/>
    <n v="2024"/>
    <n v="10"/>
  </r>
  <r>
    <s v="ORD-00410"/>
    <x v="192"/>
    <x v="7"/>
    <x v="2"/>
    <x v="1"/>
    <x v="4"/>
    <x v="0"/>
    <x v="0"/>
    <n v="2"/>
    <n v="53738"/>
    <n v="107476"/>
    <n v="0"/>
    <n v="0"/>
    <n v="107476"/>
    <n v="72162.28"/>
    <n v="35313.72"/>
    <s v="Oct"/>
    <n v="2024"/>
    <n v="10"/>
  </r>
  <r>
    <s v="ORD-00160"/>
    <x v="193"/>
    <x v="5"/>
    <x v="2"/>
    <x v="2"/>
    <x v="0"/>
    <x v="0"/>
    <x v="0"/>
    <n v="1"/>
    <n v="19081"/>
    <n v="19081"/>
    <n v="0"/>
    <n v="0"/>
    <n v="19081"/>
    <n v="10221.459999999999"/>
    <n v="8859.5400000000009"/>
    <s v="Oct"/>
    <n v="2024"/>
    <n v="10"/>
  </r>
  <r>
    <s v="ORD-00249"/>
    <x v="193"/>
    <x v="1"/>
    <x v="1"/>
    <x v="1"/>
    <x v="2"/>
    <x v="0"/>
    <x v="0"/>
    <n v="1"/>
    <n v="67577"/>
    <n v="67577"/>
    <n v="0"/>
    <n v="0"/>
    <n v="67577"/>
    <n v="38030"/>
    <n v="29547"/>
    <s v="Oct"/>
    <n v="2024"/>
    <n v="10"/>
  </r>
  <r>
    <s v="ORD-00625"/>
    <x v="194"/>
    <x v="5"/>
    <x v="2"/>
    <x v="2"/>
    <x v="4"/>
    <x v="0"/>
    <x v="0"/>
    <n v="2"/>
    <n v="18547"/>
    <n v="37094"/>
    <n v="0"/>
    <n v="0"/>
    <n v="37094"/>
    <n v="20372.830000000002"/>
    <n v="16721.169999999998"/>
    <s v="Oct"/>
    <n v="2024"/>
    <n v="10"/>
  </r>
  <r>
    <s v="ORD-00233"/>
    <x v="195"/>
    <x v="9"/>
    <x v="0"/>
    <x v="3"/>
    <x v="3"/>
    <x v="0"/>
    <x v="0"/>
    <n v="2"/>
    <n v="41460"/>
    <n v="82920"/>
    <n v="0"/>
    <n v="0"/>
    <n v="82920"/>
    <n v="50774.97"/>
    <n v="32145.03"/>
    <s v="Oct"/>
    <n v="2024"/>
    <n v="10"/>
  </r>
  <r>
    <s v="ORD-00889"/>
    <x v="196"/>
    <x v="1"/>
    <x v="1"/>
    <x v="1"/>
    <x v="1"/>
    <x v="0"/>
    <x v="0"/>
    <n v="2"/>
    <n v="61666"/>
    <n v="123332"/>
    <n v="0"/>
    <n v="0"/>
    <n v="123332"/>
    <n v="60171.45"/>
    <n v="63160.55"/>
    <s v="Oct"/>
    <n v="2024"/>
    <n v="10"/>
  </r>
  <r>
    <s v="ORD-00912"/>
    <x v="196"/>
    <x v="2"/>
    <x v="2"/>
    <x v="1"/>
    <x v="4"/>
    <x v="0"/>
    <x v="0"/>
    <n v="3"/>
    <n v="43438"/>
    <n v="130314"/>
    <n v="0"/>
    <n v="0"/>
    <n v="130314"/>
    <n v="66154.570000000007"/>
    <n v="64159.429999999993"/>
    <s v="Oct"/>
    <n v="2024"/>
    <n v="10"/>
  </r>
  <r>
    <s v="ORD-00379"/>
    <x v="196"/>
    <x v="4"/>
    <x v="2"/>
    <x v="3"/>
    <x v="4"/>
    <x v="1"/>
    <x v="0"/>
    <n v="1"/>
    <n v="23932"/>
    <n v="23932"/>
    <n v="0"/>
    <n v="0"/>
    <n v="23932"/>
    <n v="14501.01"/>
    <n v="9430.99"/>
    <s v="Oct"/>
    <n v="2024"/>
    <n v="10"/>
  </r>
  <r>
    <s v="ORD-00914"/>
    <x v="197"/>
    <x v="2"/>
    <x v="2"/>
    <x v="0"/>
    <x v="2"/>
    <x v="1"/>
    <x v="0"/>
    <n v="1"/>
    <n v="38702"/>
    <n v="38702"/>
    <n v="0"/>
    <n v="0"/>
    <n v="38702"/>
    <n v="25170.91"/>
    <n v="13531.09"/>
    <s v="Oct"/>
    <n v="2024"/>
    <n v="10"/>
  </r>
  <r>
    <s v="ORD-00810"/>
    <x v="198"/>
    <x v="6"/>
    <x v="1"/>
    <x v="2"/>
    <x v="4"/>
    <x v="1"/>
    <x v="0"/>
    <n v="1"/>
    <n v="27694"/>
    <n v="27694"/>
    <n v="0"/>
    <n v="0"/>
    <n v="27694"/>
    <n v="16190.79"/>
    <n v="11503.21"/>
    <s v="Oct"/>
    <n v="2024"/>
    <n v="10"/>
  </r>
  <r>
    <s v="ORD-00083"/>
    <x v="198"/>
    <x v="9"/>
    <x v="0"/>
    <x v="3"/>
    <x v="3"/>
    <x v="1"/>
    <x v="0"/>
    <n v="2"/>
    <n v="47018"/>
    <n v="94036"/>
    <n v="0"/>
    <n v="0"/>
    <n v="94036"/>
    <n v="47729.34"/>
    <n v="46306.66"/>
    <s v="Oct"/>
    <n v="2024"/>
    <n v="10"/>
  </r>
  <r>
    <s v="ORD-01142"/>
    <x v="199"/>
    <x v="8"/>
    <x v="2"/>
    <x v="1"/>
    <x v="4"/>
    <x v="0"/>
    <x v="0"/>
    <n v="1"/>
    <n v="36771"/>
    <n v="36771"/>
    <n v="0"/>
    <n v="0"/>
    <n v="36771"/>
    <n v="20576.740000000002"/>
    <n v="16194.259999999998"/>
    <s v="Oct"/>
    <n v="2024"/>
    <n v="10"/>
  </r>
  <r>
    <s v="ORD-00159"/>
    <x v="200"/>
    <x v="4"/>
    <x v="2"/>
    <x v="2"/>
    <x v="3"/>
    <x v="0"/>
    <x v="0"/>
    <n v="1"/>
    <n v="23357"/>
    <n v="23357"/>
    <n v="0"/>
    <n v="0"/>
    <n v="23357"/>
    <n v="13518.16"/>
    <n v="9838.84"/>
    <s v="Oct"/>
    <n v="2024"/>
    <n v="10"/>
  </r>
  <r>
    <s v="ORD-00782"/>
    <x v="201"/>
    <x v="5"/>
    <x v="2"/>
    <x v="3"/>
    <x v="1"/>
    <x v="1"/>
    <x v="0"/>
    <n v="5"/>
    <n v="18160"/>
    <n v="90800"/>
    <n v="0"/>
    <n v="0"/>
    <n v="90800"/>
    <n v="49324.46"/>
    <n v="41475.54"/>
    <s v="Oct"/>
    <n v="2024"/>
    <n v="10"/>
  </r>
  <r>
    <s v="ORD-00063"/>
    <x v="201"/>
    <x v="2"/>
    <x v="2"/>
    <x v="1"/>
    <x v="2"/>
    <x v="0"/>
    <x v="0"/>
    <n v="2"/>
    <n v="40203"/>
    <n v="80406"/>
    <n v="0"/>
    <n v="0"/>
    <n v="80406"/>
    <n v="41389.03"/>
    <n v="39016.97"/>
    <s v="Oct"/>
    <n v="2024"/>
    <n v="10"/>
  </r>
  <r>
    <s v="ORD-01047"/>
    <x v="201"/>
    <x v="2"/>
    <x v="2"/>
    <x v="0"/>
    <x v="0"/>
    <x v="1"/>
    <x v="0"/>
    <n v="4"/>
    <n v="44867"/>
    <n v="179468"/>
    <n v="0"/>
    <n v="0"/>
    <n v="179468"/>
    <n v="95375.65"/>
    <n v="84092.35"/>
    <s v="Oct"/>
    <n v="2024"/>
    <n v="10"/>
  </r>
  <r>
    <s v="ORD-00837"/>
    <x v="202"/>
    <x v="5"/>
    <x v="2"/>
    <x v="3"/>
    <x v="4"/>
    <x v="1"/>
    <x v="0"/>
    <n v="1"/>
    <n v="16773"/>
    <n v="16773"/>
    <n v="0"/>
    <n v="0"/>
    <n v="16773"/>
    <n v="10778.09"/>
    <n v="5994.91"/>
    <s v="Oct"/>
    <n v="2024"/>
    <n v="10"/>
  </r>
  <r>
    <s v="ORD-00251"/>
    <x v="202"/>
    <x v="0"/>
    <x v="0"/>
    <x v="2"/>
    <x v="1"/>
    <x v="1"/>
    <x v="0"/>
    <n v="2"/>
    <n v="14168"/>
    <n v="28336"/>
    <n v="0"/>
    <n v="0"/>
    <n v="28336"/>
    <n v="15171.17"/>
    <n v="13164.83"/>
    <s v="Oct"/>
    <n v="2024"/>
    <n v="10"/>
  </r>
  <r>
    <s v="ORD-00659"/>
    <x v="203"/>
    <x v="3"/>
    <x v="0"/>
    <x v="1"/>
    <x v="4"/>
    <x v="1"/>
    <x v="0"/>
    <n v="5"/>
    <n v="12810"/>
    <n v="64050"/>
    <n v="0"/>
    <n v="0"/>
    <n v="64050"/>
    <n v="43048.88"/>
    <n v="21001.120000000003"/>
    <s v="Oct"/>
    <n v="2024"/>
    <n v="10"/>
  </r>
  <r>
    <s v="ORD-00297"/>
    <x v="204"/>
    <x v="7"/>
    <x v="2"/>
    <x v="2"/>
    <x v="3"/>
    <x v="1"/>
    <x v="0"/>
    <n v="1"/>
    <n v="48601"/>
    <n v="48601"/>
    <n v="0"/>
    <n v="0"/>
    <n v="48601"/>
    <n v="25972.36"/>
    <n v="22628.639999999999"/>
    <s v="Oct"/>
    <n v="2024"/>
    <n v="10"/>
  </r>
  <r>
    <s v="ORD-01115"/>
    <x v="205"/>
    <x v="4"/>
    <x v="2"/>
    <x v="3"/>
    <x v="4"/>
    <x v="1"/>
    <x v="4"/>
    <n v="1"/>
    <n v="25777"/>
    <n v="25777"/>
    <n v="3866.55"/>
    <n v="0.15"/>
    <n v="21910.45"/>
    <n v="16682.79"/>
    <n v="5227.66"/>
    <s v="Nov"/>
    <n v="2024"/>
    <n v="11"/>
  </r>
  <r>
    <s v="ORD-00935"/>
    <x v="206"/>
    <x v="4"/>
    <x v="2"/>
    <x v="1"/>
    <x v="4"/>
    <x v="1"/>
    <x v="4"/>
    <n v="2"/>
    <n v="25996"/>
    <n v="51992"/>
    <n v="7798.8"/>
    <n v="0.15"/>
    <n v="44193.2"/>
    <n v="25516.62"/>
    <n v="18676.579999999998"/>
    <s v="Nov"/>
    <n v="2024"/>
    <n v="11"/>
  </r>
  <r>
    <s v="ORD-00869"/>
    <x v="206"/>
    <x v="7"/>
    <x v="2"/>
    <x v="0"/>
    <x v="1"/>
    <x v="1"/>
    <x v="4"/>
    <n v="1"/>
    <n v="50440"/>
    <n v="50440"/>
    <n v="7566"/>
    <n v="0.15"/>
    <n v="42874"/>
    <n v="30285.88"/>
    <n v="12588.119999999999"/>
    <s v="Nov"/>
    <n v="2024"/>
    <n v="11"/>
  </r>
  <r>
    <s v="ORD-00295"/>
    <x v="207"/>
    <x v="0"/>
    <x v="0"/>
    <x v="1"/>
    <x v="3"/>
    <x v="1"/>
    <x v="4"/>
    <n v="1"/>
    <n v="14555"/>
    <n v="14555"/>
    <n v="727.75"/>
    <n v="0.05"/>
    <n v="13827.25"/>
    <n v="9259.7900000000009"/>
    <n v="4567.4599999999991"/>
    <s v="Nov"/>
    <n v="2024"/>
    <n v="11"/>
  </r>
  <r>
    <s v="ORD-00703"/>
    <x v="208"/>
    <x v="0"/>
    <x v="0"/>
    <x v="2"/>
    <x v="4"/>
    <x v="1"/>
    <x v="4"/>
    <n v="1"/>
    <n v="14108"/>
    <n v="14108"/>
    <n v="2821.6"/>
    <n v="0.2"/>
    <n v="11286.4"/>
    <n v="9072.44"/>
    <n v="2213.9599999999991"/>
    <s v="Nov"/>
    <n v="2024"/>
    <n v="11"/>
  </r>
  <r>
    <s v="ORD-00038"/>
    <x v="209"/>
    <x v="3"/>
    <x v="0"/>
    <x v="3"/>
    <x v="2"/>
    <x v="0"/>
    <x v="4"/>
    <n v="2"/>
    <n v="12185"/>
    <n v="24370"/>
    <n v="2437"/>
    <n v="0.1"/>
    <n v="21933"/>
    <n v="13863.7"/>
    <n v="8069.2999999999993"/>
    <s v="Nov"/>
    <n v="2024"/>
    <n v="11"/>
  </r>
  <r>
    <s v="ORD-00762"/>
    <x v="210"/>
    <x v="2"/>
    <x v="2"/>
    <x v="3"/>
    <x v="3"/>
    <x v="1"/>
    <x v="4"/>
    <n v="1"/>
    <n v="42706"/>
    <n v="42706"/>
    <n v="2135.3000000000002"/>
    <n v="0.05"/>
    <n v="40570.699999999997"/>
    <n v="23049.9"/>
    <n v="17520.799999999996"/>
    <s v="Nov"/>
    <n v="2024"/>
    <n v="11"/>
  </r>
  <r>
    <s v="ORD-00138"/>
    <x v="210"/>
    <x v="7"/>
    <x v="2"/>
    <x v="2"/>
    <x v="4"/>
    <x v="0"/>
    <x v="4"/>
    <n v="4"/>
    <n v="52613"/>
    <n v="210452"/>
    <n v="31567.8"/>
    <n v="0.15"/>
    <n v="178884.2"/>
    <n v="113156.06"/>
    <n v="65728.140000000014"/>
    <s v="Nov"/>
    <n v="2024"/>
    <n v="11"/>
  </r>
  <r>
    <s v="ORD-01126"/>
    <x v="210"/>
    <x v="1"/>
    <x v="1"/>
    <x v="0"/>
    <x v="1"/>
    <x v="0"/>
    <x v="4"/>
    <n v="4"/>
    <n v="69463"/>
    <n v="277852"/>
    <n v="41677.800000000003"/>
    <n v="0.15"/>
    <n v="236174.2"/>
    <n v="176078.99"/>
    <n v="60095.210000000021"/>
    <s v="Nov"/>
    <n v="2024"/>
    <n v="11"/>
  </r>
  <r>
    <s v="ORD-00746"/>
    <x v="211"/>
    <x v="3"/>
    <x v="0"/>
    <x v="1"/>
    <x v="2"/>
    <x v="1"/>
    <x v="0"/>
    <n v="1"/>
    <n v="11999"/>
    <n v="11999"/>
    <n v="0"/>
    <n v="0"/>
    <n v="11999"/>
    <n v="6062.36"/>
    <n v="5936.64"/>
    <s v="Nov"/>
    <n v="2024"/>
    <n v="11"/>
  </r>
  <r>
    <s v="ORD-00757"/>
    <x v="212"/>
    <x v="0"/>
    <x v="0"/>
    <x v="1"/>
    <x v="4"/>
    <x v="1"/>
    <x v="4"/>
    <n v="2"/>
    <n v="13883"/>
    <n v="27766"/>
    <n v="5553.2"/>
    <n v="0.2"/>
    <n v="22212.799999999999"/>
    <n v="16641.04"/>
    <n v="5571.7599999999984"/>
    <s v="Nov"/>
    <n v="2024"/>
    <n v="11"/>
  </r>
  <r>
    <s v="ORD-00283"/>
    <x v="212"/>
    <x v="9"/>
    <x v="0"/>
    <x v="0"/>
    <x v="1"/>
    <x v="0"/>
    <x v="4"/>
    <n v="2"/>
    <n v="44276"/>
    <n v="88552"/>
    <n v="13282.8"/>
    <n v="0.15"/>
    <n v="75269.2"/>
    <n v="42696.43"/>
    <n v="32572.769999999997"/>
    <s v="Nov"/>
    <n v="2024"/>
    <n v="11"/>
  </r>
  <r>
    <s v="ORD-00822"/>
    <x v="213"/>
    <x v="1"/>
    <x v="1"/>
    <x v="3"/>
    <x v="2"/>
    <x v="0"/>
    <x v="4"/>
    <n v="4"/>
    <n v="66783"/>
    <n v="267132"/>
    <n v="13356.6"/>
    <n v="0.05"/>
    <n v="253775.4"/>
    <n v="177624.14"/>
    <n v="76151.25999999998"/>
    <s v="Nov"/>
    <n v="2024"/>
    <n v="11"/>
  </r>
  <r>
    <s v="ORD-01140"/>
    <x v="213"/>
    <x v="5"/>
    <x v="2"/>
    <x v="0"/>
    <x v="4"/>
    <x v="1"/>
    <x v="4"/>
    <n v="2"/>
    <n v="19402"/>
    <n v="38804"/>
    <n v="5820.6"/>
    <n v="0.15"/>
    <n v="32983.4"/>
    <n v="21201.78"/>
    <n v="11781.620000000003"/>
    <s v="Nov"/>
    <n v="2024"/>
    <n v="11"/>
  </r>
  <r>
    <s v="ORD-00735"/>
    <x v="214"/>
    <x v="1"/>
    <x v="1"/>
    <x v="0"/>
    <x v="4"/>
    <x v="0"/>
    <x v="4"/>
    <n v="1"/>
    <n v="69786"/>
    <n v="69786"/>
    <n v="3489.3"/>
    <n v="0.05"/>
    <n v="66296.7"/>
    <n v="44682.18"/>
    <n v="21614.519999999997"/>
    <s v="Nov"/>
    <n v="2024"/>
    <n v="11"/>
  </r>
  <r>
    <s v="ORD-00904"/>
    <x v="215"/>
    <x v="7"/>
    <x v="2"/>
    <x v="1"/>
    <x v="3"/>
    <x v="1"/>
    <x v="4"/>
    <n v="3"/>
    <n v="48543"/>
    <n v="145629"/>
    <n v="29125.8"/>
    <n v="0.2"/>
    <n v="116503.2"/>
    <n v="84793.88"/>
    <n v="31709.319999999992"/>
    <s v="Nov"/>
    <n v="2024"/>
    <n v="11"/>
  </r>
  <r>
    <s v="ORD-01196"/>
    <x v="216"/>
    <x v="7"/>
    <x v="2"/>
    <x v="2"/>
    <x v="4"/>
    <x v="0"/>
    <x v="4"/>
    <n v="2"/>
    <n v="51896"/>
    <n v="103792"/>
    <n v="10379.200000000001"/>
    <n v="0.1"/>
    <n v="93412.800000000003"/>
    <n v="55229.760000000002"/>
    <n v="38183.040000000001"/>
    <s v="Nov"/>
    <n v="2024"/>
    <n v="11"/>
  </r>
  <r>
    <s v="ORD-00938"/>
    <x v="216"/>
    <x v="4"/>
    <x v="2"/>
    <x v="0"/>
    <x v="3"/>
    <x v="1"/>
    <x v="4"/>
    <n v="2"/>
    <n v="23438"/>
    <n v="46876"/>
    <n v="7031.4"/>
    <n v="0.15"/>
    <n v="39844.6"/>
    <n v="23774.44"/>
    <n v="16070.16"/>
    <s v="Nov"/>
    <n v="2024"/>
    <n v="11"/>
  </r>
  <r>
    <s v="ORD-01182"/>
    <x v="217"/>
    <x v="7"/>
    <x v="2"/>
    <x v="3"/>
    <x v="0"/>
    <x v="1"/>
    <x v="4"/>
    <n v="1"/>
    <n v="51186"/>
    <n v="51186"/>
    <n v="7677.9"/>
    <n v="0.15"/>
    <n v="43508.1"/>
    <n v="26285.26"/>
    <n v="17222.84"/>
    <s v="Nov"/>
    <n v="2024"/>
    <n v="11"/>
  </r>
  <r>
    <s v="ORD-00758"/>
    <x v="217"/>
    <x v="8"/>
    <x v="2"/>
    <x v="0"/>
    <x v="0"/>
    <x v="1"/>
    <x v="0"/>
    <n v="2"/>
    <n v="40345"/>
    <n v="80690"/>
    <n v="0"/>
    <n v="0"/>
    <n v="80690"/>
    <n v="41370.5"/>
    <n v="39319.5"/>
    <s v="Nov"/>
    <n v="2024"/>
    <n v="11"/>
  </r>
  <r>
    <s v="ORD-00956"/>
    <x v="218"/>
    <x v="9"/>
    <x v="0"/>
    <x v="1"/>
    <x v="4"/>
    <x v="1"/>
    <x v="4"/>
    <n v="2"/>
    <n v="47357"/>
    <n v="94714"/>
    <n v="14207.1"/>
    <n v="0.15"/>
    <n v="80506.899999999994"/>
    <n v="46697.79"/>
    <n v="33809.109999999993"/>
    <s v="Nov"/>
    <n v="2024"/>
    <n v="11"/>
  </r>
  <r>
    <s v="ORD-01065"/>
    <x v="218"/>
    <x v="9"/>
    <x v="0"/>
    <x v="3"/>
    <x v="0"/>
    <x v="0"/>
    <x v="4"/>
    <n v="2"/>
    <n v="42902"/>
    <n v="85804"/>
    <n v="4290.2"/>
    <n v="0.05"/>
    <n v="81513.8"/>
    <n v="42661.3"/>
    <n v="38852.5"/>
    <s v="Nov"/>
    <n v="2024"/>
    <n v="11"/>
  </r>
  <r>
    <s v="ORD-00006"/>
    <x v="219"/>
    <x v="1"/>
    <x v="1"/>
    <x v="1"/>
    <x v="1"/>
    <x v="0"/>
    <x v="4"/>
    <n v="1"/>
    <n v="60500"/>
    <n v="60500"/>
    <n v="9075"/>
    <n v="0.15"/>
    <n v="51425"/>
    <n v="33225.18"/>
    <n v="18199.82"/>
    <s v="Nov"/>
    <n v="2024"/>
    <n v="11"/>
  </r>
  <r>
    <s v="ORD-00764"/>
    <x v="220"/>
    <x v="1"/>
    <x v="1"/>
    <x v="2"/>
    <x v="4"/>
    <x v="0"/>
    <x v="0"/>
    <n v="2"/>
    <n v="66242"/>
    <n v="132484"/>
    <n v="0"/>
    <n v="0"/>
    <n v="132484"/>
    <n v="75033.77"/>
    <n v="57450.229999999996"/>
    <s v="Nov"/>
    <n v="2024"/>
    <n v="11"/>
  </r>
  <r>
    <s v="ORD-01083"/>
    <x v="221"/>
    <x v="6"/>
    <x v="1"/>
    <x v="2"/>
    <x v="4"/>
    <x v="0"/>
    <x v="4"/>
    <n v="1"/>
    <n v="29100"/>
    <n v="29100"/>
    <n v="2910"/>
    <n v="0.1"/>
    <n v="26190"/>
    <n v="18968.439999999999"/>
    <n v="7221.5600000000013"/>
    <s v="Nov"/>
    <n v="2024"/>
    <n v="11"/>
  </r>
  <r>
    <s v="ORD-00368"/>
    <x v="222"/>
    <x v="1"/>
    <x v="1"/>
    <x v="1"/>
    <x v="0"/>
    <x v="0"/>
    <x v="5"/>
    <n v="2"/>
    <n v="69956"/>
    <n v="139912"/>
    <n v="13991.2"/>
    <n v="0.1"/>
    <n v="125920.8"/>
    <n v="93308.54"/>
    <n v="32612.260000000009"/>
    <s v="Dec"/>
    <n v="2024"/>
    <n v="12"/>
  </r>
  <r>
    <s v="ORD-00653"/>
    <x v="223"/>
    <x v="8"/>
    <x v="2"/>
    <x v="1"/>
    <x v="4"/>
    <x v="1"/>
    <x v="5"/>
    <n v="2"/>
    <n v="39602"/>
    <n v="79204"/>
    <n v="7920.4"/>
    <n v="0.1"/>
    <n v="71283.600000000006"/>
    <n v="48457.56"/>
    <n v="22826.040000000008"/>
    <s v="Dec"/>
    <n v="2024"/>
    <n v="12"/>
  </r>
  <r>
    <s v="ORD-00210"/>
    <x v="224"/>
    <x v="8"/>
    <x v="2"/>
    <x v="2"/>
    <x v="4"/>
    <x v="0"/>
    <x v="5"/>
    <n v="3"/>
    <n v="39003"/>
    <n v="117009"/>
    <n v="11700.9"/>
    <n v="0.1"/>
    <n v="105308.1"/>
    <n v="73547.759999999995"/>
    <n v="31760.340000000011"/>
    <s v="Dec"/>
    <n v="2024"/>
    <n v="12"/>
  </r>
  <r>
    <s v="ORD-00065"/>
    <x v="224"/>
    <x v="1"/>
    <x v="1"/>
    <x v="3"/>
    <x v="1"/>
    <x v="1"/>
    <x v="5"/>
    <n v="2"/>
    <n v="65854"/>
    <n v="131708"/>
    <n v="19756.2"/>
    <n v="0.15"/>
    <n v="111951.8"/>
    <n v="68216.710000000006"/>
    <n v="43735.09"/>
    <s v="Dec"/>
    <n v="2024"/>
    <n v="12"/>
  </r>
  <r>
    <s v="ORD-00178"/>
    <x v="224"/>
    <x v="9"/>
    <x v="0"/>
    <x v="1"/>
    <x v="2"/>
    <x v="0"/>
    <x v="5"/>
    <n v="3"/>
    <n v="48194"/>
    <n v="144582"/>
    <n v="28916.400000000001"/>
    <n v="0.2"/>
    <n v="115665.60000000001"/>
    <n v="84478.1"/>
    <n v="31187.5"/>
    <s v="Dec"/>
    <n v="2024"/>
    <n v="12"/>
  </r>
  <r>
    <s v="ORD-01068"/>
    <x v="225"/>
    <x v="9"/>
    <x v="0"/>
    <x v="0"/>
    <x v="2"/>
    <x v="1"/>
    <x v="5"/>
    <n v="2"/>
    <n v="43309"/>
    <n v="86618"/>
    <n v="4330.8999999999996"/>
    <n v="0.05"/>
    <n v="82287.100000000006"/>
    <n v="47243.040000000001"/>
    <n v="35044.060000000005"/>
    <s v="Dec"/>
    <n v="2024"/>
    <n v="12"/>
  </r>
  <r>
    <s v="ORD-00457"/>
    <x v="225"/>
    <x v="3"/>
    <x v="0"/>
    <x v="2"/>
    <x v="4"/>
    <x v="0"/>
    <x v="0"/>
    <n v="1"/>
    <n v="12759"/>
    <n v="12759"/>
    <n v="0"/>
    <n v="0"/>
    <n v="12759"/>
    <n v="7255.89"/>
    <n v="5503.11"/>
    <s v="Dec"/>
    <n v="2024"/>
    <n v="12"/>
  </r>
  <r>
    <s v="ORD-01135"/>
    <x v="226"/>
    <x v="1"/>
    <x v="1"/>
    <x v="0"/>
    <x v="2"/>
    <x v="1"/>
    <x v="5"/>
    <n v="2"/>
    <n v="61760"/>
    <n v="123520"/>
    <n v="24704"/>
    <n v="0.2"/>
    <n v="98816"/>
    <n v="62516.55"/>
    <n v="36299.449999999997"/>
    <s v="Dec"/>
    <n v="2024"/>
    <n v="12"/>
  </r>
  <r>
    <s v="ORD-00355"/>
    <x v="227"/>
    <x v="9"/>
    <x v="0"/>
    <x v="1"/>
    <x v="0"/>
    <x v="1"/>
    <x v="5"/>
    <n v="1"/>
    <n v="48291"/>
    <n v="48291"/>
    <n v="2414.5500000000002"/>
    <n v="0.05"/>
    <n v="45876.45"/>
    <n v="29479.48"/>
    <n v="16396.969999999998"/>
    <s v="Dec"/>
    <n v="2024"/>
    <n v="12"/>
  </r>
  <r>
    <s v="ORD-01006"/>
    <x v="228"/>
    <x v="0"/>
    <x v="0"/>
    <x v="1"/>
    <x v="4"/>
    <x v="0"/>
    <x v="0"/>
    <n v="2"/>
    <n v="15356"/>
    <n v="30712"/>
    <n v="0"/>
    <n v="0"/>
    <n v="30712"/>
    <n v="19338.23"/>
    <n v="11373.77"/>
    <s v="Dec"/>
    <n v="2024"/>
    <n v="12"/>
  </r>
  <r>
    <s v="ORD-00900"/>
    <x v="228"/>
    <x v="6"/>
    <x v="1"/>
    <x v="1"/>
    <x v="2"/>
    <x v="0"/>
    <x v="0"/>
    <n v="2"/>
    <n v="31138"/>
    <n v="62276"/>
    <n v="0"/>
    <n v="0"/>
    <n v="62276"/>
    <n v="32959.83"/>
    <n v="29316.17"/>
    <s v="Dec"/>
    <n v="2024"/>
    <n v="12"/>
  </r>
  <r>
    <s v="ORD-00011"/>
    <x v="229"/>
    <x v="4"/>
    <x v="2"/>
    <x v="1"/>
    <x v="4"/>
    <x v="0"/>
    <x v="5"/>
    <n v="4"/>
    <n v="26872"/>
    <n v="107488"/>
    <n v="10748.8"/>
    <n v="0.1"/>
    <n v="96739.199999999997"/>
    <n v="70267.55"/>
    <n v="26471.649999999994"/>
    <s v="Dec"/>
    <n v="2024"/>
    <n v="12"/>
  </r>
  <r>
    <s v="ORD-00640"/>
    <x v="230"/>
    <x v="8"/>
    <x v="2"/>
    <x v="1"/>
    <x v="2"/>
    <x v="0"/>
    <x v="0"/>
    <n v="2"/>
    <n v="35592"/>
    <n v="71184"/>
    <n v="10677.6"/>
    <n v="0.15"/>
    <n v="60506.400000000001"/>
    <n v="46842.21"/>
    <n v="13664.190000000002"/>
    <s v="Dec"/>
    <n v="2024"/>
    <n v="12"/>
  </r>
  <r>
    <s v="ORD-00836"/>
    <x v="230"/>
    <x v="1"/>
    <x v="1"/>
    <x v="1"/>
    <x v="4"/>
    <x v="0"/>
    <x v="0"/>
    <n v="2"/>
    <n v="63984"/>
    <n v="127968"/>
    <n v="0"/>
    <n v="0"/>
    <n v="127968"/>
    <n v="64453.75"/>
    <n v="63514.25"/>
    <s v="Dec"/>
    <n v="2024"/>
    <n v="12"/>
  </r>
  <r>
    <s v="ORD-00185"/>
    <x v="230"/>
    <x v="5"/>
    <x v="2"/>
    <x v="1"/>
    <x v="0"/>
    <x v="1"/>
    <x v="0"/>
    <n v="2"/>
    <n v="18230"/>
    <n v="36460"/>
    <n v="0"/>
    <n v="0"/>
    <n v="36460"/>
    <n v="23033.8"/>
    <n v="13426.2"/>
    <s v="Dec"/>
    <n v="2024"/>
    <n v="12"/>
  </r>
  <r>
    <s v="ORD-00879"/>
    <x v="231"/>
    <x v="7"/>
    <x v="2"/>
    <x v="1"/>
    <x v="4"/>
    <x v="1"/>
    <x v="5"/>
    <n v="2"/>
    <n v="51613"/>
    <n v="103226"/>
    <n v="5161.3"/>
    <n v="0.05"/>
    <n v="98064.7"/>
    <n v="50772.92"/>
    <n v="47291.78"/>
    <s v="Dec"/>
    <n v="2024"/>
    <n v="12"/>
  </r>
  <r>
    <s v="ORD-00478"/>
    <x v="232"/>
    <x v="1"/>
    <x v="1"/>
    <x v="0"/>
    <x v="2"/>
    <x v="1"/>
    <x v="5"/>
    <n v="1"/>
    <n v="60213"/>
    <n v="60213"/>
    <n v="9031.9500000000007"/>
    <n v="0.15"/>
    <n v="51181.05"/>
    <n v="39375.64"/>
    <n v="11805.410000000003"/>
    <s v="Dec"/>
    <n v="2024"/>
    <n v="12"/>
  </r>
  <r>
    <s v="ORD-00649"/>
    <x v="233"/>
    <x v="3"/>
    <x v="0"/>
    <x v="2"/>
    <x v="4"/>
    <x v="1"/>
    <x v="5"/>
    <n v="1"/>
    <n v="12898"/>
    <n v="12898"/>
    <n v="1934.7"/>
    <n v="0.15"/>
    <n v="10963.3"/>
    <n v="6248.95"/>
    <n v="4714.3499999999995"/>
    <s v="Dec"/>
    <n v="2024"/>
    <n v="12"/>
  </r>
  <r>
    <s v="ORD-00710"/>
    <x v="233"/>
    <x v="4"/>
    <x v="2"/>
    <x v="1"/>
    <x v="4"/>
    <x v="1"/>
    <x v="5"/>
    <n v="1"/>
    <n v="23919"/>
    <n v="23919"/>
    <n v="2391.9"/>
    <n v="0.1"/>
    <n v="21527.1"/>
    <n v="12693.78"/>
    <n v="8833.3199999999979"/>
    <s v="Dec"/>
    <n v="2024"/>
    <n v="12"/>
  </r>
  <r>
    <s v="ORD-00848"/>
    <x v="234"/>
    <x v="4"/>
    <x v="2"/>
    <x v="0"/>
    <x v="3"/>
    <x v="1"/>
    <x v="5"/>
    <n v="2"/>
    <n v="26943"/>
    <n v="53886"/>
    <n v="8082.9"/>
    <n v="0.15"/>
    <n v="45803.1"/>
    <n v="35156.870000000003"/>
    <n v="10646.229999999996"/>
    <s v="Dec"/>
    <n v="2024"/>
    <n v="12"/>
  </r>
  <r>
    <s v="ORD-00357"/>
    <x v="235"/>
    <x v="9"/>
    <x v="0"/>
    <x v="0"/>
    <x v="3"/>
    <x v="1"/>
    <x v="5"/>
    <n v="1"/>
    <n v="46662"/>
    <n v="46662"/>
    <n v="4666.2"/>
    <n v="0.1"/>
    <n v="41995.8"/>
    <n v="27894.73"/>
    <n v="14101.070000000003"/>
    <s v="Dec"/>
    <n v="2024"/>
    <n v="12"/>
  </r>
  <r>
    <s v="ORD-00502"/>
    <x v="236"/>
    <x v="9"/>
    <x v="0"/>
    <x v="1"/>
    <x v="2"/>
    <x v="1"/>
    <x v="5"/>
    <n v="2"/>
    <n v="43882"/>
    <n v="87764"/>
    <n v="13164.6"/>
    <n v="0.15"/>
    <n v="74599.399999999994"/>
    <n v="57766.65"/>
    <n v="16832.749999999993"/>
    <s v="Dec"/>
    <n v="2024"/>
    <n v="12"/>
  </r>
  <r>
    <s v="ORD-00623"/>
    <x v="237"/>
    <x v="0"/>
    <x v="0"/>
    <x v="1"/>
    <x v="4"/>
    <x v="1"/>
    <x v="0"/>
    <n v="3"/>
    <n v="14527"/>
    <n v="43581"/>
    <n v="0"/>
    <n v="0"/>
    <n v="43581"/>
    <n v="25021.65"/>
    <n v="18559.349999999999"/>
    <s v="Dec"/>
    <n v="2024"/>
    <n v="12"/>
  </r>
  <r>
    <s v="ORD-00676"/>
    <x v="238"/>
    <x v="6"/>
    <x v="1"/>
    <x v="0"/>
    <x v="4"/>
    <x v="1"/>
    <x v="5"/>
    <n v="2"/>
    <n v="31761"/>
    <n v="63522"/>
    <n v="6352.2"/>
    <n v="0.1"/>
    <n v="57169.8"/>
    <n v="35634.06"/>
    <n v="21535.740000000005"/>
    <s v="Dec"/>
    <n v="2024"/>
    <n v="12"/>
  </r>
  <r>
    <s v="ORD-00838"/>
    <x v="238"/>
    <x v="2"/>
    <x v="2"/>
    <x v="0"/>
    <x v="4"/>
    <x v="0"/>
    <x v="5"/>
    <n v="1"/>
    <n v="41206"/>
    <n v="41206"/>
    <n v="4120.6000000000004"/>
    <n v="0.1"/>
    <n v="37085.4"/>
    <n v="20722.77"/>
    <n v="16362.630000000001"/>
    <s v="Dec"/>
    <n v="2024"/>
    <n v="12"/>
  </r>
  <r>
    <s v="ORD-01106"/>
    <x v="239"/>
    <x v="1"/>
    <x v="1"/>
    <x v="2"/>
    <x v="3"/>
    <x v="0"/>
    <x v="5"/>
    <n v="3"/>
    <n v="66862"/>
    <n v="200586"/>
    <n v="30087.9"/>
    <n v="0.15"/>
    <n v="170498.1"/>
    <n v="118939.99"/>
    <n v="51558.11"/>
    <s v="Dec"/>
    <n v="2024"/>
    <n v="12"/>
  </r>
  <r>
    <s v="ORD-01041"/>
    <x v="240"/>
    <x v="8"/>
    <x v="2"/>
    <x v="3"/>
    <x v="4"/>
    <x v="0"/>
    <x v="5"/>
    <n v="1"/>
    <n v="36164"/>
    <n v="36164"/>
    <n v="7232.8"/>
    <n v="0.2"/>
    <n v="28931.200000000001"/>
    <n v="17505.400000000001"/>
    <n v="11425.8"/>
    <s v="Dec"/>
    <n v="2024"/>
    <n v="12"/>
  </r>
  <r>
    <s v="ORD-00667"/>
    <x v="240"/>
    <x v="0"/>
    <x v="0"/>
    <x v="1"/>
    <x v="2"/>
    <x v="1"/>
    <x v="5"/>
    <n v="1"/>
    <n v="14964"/>
    <n v="14964"/>
    <n v="2244.6"/>
    <n v="0.15"/>
    <n v="12719.4"/>
    <n v="8094.81"/>
    <n v="4624.5899999999992"/>
    <s v="Dec"/>
    <n v="2024"/>
    <n v="12"/>
  </r>
  <r>
    <s v="ORD-00319"/>
    <x v="241"/>
    <x v="1"/>
    <x v="1"/>
    <x v="0"/>
    <x v="2"/>
    <x v="1"/>
    <x v="0"/>
    <n v="1"/>
    <n v="61125"/>
    <n v="61125"/>
    <n v="6112.5"/>
    <n v="0.1"/>
    <n v="55012.5"/>
    <n v="39890.29"/>
    <n v="15122.21"/>
    <s v="Jan"/>
    <n v="2025"/>
    <n v="1"/>
  </r>
  <r>
    <s v="ORD-00864"/>
    <x v="242"/>
    <x v="8"/>
    <x v="2"/>
    <x v="3"/>
    <x v="3"/>
    <x v="0"/>
    <x v="0"/>
    <n v="2"/>
    <n v="35232"/>
    <n v="70464"/>
    <n v="0"/>
    <n v="0"/>
    <n v="70464"/>
    <n v="37770.589999999997"/>
    <n v="32693.410000000003"/>
    <s v="Jan"/>
    <n v="2025"/>
    <n v="1"/>
  </r>
  <r>
    <s v="ORD-01092"/>
    <x v="243"/>
    <x v="3"/>
    <x v="0"/>
    <x v="3"/>
    <x v="0"/>
    <x v="1"/>
    <x v="0"/>
    <n v="3"/>
    <n v="12848"/>
    <n v="38544"/>
    <n v="0"/>
    <n v="0"/>
    <n v="38544"/>
    <n v="24909.63"/>
    <n v="13634.369999999999"/>
    <s v="Jan"/>
    <n v="2025"/>
    <n v="1"/>
  </r>
  <r>
    <s v="ORD-00505"/>
    <x v="244"/>
    <x v="0"/>
    <x v="0"/>
    <x v="0"/>
    <x v="1"/>
    <x v="0"/>
    <x v="0"/>
    <n v="2"/>
    <n v="14279"/>
    <n v="28558"/>
    <n v="0"/>
    <n v="0"/>
    <n v="28558"/>
    <n v="17971.09"/>
    <n v="10586.91"/>
    <s v="Jan"/>
    <n v="2025"/>
    <n v="1"/>
  </r>
  <r>
    <s v="ORD-00534"/>
    <x v="245"/>
    <x v="1"/>
    <x v="1"/>
    <x v="1"/>
    <x v="1"/>
    <x v="1"/>
    <x v="0"/>
    <n v="1"/>
    <n v="66438"/>
    <n v="66438"/>
    <n v="0"/>
    <n v="0"/>
    <n v="66438"/>
    <n v="33378.61"/>
    <n v="33059.39"/>
    <s v="Jan"/>
    <n v="2025"/>
    <n v="1"/>
  </r>
  <r>
    <s v="ORD-01070"/>
    <x v="245"/>
    <x v="0"/>
    <x v="0"/>
    <x v="1"/>
    <x v="4"/>
    <x v="1"/>
    <x v="0"/>
    <n v="1"/>
    <n v="15386"/>
    <n v="15386"/>
    <n v="0"/>
    <n v="0"/>
    <n v="15386"/>
    <n v="9959.65"/>
    <n v="5426.35"/>
    <s v="Jan"/>
    <n v="2025"/>
    <n v="1"/>
  </r>
  <r>
    <s v="ORD-01139"/>
    <x v="246"/>
    <x v="8"/>
    <x v="2"/>
    <x v="0"/>
    <x v="4"/>
    <x v="1"/>
    <x v="0"/>
    <n v="1"/>
    <n v="39569"/>
    <n v="39569"/>
    <n v="0"/>
    <n v="0"/>
    <n v="39569"/>
    <n v="19110.48"/>
    <n v="20458.52"/>
    <s v="Jan"/>
    <n v="2025"/>
    <n v="1"/>
  </r>
  <r>
    <s v="ORD-00765"/>
    <x v="246"/>
    <x v="4"/>
    <x v="2"/>
    <x v="3"/>
    <x v="4"/>
    <x v="1"/>
    <x v="0"/>
    <n v="1"/>
    <n v="25303"/>
    <n v="25303"/>
    <n v="0"/>
    <n v="0"/>
    <n v="25303"/>
    <n v="12777.61"/>
    <n v="12525.39"/>
    <s v="Jan"/>
    <n v="2025"/>
    <n v="1"/>
  </r>
  <r>
    <s v="ORD-01131"/>
    <x v="247"/>
    <x v="6"/>
    <x v="1"/>
    <x v="0"/>
    <x v="4"/>
    <x v="1"/>
    <x v="0"/>
    <n v="3"/>
    <n v="30799"/>
    <n v="92397"/>
    <n v="0"/>
    <n v="0"/>
    <n v="92397"/>
    <n v="60429.59"/>
    <n v="31967.410000000003"/>
    <s v="Jan"/>
    <n v="2025"/>
    <n v="1"/>
  </r>
  <r>
    <s v="ORD-00084"/>
    <x v="248"/>
    <x v="6"/>
    <x v="1"/>
    <x v="3"/>
    <x v="2"/>
    <x v="1"/>
    <x v="0"/>
    <n v="2"/>
    <n v="31412"/>
    <n v="62824"/>
    <n v="0"/>
    <n v="0"/>
    <n v="62824"/>
    <n v="37546.160000000003"/>
    <n v="25277.839999999997"/>
    <s v="Jan"/>
    <n v="2025"/>
    <n v="1"/>
  </r>
  <r>
    <s v="ORD-00375"/>
    <x v="249"/>
    <x v="9"/>
    <x v="0"/>
    <x v="0"/>
    <x v="0"/>
    <x v="0"/>
    <x v="0"/>
    <n v="1"/>
    <n v="42348"/>
    <n v="42348"/>
    <n v="0"/>
    <n v="0"/>
    <n v="42348"/>
    <n v="26611.29"/>
    <n v="15736.71"/>
    <s v="Jan"/>
    <n v="2025"/>
    <n v="1"/>
  </r>
  <r>
    <s v="ORD-00072"/>
    <x v="249"/>
    <x v="2"/>
    <x v="2"/>
    <x v="1"/>
    <x v="4"/>
    <x v="0"/>
    <x v="0"/>
    <n v="3"/>
    <n v="38780"/>
    <n v="116340"/>
    <n v="0"/>
    <n v="0"/>
    <n v="116340"/>
    <n v="78363.37"/>
    <n v="37976.630000000005"/>
    <s v="Jan"/>
    <n v="2025"/>
    <n v="1"/>
  </r>
  <r>
    <s v="ORD-00150"/>
    <x v="250"/>
    <x v="8"/>
    <x v="2"/>
    <x v="2"/>
    <x v="0"/>
    <x v="1"/>
    <x v="0"/>
    <n v="3"/>
    <n v="38963"/>
    <n v="116889"/>
    <n v="0"/>
    <n v="0"/>
    <n v="116889"/>
    <n v="75882.5"/>
    <n v="41006.5"/>
    <s v="Jan"/>
    <n v="2025"/>
    <n v="1"/>
  </r>
  <r>
    <s v="ORD-00546"/>
    <x v="250"/>
    <x v="2"/>
    <x v="2"/>
    <x v="0"/>
    <x v="0"/>
    <x v="0"/>
    <x v="0"/>
    <n v="1"/>
    <n v="43479"/>
    <n v="43479"/>
    <n v="0"/>
    <n v="0"/>
    <n v="43479"/>
    <n v="24903.119999999999"/>
    <n v="18575.88"/>
    <s v="Jan"/>
    <n v="2025"/>
    <n v="1"/>
  </r>
  <r>
    <s v="ORD-00013"/>
    <x v="251"/>
    <x v="3"/>
    <x v="0"/>
    <x v="1"/>
    <x v="2"/>
    <x v="0"/>
    <x v="0"/>
    <n v="1"/>
    <n v="11473"/>
    <n v="11473"/>
    <n v="0"/>
    <n v="0"/>
    <n v="11473"/>
    <n v="7002.02"/>
    <n v="4470.9799999999996"/>
    <s v="Jan"/>
    <n v="2025"/>
    <n v="1"/>
  </r>
  <r>
    <s v="ORD-00876"/>
    <x v="251"/>
    <x v="7"/>
    <x v="2"/>
    <x v="0"/>
    <x v="2"/>
    <x v="0"/>
    <x v="0"/>
    <n v="1"/>
    <n v="48405"/>
    <n v="48405"/>
    <n v="7260.75"/>
    <n v="0.15"/>
    <n v="41144.25"/>
    <n v="26873.86"/>
    <n v="14270.39"/>
    <s v="Jan"/>
    <n v="2025"/>
    <n v="1"/>
  </r>
  <r>
    <s v="ORD-00477"/>
    <x v="252"/>
    <x v="7"/>
    <x v="2"/>
    <x v="1"/>
    <x v="3"/>
    <x v="0"/>
    <x v="0"/>
    <n v="1"/>
    <n v="53848"/>
    <n v="53848"/>
    <n v="0"/>
    <n v="0"/>
    <n v="53848"/>
    <n v="34644.620000000003"/>
    <n v="19203.379999999997"/>
    <s v="Jan"/>
    <n v="2025"/>
    <n v="1"/>
  </r>
  <r>
    <s v="ORD-00036"/>
    <x v="253"/>
    <x v="6"/>
    <x v="1"/>
    <x v="3"/>
    <x v="0"/>
    <x v="0"/>
    <x v="0"/>
    <n v="3"/>
    <n v="31144"/>
    <n v="93432"/>
    <n v="14014.8"/>
    <n v="0.15"/>
    <n v="79417.2"/>
    <n v="52399.29"/>
    <n v="27017.909999999996"/>
    <s v="Jan"/>
    <n v="2025"/>
    <n v="1"/>
  </r>
  <r>
    <s v="ORD-00578"/>
    <x v="254"/>
    <x v="2"/>
    <x v="2"/>
    <x v="1"/>
    <x v="0"/>
    <x v="0"/>
    <x v="0"/>
    <n v="1"/>
    <n v="40619"/>
    <n v="40619"/>
    <n v="0"/>
    <n v="0"/>
    <n v="40619"/>
    <n v="19707.490000000002"/>
    <n v="20911.509999999998"/>
    <s v="Jan"/>
    <n v="2025"/>
    <n v="1"/>
  </r>
  <r>
    <s v="ORD-01136"/>
    <x v="254"/>
    <x v="0"/>
    <x v="0"/>
    <x v="2"/>
    <x v="4"/>
    <x v="1"/>
    <x v="0"/>
    <n v="2"/>
    <n v="15652"/>
    <n v="31304"/>
    <n v="0"/>
    <n v="0"/>
    <n v="31304"/>
    <n v="18364.18"/>
    <n v="12939.82"/>
    <s v="Jan"/>
    <n v="2025"/>
    <n v="1"/>
  </r>
  <r>
    <s v="ORD-00523"/>
    <x v="255"/>
    <x v="0"/>
    <x v="0"/>
    <x v="1"/>
    <x v="3"/>
    <x v="1"/>
    <x v="0"/>
    <n v="1"/>
    <n v="16105"/>
    <n v="16105"/>
    <n v="0"/>
    <n v="0"/>
    <n v="16105"/>
    <n v="9974.65"/>
    <n v="6130.35"/>
    <s v="Jan"/>
    <n v="2025"/>
    <n v="1"/>
  </r>
  <r>
    <s v="ORD-01082"/>
    <x v="256"/>
    <x v="4"/>
    <x v="2"/>
    <x v="2"/>
    <x v="4"/>
    <x v="0"/>
    <x v="0"/>
    <n v="1"/>
    <n v="25542"/>
    <n v="25542"/>
    <n v="0"/>
    <n v="0"/>
    <n v="25542"/>
    <n v="16173.82"/>
    <n v="9368.18"/>
    <s v="Jan"/>
    <n v="2025"/>
    <n v="1"/>
  </r>
  <r>
    <s v="ORD-00799"/>
    <x v="256"/>
    <x v="7"/>
    <x v="2"/>
    <x v="1"/>
    <x v="4"/>
    <x v="1"/>
    <x v="0"/>
    <n v="1"/>
    <n v="48971"/>
    <n v="48971"/>
    <n v="0"/>
    <n v="0"/>
    <n v="48971"/>
    <n v="28767.22"/>
    <n v="20203.78"/>
    <s v="Jan"/>
    <n v="2025"/>
    <n v="1"/>
  </r>
  <r>
    <s v="ORD-00081"/>
    <x v="257"/>
    <x v="7"/>
    <x v="2"/>
    <x v="0"/>
    <x v="4"/>
    <x v="0"/>
    <x v="0"/>
    <n v="3"/>
    <n v="51503"/>
    <n v="154509"/>
    <n v="0"/>
    <n v="0"/>
    <n v="154509"/>
    <n v="90810.99"/>
    <n v="63698.009999999995"/>
    <s v="Jan"/>
    <n v="2025"/>
    <n v="1"/>
  </r>
  <r>
    <s v="ORD-00110"/>
    <x v="258"/>
    <x v="9"/>
    <x v="0"/>
    <x v="0"/>
    <x v="4"/>
    <x v="0"/>
    <x v="0"/>
    <n v="2"/>
    <n v="45965"/>
    <n v="91930"/>
    <n v="0"/>
    <n v="0"/>
    <n v="91930"/>
    <n v="56558.6"/>
    <n v="35371.4"/>
    <s v="Jan"/>
    <n v="2025"/>
    <n v="1"/>
  </r>
  <r>
    <s v="ORD-00970"/>
    <x v="259"/>
    <x v="5"/>
    <x v="2"/>
    <x v="2"/>
    <x v="4"/>
    <x v="0"/>
    <x v="0"/>
    <n v="4"/>
    <n v="18901"/>
    <n v="75604"/>
    <n v="7560.4"/>
    <n v="0.1"/>
    <n v="68043.600000000006"/>
    <n v="48070.44"/>
    <n v="19973.160000000003"/>
    <s v="Jan"/>
    <n v="2025"/>
    <n v="1"/>
  </r>
  <r>
    <s v="ORD-00839"/>
    <x v="259"/>
    <x v="9"/>
    <x v="0"/>
    <x v="1"/>
    <x v="4"/>
    <x v="1"/>
    <x v="0"/>
    <n v="1"/>
    <n v="41556"/>
    <n v="41556"/>
    <n v="0"/>
    <n v="0"/>
    <n v="41556"/>
    <n v="23202.97"/>
    <n v="18353.03"/>
    <s v="Jan"/>
    <n v="2025"/>
    <n v="1"/>
  </r>
  <r>
    <s v="ORD-00421"/>
    <x v="259"/>
    <x v="9"/>
    <x v="0"/>
    <x v="3"/>
    <x v="0"/>
    <x v="0"/>
    <x v="0"/>
    <n v="4"/>
    <n v="47535"/>
    <n v="190140"/>
    <n v="0"/>
    <n v="0"/>
    <n v="190140"/>
    <n v="93155.73"/>
    <n v="96984.27"/>
    <s v="Jan"/>
    <n v="2025"/>
    <n v="1"/>
  </r>
  <r>
    <s v="ORD-00432"/>
    <x v="259"/>
    <x v="0"/>
    <x v="0"/>
    <x v="1"/>
    <x v="1"/>
    <x v="1"/>
    <x v="0"/>
    <n v="5"/>
    <n v="15740"/>
    <n v="78700"/>
    <n v="0"/>
    <n v="0"/>
    <n v="78700"/>
    <n v="37914.15"/>
    <n v="40785.85"/>
    <s v="Jan"/>
    <n v="2025"/>
    <n v="1"/>
  </r>
  <r>
    <s v="ORD-00380"/>
    <x v="260"/>
    <x v="3"/>
    <x v="0"/>
    <x v="1"/>
    <x v="1"/>
    <x v="0"/>
    <x v="0"/>
    <n v="5"/>
    <n v="11465"/>
    <n v="57325"/>
    <n v="0"/>
    <n v="0"/>
    <n v="57325"/>
    <n v="30446.9"/>
    <n v="26878.1"/>
    <s v="Jan"/>
    <n v="2025"/>
    <n v="1"/>
  </r>
  <r>
    <s v="ORD-00417"/>
    <x v="260"/>
    <x v="6"/>
    <x v="1"/>
    <x v="0"/>
    <x v="4"/>
    <x v="1"/>
    <x v="0"/>
    <n v="3"/>
    <n v="29053"/>
    <n v="87159"/>
    <n v="0"/>
    <n v="0"/>
    <n v="87159"/>
    <n v="51675.12"/>
    <n v="35483.879999999997"/>
    <s v="Jan"/>
    <n v="2025"/>
    <n v="1"/>
  </r>
  <r>
    <s v="ORD-00107"/>
    <x v="261"/>
    <x v="1"/>
    <x v="1"/>
    <x v="0"/>
    <x v="3"/>
    <x v="0"/>
    <x v="0"/>
    <n v="1"/>
    <n v="61749"/>
    <n v="61749"/>
    <n v="0"/>
    <n v="0"/>
    <n v="61749"/>
    <n v="39754.79"/>
    <n v="21994.21"/>
    <s v="Feb"/>
    <n v="2025"/>
    <n v="2"/>
  </r>
  <r>
    <s v="ORD-00441"/>
    <x v="261"/>
    <x v="8"/>
    <x v="2"/>
    <x v="0"/>
    <x v="2"/>
    <x v="0"/>
    <x v="0"/>
    <n v="2"/>
    <n v="37496"/>
    <n v="74992"/>
    <n v="3749.6"/>
    <n v="0.05"/>
    <n v="71242.399999999994"/>
    <n v="39055.75"/>
    <n v="32186.649999999994"/>
    <s v="Feb"/>
    <n v="2025"/>
    <n v="2"/>
  </r>
  <r>
    <s v="ORD-00215"/>
    <x v="261"/>
    <x v="0"/>
    <x v="0"/>
    <x v="1"/>
    <x v="4"/>
    <x v="0"/>
    <x v="1"/>
    <n v="2"/>
    <n v="14684"/>
    <n v="29368"/>
    <n v="2936.8"/>
    <n v="0.1"/>
    <n v="26431.200000000001"/>
    <n v="18011.18"/>
    <n v="8420.02"/>
    <s v="Feb"/>
    <n v="2025"/>
    <n v="2"/>
  </r>
  <r>
    <s v="ORD-01147"/>
    <x v="262"/>
    <x v="0"/>
    <x v="0"/>
    <x v="0"/>
    <x v="0"/>
    <x v="0"/>
    <x v="0"/>
    <n v="2"/>
    <n v="15651"/>
    <n v="31302"/>
    <n v="0"/>
    <n v="0"/>
    <n v="31302"/>
    <n v="19434.7"/>
    <n v="11867.3"/>
    <s v="Feb"/>
    <n v="2025"/>
    <n v="2"/>
  </r>
  <r>
    <s v="ORD-00285"/>
    <x v="263"/>
    <x v="4"/>
    <x v="2"/>
    <x v="0"/>
    <x v="4"/>
    <x v="0"/>
    <x v="1"/>
    <n v="1"/>
    <n v="25271"/>
    <n v="25271"/>
    <n v="1263.55"/>
    <n v="0.05"/>
    <n v="24007.45"/>
    <n v="16872.52"/>
    <n v="7134.93"/>
    <s v="Feb"/>
    <n v="2025"/>
    <n v="2"/>
  </r>
  <r>
    <s v="ORD-00157"/>
    <x v="264"/>
    <x v="3"/>
    <x v="0"/>
    <x v="0"/>
    <x v="4"/>
    <x v="1"/>
    <x v="1"/>
    <n v="1"/>
    <n v="12397"/>
    <n v="12397"/>
    <n v="1239.7"/>
    <n v="0.1"/>
    <n v="11157.3"/>
    <n v="8031.62"/>
    <n v="3125.6799999999994"/>
    <s v="Feb"/>
    <n v="2025"/>
    <n v="2"/>
  </r>
  <r>
    <s v="ORD-01079"/>
    <x v="264"/>
    <x v="4"/>
    <x v="2"/>
    <x v="1"/>
    <x v="4"/>
    <x v="1"/>
    <x v="1"/>
    <n v="2"/>
    <n v="24731"/>
    <n v="49462"/>
    <n v="4946.2"/>
    <n v="0.1"/>
    <n v="44515.8"/>
    <n v="29167.58"/>
    <n v="15348.220000000001"/>
    <s v="Feb"/>
    <n v="2025"/>
    <n v="2"/>
  </r>
  <r>
    <s v="ORD-00581"/>
    <x v="264"/>
    <x v="0"/>
    <x v="0"/>
    <x v="1"/>
    <x v="4"/>
    <x v="1"/>
    <x v="0"/>
    <n v="4"/>
    <n v="14007"/>
    <n v="56028"/>
    <n v="0"/>
    <n v="0"/>
    <n v="56028"/>
    <n v="31491.14"/>
    <n v="24536.86"/>
    <s v="Feb"/>
    <n v="2025"/>
    <n v="2"/>
  </r>
  <r>
    <s v="ORD-00217"/>
    <x v="264"/>
    <x v="4"/>
    <x v="2"/>
    <x v="2"/>
    <x v="4"/>
    <x v="1"/>
    <x v="1"/>
    <n v="1"/>
    <n v="23224"/>
    <n v="23224"/>
    <n v="2322.4"/>
    <n v="0.1"/>
    <n v="20901.599999999999"/>
    <n v="15453.76"/>
    <n v="5447.8399999999983"/>
    <s v="Feb"/>
    <n v="2025"/>
    <n v="2"/>
  </r>
  <r>
    <s v="ORD-00054"/>
    <x v="265"/>
    <x v="0"/>
    <x v="0"/>
    <x v="0"/>
    <x v="1"/>
    <x v="1"/>
    <x v="1"/>
    <n v="1"/>
    <n v="16024"/>
    <n v="16024"/>
    <n v="3204.8"/>
    <n v="0.2"/>
    <n v="12819.2"/>
    <n v="10390.07"/>
    <n v="2429.130000000001"/>
    <s v="Feb"/>
    <n v="2025"/>
    <n v="2"/>
  </r>
  <r>
    <s v="ORD-00781"/>
    <x v="265"/>
    <x v="3"/>
    <x v="0"/>
    <x v="3"/>
    <x v="4"/>
    <x v="1"/>
    <x v="1"/>
    <n v="3"/>
    <n v="12833"/>
    <n v="38499"/>
    <n v="1924.95"/>
    <n v="0.05"/>
    <n v="36574.050000000003"/>
    <n v="24633.49"/>
    <n v="11940.560000000001"/>
    <s v="Feb"/>
    <n v="2025"/>
    <n v="2"/>
  </r>
  <r>
    <s v="ORD-01095"/>
    <x v="265"/>
    <x v="2"/>
    <x v="2"/>
    <x v="0"/>
    <x v="3"/>
    <x v="0"/>
    <x v="1"/>
    <n v="3"/>
    <n v="44193"/>
    <n v="132579"/>
    <n v="13257.9"/>
    <n v="0.1"/>
    <n v="119321.1"/>
    <n v="70997.289999999994"/>
    <n v="48323.810000000012"/>
    <s v="Feb"/>
    <n v="2025"/>
    <n v="2"/>
  </r>
  <r>
    <s v="ORD-00172"/>
    <x v="266"/>
    <x v="6"/>
    <x v="1"/>
    <x v="3"/>
    <x v="4"/>
    <x v="1"/>
    <x v="1"/>
    <n v="2"/>
    <n v="30375"/>
    <n v="60750"/>
    <n v="9112.5"/>
    <n v="0.15"/>
    <n v="51637.5"/>
    <n v="39015.15"/>
    <n v="12622.349999999999"/>
    <s v="Feb"/>
    <n v="2025"/>
    <n v="2"/>
  </r>
  <r>
    <s v="ORD-00198"/>
    <x v="267"/>
    <x v="7"/>
    <x v="2"/>
    <x v="0"/>
    <x v="0"/>
    <x v="1"/>
    <x v="1"/>
    <n v="2"/>
    <n v="50274"/>
    <n v="100548"/>
    <n v="15082.2"/>
    <n v="0.15"/>
    <n v="85465.8"/>
    <n v="56902.04"/>
    <n v="28563.760000000002"/>
    <s v="Feb"/>
    <n v="2025"/>
    <n v="2"/>
  </r>
  <r>
    <s v="ORD-00547"/>
    <x v="268"/>
    <x v="9"/>
    <x v="0"/>
    <x v="3"/>
    <x v="4"/>
    <x v="1"/>
    <x v="1"/>
    <n v="1"/>
    <n v="46246"/>
    <n v="46246"/>
    <n v="9249.2000000000007"/>
    <n v="0.2"/>
    <n v="36996.800000000003"/>
    <n v="30363.49"/>
    <n v="6633.3100000000013"/>
    <s v="Feb"/>
    <n v="2025"/>
    <n v="2"/>
  </r>
  <r>
    <s v="ORD-01037"/>
    <x v="269"/>
    <x v="2"/>
    <x v="2"/>
    <x v="3"/>
    <x v="2"/>
    <x v="1"/>
    <x v="1"/>
    <n v="1"/>
    <n v="40739"/>
    <n v="40739"/>
    <n v="2036.95"/>
    <n v="0.05"/>
    <n v="38702.050000000003"/>
    <n v="24351.81"/>
    <n v="14350.240000000002"/>
    <s v="Feb"/>
    <n v="2025"/>
    <n v="2"/>
  </r>
  <r>
    <s v="ORD-00096"/>
    <x v="270"/>
    <x v="0"/>
    <x v="0"/>
    <x v="3"/>
    <x v="4"/>
    <x v="0"/>
    <x v="0"/>
    <n v="1"/>
    <n v="14340"/>
    <n v="14340"/>
    <n v="717"/>
    <n v="0.05"/>
    <n v="13623"/>
    <n v="9322.77"/>
    <n v="4300.2299999999996"/>
    <s v="Feb"/>
    <n v="2025"/>
    <n v="2"/>
  </r>
  <r>
    <s v="ORD-00276"/>
    <x v="271"/>
    <x v="8"/>
    <x v="2"/>
    <x v="3"/>
    <x v="1"/>
    <x v="1"/>
    <x v="1"/>
    <n v="2"/>
    <n v="37069"/>
    <n v="74138"/>
    <n v="7413.8"/>
    <n v="0.1"/>
    <n v="66724.2"/>
    <n v="47366.48"/>
    <n v="19357.719999999994"/>
    <s v="Feb"/>
    <n v="2025"/>
    <n v="2"/>
  </r>
  <r>
    <s v="ORD-00396"/>
    <x v="272"/>
    <x v="6"/>
    <x v="1"/>
    <x v="0"/>
    <x v="3"/>
    <x v="0"/>
    <x v="1"/>
    <n v="2"/>
    <n v="28658"/>
    <n v="57316"/>
    <n v="8597.4"/>
    <n v="0.15"/>
    <n v="48718.6"/>
    <n v="38411.1"/>
    <n v="10307.5"/>
    <s v="Feb"/>
    <n v="2025"/>
    <n v="2"/>
  </r>
  <r>
    <s v="ORD-01118"/>
    <x v="273"/>
    <x v="1"/>
    <x v="1"/>
    <x v="2"/>
    <x v="3"/>
    <x v="1"/>
    <x v="0"/>
    <n v="4"/>
    <n v="60253"/>
    <n v="241012"/>
    <n v="0"/>
    <n v="0"/>
    <n v="241012"/>
    <n v="149225.1"/>
    <n v="91786.9"/>
    <s v="Feb"/>
    <n v="2025"/>
    <n v="2"/>
  </r>
  <r>
    <s v="ORD-00878"/>
    <x v="274"/>
    <x v="6"/>
    <x v="1"/>
    <x v="3"/>
    <x v="0"/>
    <x v="1"/>
    <x v="1"/>
    <n v="2"/>
    <n v="28465"/>
    <n v="56930"/>
    <n v="5693"/>
    <n v="0.1"/>
    <n v="51237"/>
    <n v="27451.97"/>
    <n v="23785.03"/>
    <s v="Feb"/>
    <n v="2025"/>
    <n v="2"/>
  </r>
  <r>
    <s v="ORD-00392"/>
    <x v="274"/>
    <x v="4"/>
    <x v="2"/>
    <x v="3"/>
    <x v="4"/>
    <x v="1"/>
    <x v="1"/>
    <n v="3"/>
    <n v="25539"/>
    <n v="76617"/>
    <n v="3830.85"/>
    <n v="0.05"/>
    <n v="72786.149999999994"/>
    <n v="37857.01"/>
    <n v="34929.139999999992"/>
    <s v="Feb"/>
    <n v="2025"/>
    <n v="2"/>
  </r>
  <r>
    <s v="ORD-01173"/>
    <x v="275"/>
    <x v="2"/>
    <x v="2"/>
    <x v="3"/>
    <x v="3"/>
    <x v="0"/>
    <x v="1"/>
    <n v="3"/>
    <n v="42697"/>
    <n v="128091"/>
    <n v="12809.1"/>
    <n v="0.1"/>
    <n v="115281.9"/>
    <n v="82569.91"/>
    <n v="32711.989999999991"/>
    <s v="Feb"/>
    <n v="2025"/>
    <n v="2"/>
  </r>
  <r>
    <s v="ORD-00082"/>
    <x v="275"/>
    <x v="8"/>
    <x v="2"/>
    <x v="1"/>
    <x v="0"/>
    <x v="1"/>
    <x v="0"/>
    <n v="1"/>
    <n v="37197"/>
    <n v="37197"/>
    <n v="0"/>
    <n v="0"/>
    <n v="37197"/>
    <n v="18962.2"/>
    <n v="18234.8"/>
    <s v="Feb"/>
    <n v="2025"/>
    <n v="2"/>
  </r>
  <r>
    <s v="ORD-00859"/>
    <x v="276"/>
    <x v="2"/>
    <x v="2"/>
    <x v="1"/>
    <x v="4"/>
    <x v="1"/>
    <x v="0"/>
    <n v="3"/>
    <n v="39265"/>
    <n v="117795"/>
    <n v="0"/>
    <n v="0"/>
    <n v="117795"/>
    <n v="69077.77"/>
    <n v="48717.229999999996"/>
    <s v="Feb"/>
    <n v="2025"/>
    <n v="2"/>
  </r>
  <r>
    <s v="ORD-00804"/>
    <x v="276"/>
    <x v="9"/>
    <x v="0"/>
    <x v="0"/>
    <x v="3"/>
    <x v="1"/>
    <x v="0"/>
    <n v="3"/>
    <n v="43108"/>
    <n v="129324"/>
    <n v="0"/>
    <n v="0"/>
    <n v="129324"/>
    <n v="75122.27"/>
    <n v="54201.729999999996"/>
    <s v="Feb"/>
    <n v="2025"/>
    <n v="2"/>
  </r>
  <r>
    <s v="ORD-00785"/>
    <x v="277"/>
    <x v="1"/>
    <x v="1"/>
    <x v="1"/>
    <x v="3"/>
    <x v="0"/>
    <x v="0"/>
    <n v="1"/>
    <n v="67055"/>
    <n v="67055"/>
    <n v="0"/>
    <n v="0"/>
    <n v="67055"/>
    <n v="37439.160000000003"/>
    <n v="29615.839999999997"/>
    <s v="Feb"/>
    <n v="2025"/>
    <n v="2"/>
  </r>
  <r>
    <s v="ORD-00700"/>
    <x v="278"/>
    <x v="1"/>
    <x v="1"/>
    <x v="1"/>
    <x v="2"/>
    <x v="1"/>
    <x v="1"/>
    <n v="1"/>
    <n v="61645"/>
    <n v="61645"/>
    <n v="6164.5"/>
    <n v="0.1"/>
    <n v="55480.5"/>
    <n v="36580.550000000003"/>
    <n v="18899.949999999997"/>
    <s v="Feb"/>
    <n v="2025"/>
    <n v="2"/>
  </r>
  <r>
    <s v="ORD-00913"/>
    <x v="279"/>
    <x v="7"/>
    <x v="2"/>
    <x v="3"/>
    <x v="3"/>
    <x v="1"/>
    <x v="2"/>
    <n v="2"/>
    <n v="52736"/>
    <n v="105472"/>
    <n v="10547.2"/>
    <n v="0.1"/>
    <n v="94924.800000000003"/>
    <n v="68318.53"/>
    <n v="26606.270000000004"/>
    <s v="Mar"/>
    <n v="2025"/>
    <n v="3"/>
  </r>
  <r>
    <s v="ORD-00354"/>
    <x v="280"/>
    <x v="7"/>
    <x v="2"/>
    <x v="2"/>
    <x v="0"/>
    <x v="1"/>
    <x v="2"/>
    <n v="2"/>
    <n v="47447"/>
    <n v="94894"/>
    <n v="18978.8"/>
    <n v="0.2"/>
    <n v="75915.199999999997"/>
    <n v="51891.7"/>
    <n v="24023.5"/>
    <s v="Mar"/>
    <n v="2025"/>
    <n v="3"/>
  </r>
  <r>
    <s v="ORD-01143"/>
    <x v="280"/>
    <x v="1"/>
    <x v="1"/>
    <x v="3"/>
    <x v="3"/>
    <x v="1"/>
    <x v="0"/>
    <n v="1"/>
    <n v="64798"/>
    <n v="64798"/>
    <n v="0"/>
    <n v="0"/>
    <n v="64798"/>
    <n v="41702.39"/>
    <n v="23095.61"/>
    <s v="Mar"/>
    <n v="2025"/>
    <n v="3"/>
  </r>
  <r>
    <s v="ORD-00588"/>
    <x v="281"/>
    <x v="3"/>
    <x v="0"/>
    <x v="2"/>
    <x v="4"/>
    <x v="0"/>
    <x v="2"/>
    <n v="1"/>
    <n v="11842"/>
    <n v="11842"/>
    <n v="1184.2"/>
    <n v="0.1"/>
    <n v="10657.8"/>
    <n v="6443.39"/>
    <n v="4214.4099999999989"/>
    <s v="Mar"/>
    <n v="2025"/>
    <n v="3"/>
  </r>
  <r>
    <s v="ORD-00596"/>
    <x v="281"/>
    <x v="1"/>
    <x v="1"/>
    <x v="1"/>
    <x v="2"/>
    <x v="0"/>
    <x v="2"/>
    <n v="2"/>
    <n v="64730"/>
    <n v="129460"/>
    <n v="19419"/>
    <n v="0.15"/>
    <n v="110041"/>
    <n v="62425.96"/>
    <n v="47615.040000000001"/>
    <s v="Mar"/>
    <n v="2025"/>
    <n v="3"/>
  </r>
  <r>
    <s v="ORD-00907"/>
    <x v="281"/>
    <x v="6"/>
    <x v="1"/>
    <x v="0"/>
    <x v="3"/>
    <x v="1"/>
    <x v="2"/>
    <n v="2"/>
    <n v="27930"/>
    <n v="55860"/>
    <n v="11172"/>
    <n v="0.2"/>
    <n v="44688"/>
    <n v="30487.49"/>
    <n v="14200.509999999998"/>
    <s v="Mar"/>
    <n v="2025"/>
    <n v="3"/>
  </r>
  <r>
    <s v="ORD-00229"/>
    <x v="282"/>
    <x v="3"/>
    <x v="0"/>
    <x v="0"/>
    <x v="2"/>
    <x v="0"/>
    <x v="0"/>
    <n v="4"/>
    <n v="11284"/>
    <n v="45136"/>
    <n v="0"/>
    <n v="0"/>
    <n v="45136"/>
    <n v="26463.94"/>
    <n v="18672.060000000001"/>
    <s v="Mar"/>
    <n v="2025"/>
    <n v="3"/>
  </r>
  <r>
    <s v="ORD-00572"/>
    <x v="282"/>
    <x v="7"/>
    <x v="2"/>
    <x v="0"/>
    <x v="4"/>
    <x v="1"/>
    <x v="2"/>
    <n v="4"/>
    <n v="47161"/>
    <n v="188644"/>
    <n v="18864.400000000001"/>
    <n v="0.1"/>
    <n v="169779.6"/>
    <n v="126880.37"/>
    <n v="42899.23000000001"/>
    <s v="Mar"/>
    <n v="2025"/>
    <n v="3"/>
  </r>
  <r>
    <s v="ORD-00992"/>
    <x v="283"/>
    <x v="4"/>
    <x v="2"/>
    <x v="3"/>
    <x v="2"/>
    <x v="0"/>
    <x v="0"/>
    <n v="1"/>
    <n v="26641"/>
    <n v="26641"/>
    <n v="0"/>
    <n v="0"/>
    <n v="26641"/>
    <n v="15445.02"/>
    <n v="11195.98"/>
    <s v="Mar"/>
    <n v="2025"/>
    <n v="3"/>
  </r>
  <r>
    <s v="ORD-00141"/>
    <x v="283"/>
    <x v="2"/>
    <x v="2"/>
    <x v="1"/>
    <x v="2"/>
    <x v="0"/>
    <x v="2"/>
    <n v="3"/>
    <n v="43897"/>
    <n v="131691"/>
    <n v="13169.1"/>
    <n v="0.1"/>
    <n v="118521.9"/>
    <n v="71126.03"/>
    <n v="47395.869999999995"/>
    <s v="Mar"/>
    <n v="2025"/>
    <n v="3"/>
  </r>
  <r>
    <s v="ORD-00362"/>
    <x v="283"/>
    <x v="8"/>
    <x v="2"/>
    <x v="3"/>
    <x v="3"/>
    <x v="0"/>
    <x v="2"/>
    <n v="1"/>
    <n v="38468"/>
    <n v="38468"/>
    <n v="5770.2"/>
    <n v="0.15"/>
    <n v="32697.8"/>
    <n v="23057.3"/>
    <n v="9640.5"/>
    <s v="Mar"/>
    <n v="2025"/>
    <n v="3"/>
  </r>
  <r>
    <s v="ORD-00937"/>
    <x v="284"/>
    <x v="7"/>
    <x v="2"/>
    <x v="0"/>
    <x v="4"/>
    <x v="0"/>
    <x v="2"/>
    <n v="1"/>
    <n v="52412"/>
    <n v="52412"/>
    <n v="7861.8"/>
    <n v="0.15"/>
    <n v="44550.2"/>
    <n v="35406.129999999997"/>
    <n v="9144.07"/>
    <s v="Mar"/>
    <n v="2025"/>
    <n v="3"/>
  </r>
  <r>
    <s v="ORD-00302"/>
    <x v="285"/>
    <x v="1"/>
    <x v="1"/>
    <x v="2"/>
    <x v="1"/>
    <x v="1"/>
    <x v="2"/>
    <n v="4"/>
    <n v="64164"/>
    <n v="256656"/>
    <n v="51331.199999999997"/>
    <n v="0.2"/>
    <n v="205324.79999999999"/>
    <n v="125216.91"/>
    <n v="80107.889999999985"/>
    <s v="Mar"/>
    <n v="2025"/>
    <n v="3"/>
  </r>
  <r>
    <s v="ORD-00422"/>
    <x v="286"/>
    <x v="2"/>
    <x v="2"/>
    <x v="0"/>
    <x v="3"/>
    <x v="1"/>
    <x v="0"/>
    <n v="2"/>
    <n v="40230"/>
    <n v="80460"/>
    <n v="0"/>
    <n v="0"/>
    <n v="80460"/>
    <n v="45526.67"/>
    <n v="34933.33"/>
    <s v="Mar"/>
    <n v="2025"/>
    <n v="3"/>
  </r>
  <r>
    <s v="ORD-00462"/>
    <x v="286"/>
    <x v="5"/>
    <x v="2"/>
    <x v="0"/>
    <x v="3"/>
    <x v="1"/>
    <x v="2"/>
    <n v="1"/>
    <n v="17744"/>
    <n v="17744"/>
    <n v="1774.4"/>
    <n v="0.1"/>
    <n v="15969.6"/>
    <n v="9288.82"/>
    <n v="6680.7800000000007"/>
    <s v="Mar"/>
    <n v="2025"/>
    <n v="3"/>
  </r>
  <r>
    <s v="ORD-00597"/>
    <x v="287"/>
    <x v="7"/>
    <x v="2"/>
    <x v="3"/>
    <x v="4"/>
    <x v="1"/>
    <x v="0"/>
    <n v="1"/>
    <n v="53507"/>
    <n v="53507"/>
    <n v="0"/>
    <n v="0"/>
    <n v="53507"/>
    <n v="26895.22"/>
    <n v="26611.78"/>
    <s v="Mar"/>
    <n v="2025"/>
    <n v="3"/>
  </r>
  <r>
    <s v="ORD-00563"/>
    <x v="288"/>
    <x v="6"/>
    <x v="1"/>
    <x v="3"/>
    <x v="4"/>
    <x v="0"/>
    <x v="2"/>
    <n v="1"/>
    <n v="28202"/>
    <n v="28202"/>
    <n v="1410.1"/>
    <n v="0.05"/>
    <n v="26791.9"/>
    <n v="18533.919999999998"/>
    <n v="8257.9800000000032"/>
    <s v="Mar"/>
    <n v="2025"/>
    <n v="3"/>
  </r>
  <r>
    <s v="ORD-00527"/>
    <x v="289"/>
    <x v="2"/>
    <x v="2"/>
    <x v="1"/>
    <x v="0"/>
    <x v="1"/>
    <x v="2"/>
    <n v="1"/>
    <n v="45019"/>
    <n v="45019"/>
    <n v="4501.8999999999996"/>
    <n v="0.1"/>
    <n v="40517.1"/>
    <n v="23129.5"/>
    <n v="17387.599999999999"/>
    <s v="Mar"/>
    <n v="2025"/>
    <n v="3"/>
  </r>
  <r>
    <s v="ORD-00947"/>
    <x v="290"/>
    <x v="0"/>
    <x v="0"/>
    <x v="3"/>
    <x v="4"/>
    <x v="1"/>
    <x v="2"/>
    <n v="2"/>
    <n v="15923"/>
    <n v="31846"/>
    <n v="4776.8999999999996"/>
    <n v="0.15"/>
    <n v="27069.1"/>
    <n v="18252.66"/>
    <n v="8816.4399999999987"/>
    <s v="Mar"/>
    <n v="2025"/>
    <n v="3"/>
  </r>
  <r>
    <s v="ORD-00192"/>
    <x v="291"/>
    <x v="3"/>
    <x v="0"/>
    <x v="1"/>
    <x v="4"/>
    <x v="1"/>
    <x v="2"/>
    <n v="5"/>
    <n v="11463"/>
    <n v="57315"/>
    <n v="5731.5"/>
    <n v="0.1"/>
    <n v="51583.5"/>
    <n v="33729.550000000003"/>
    <n v="17853.949999999997"/>
    <s v="Mar"/>
    <n v="2025"/>
    <n v="3"/>
  </r>
  <r>
    <s v="ORD-00236"/>
    <x v="291"/>
    <x v="6"/>
    <x v="1"/>
    <x v="0"/>
    <x v="1"/>
    <x v="0"/>
    <x v="0"/>
    <n v="2"/>
    <n v="30378"/>
    <n v="60756"/>
    <n v="0"/>
    <n v="0"/>
    <n v="60756"/>
    <n v="31064.26"/>
    <n v="29691.74"/>
    <s v="Mar"/>
    <n v="2025"/>
    <n v="3"/>
  </r>
  <r>
    <s v="ORD-00350"/>
    <x v="291"/>
    <x v="3"/>
    <x v="0"/>
    <x v="1"/>
    <x v="4"/>
    <x v="0"/>
    <x v="0"/>
    <n v="1"/>
    <n v="11214"/>
    <n v="11214"/>
    <n v="0"/>
    <n v="0"/>
    <n v="11214"/>
    <n v="6890.76"/>
    <n v="4323.24"/>
    <s v="Mar"/>
    <n v="2025"/>
    <n v="3"/>
  </r>
  <r>
    <s v="ORD-01198"/>
    <x v="292"/>
    <x v="2"/>
    <x v="2"/>
    <x v="2"/>
    <x v="4"/>
    <x v="0"/>
    <x v="2"/>
    <n v="1"/>
    <n v="42491"/>
    <n v="42491"/>
    <n v="2124.5500000000002"/>
    <n v="0.05"/>
    <n v="40366.449999999997"/>
    <n v="23511.69"/>
    <n v="16854.759999999998"/>
    <s v="Mar"/>
    <n v="2025"/>
    <n v="3"/>
  </r>
  <r>
    <s v="ORD-00425"/>
    <x v="293"/>
    <x v="4"/>
    <x v="2"/>
    <x v="0"/>
    <x v="0"/>
    <x v="1"/>
    <x v="0"/>
    <n v="1"/>
    <n v="26539"/>
    <n v="26539"/>
    <n v="0"/>
    <n v="0"/>
    <n v="26539"/>
    <n v="14884.35"/>
    <n v="11654.65"/>
    <s v="Mar"/>
    <n v="2025"/>
    <n v="3"/>
  </r>
  <r>
    <s v="ORD-01014"/>
    <x v="293"/>
    <x v="0"/>
    <x v="0"/>
    <x v="0"/>
    <x v="0"/>
    <x v="0"/>
    <x v="2"/>
    <n v="1"/>
    <n v="16090"/>
    <n v="16090"/>
    <n v="1609"/>
    <n v="0.1"/>
    <n v="14481"/>
    <n v="10077.64"/>
    <n v="4403.3600000000006"/>
    <s v="Mar"/>
    <n v="2025"/>
    <n v="3"/>
  </r>
  <r>
    <s v="ORD-00061"/>
    <x v="294"/>
    <x v="8"/>
    <x v="2"/>
    <x v="3"/>
    <x v="4"/>
    <x v="0"/>
    <x v="2"/>
    <n v="2"/>
    <n v="35884"/>
    <n v="71768"/>
    <n v="10765.2"/>
    <n v="0.15"/>
    <n v="61002.8"/>
    <n v="45655.38"/>
    <n v="15347.420000000006"/>
    <s v="Mar"/>
    <n v="2025"/>
    <n v="3"/>
  </r>
  <r>
    <s v="ORD-00473"/>
    <x v="294"/>
    <x v="6"/>
    <x v="1"/>
    <x v="3"/>
    <x v="0"/>
    <x v="0"/>
    <x v="0"/>
    <n v="2"/>
    <n v="32075"/>
    <n v="64150"/>
    <n v="0"/>
    <n v="0"/>
    <n v="64150"/>
    <n v="32980.81"/>
    <n v="31169.190000000002"/>
    <s v="Mar"/>
    <n v="2025"/>
    <n v="3"/>
  </r>
  <r>
    <s v="ORD-00401"/>
    <x v="295"/>
    <x v="3"/>
    <x v="0"/>
    <x v="0"/>
    <x v="0"/>
    <x v="0"/>
    <x v="2"/>
    <n v="2"/>
    <n v="11766"/>
    <n v="23532"/>
    <n v="2353.1999999999998"/>
    <n v="0.1"/>
    <n v="21178.799999999999"/>
    <n v="13239.61"/>
    <n v="7939.1899999999987"/>
    <s v="Apr"/>
    <n v="2025"/>
    <n v="4"/>
  </r>
  <r>
    <s v="ORD-00558"/>
    <x v="295"/>
    <x v="3"/>
    <x v="0"/>
    <x v="2"/>
    <x v="4"/>
    <x v="1"/>
    <x v="0"/>
    <n v="4"/>
    <n v="12248"/>
    <n v="48992"/>
    <n v="0"/>
    <n v="0"/>
    <n v="48992"/>
    <n v="31362.75"/>
    <n v="17629.25"/>
    <s v="Apr"/>
    <n v="2025"/>
    <n v="4"/>
  </r>
  <r>
    <s v="ORD-00016"/>
    <x v="296"/>
    <x v="6"/>
    <x v="1"/>
    <x v="0"/>
    <x v="2"/>
    <x v="1"/>
    <x v="2"/>
    <n v="1"/>
    <n v="28021"/>
    <n v="28021"/>
    <n v="2802.1"/>
    <n v="0.1"/>
    <n v="25218.9"/>
    <n v="13636.16"/>
    <n v="11582.740000000002"/>
    <s v="Apr"/>
    <n v="2025"/>
    <n v="4"/>
  </r>
  <r>
    <s v="ORD-00221"/>
    <x v="296"/>
    <x v="7"/>
    <x v="2"/>
    <x v="1"/>
    <x v="4"/>
    <x v="1"/>
    <x v="0"/>
    <n v="1"/>
    <n v="48791"/>
    <n v="48791"/>
    <n v="0"/>
    <n v="0"/>
    <n v="48791"/>
    <n v="31172.43"/>
    <n v="17618.57"/>
    <s v="Apr"/>
    <n v="2025"/>
    <n v="4"/>
  </r>
  <r>
    <s v="ORD-00518"/>
    <x v="297"/>
    <x v="5"/>
    <x v="2"/>
    <x v="3"/>
    <x v="1"/>
    <x v="1"/>
    <x v="2"/>
    <n v="5"/>
    <n v="18007"/>
    <n v="90035"/>
    <n v="9003.5"/>
    <n v="0.1"/>
    <n v="81031.5"/>
    <n v="55846.25"/>
    <n v="25185.25"/>
    <s v="Apr"/>
    <n v="2025"/>
    <n v="4"/>
  </r>
  <r>
    <s v="ORD-00168"/>
    <x v="298"/>
    <x v="1"/>
    <x v="1"/>
    <x v="1"/>
    <x v="3"/>
    <x v="1"/>
    <x v="2"/>
    <n v="2"/>
    <n v="63354"/>
    <n v="126708"/>
    <n v="12670.8"/>
    <n v="0.1"/>
    <n v="114037.2"/>
    <n v="66477.69"/>
    <n v="47559.509999999995"/>
    <s v="Apr"/>
    <n v="2025"/>
    <n v="4"/>
  </r>
  <r>
    <s v="ORD-01073"/>
    <x v="299"/>
    <x v="2"/>
    <x v="2"/>
    <x v="1"/>
    <x v="3"/>
    <x v="1"/>
    <x v="0"/>
    <n v="2"/>
    <n v="44514"/>
    <n v="89028"/>
    <n v="8902.7999999999993"/>
    <n v="0.1"/>
    <n v="80125.2"/>
    <n v="50316.29"/>
    <n v="29808.909999999996"/>
    <s v="Apr"/>
    <n v="2025"/>
    <n v="4"/>
  </r>
  <r>
    <s v="ORD-00005"/>
    <x v="300"/>
    <x v="4"/>
    <x v="2"/>
    <x v="0"/>
    <x v="3"/>
    <x v="0"/>
    <x v="2"/>
    <n v="3"/>
    <n v="26851"/>
    <n v="80553"/>
    <n v="8055.3"/>
    <n v="0.1"/>
    <n v="72497.7"/>
    <n v="48857.36"/>
    <n v="23640.339999999997"/>
    <s v="Apr"/>
    <n v="2025"/>
    <n v="4"/>
  </r>
  <r>
    <s v="ORD-00721"/>
    <x v="301"/>
    <x v="5"/>
    <x v="2"/>
    <x v="0"/>
    <x v="2"/>
    <x v="0"/>
    <x v="2"/>
    <n v="2"/>
    <n v="16871"/>
    <n v="33742"/>
    <n v="5061.3"/>
    <n v="0.15"/>
    <n v="28680.7"/>
    <n v="22755.27"/>
    <n v="5925.43"/>
    <s v="Apr"/>
    <n v="2025"/>
    <n v="4"/>
  </r>
  <r>
    <s v="ORD-00950"/>
    <x v="302"/>
    <x v="6"/>
    <x v="1"/>
    <x v="3"/>
    <x v="1"/>
    <x v="1"/>
    <x v="2"/>
    <n v="2"/>
    <n v="32296"/>
    <n v="64592"/>
    <n v="3229.6"/>
    <n v="0.05"/>
    <n v="61362.400000000001"/>
    <n v="38199.089999999997"/>
    <n v="23163.310000000005"/>
    <s v="Apr"/>
    <n v="2025"/>
    <n v="4"/>
  </r>
  <r>
    <s v="ORD-00223"/>
    <x v="303"/>
    <x v="8"/>
    <x v="2"/>
    <x v="1"/>
    <x v="4"/>
    <x v="1"/>
    <x v="2"/>
    <n v="3"/>
    <n v="38090"/>
    <n v="114270"/>
    <n v="17140.5"/>
    <n v="0.15"/>
    <n v="97129.5"/>
    <n v="56759.15"/>
    <n v="40370.35"/>
    <s v="Apr"/>
    <n v="2025"/>
    <n v="4"/>
  </r>
  <r>
    <s v="ORD-00288"/>
    <x v="304"/>
    <x v="6"/>
    <x v="1"/>
    <x v="2"/>
    <x v="0"/>
    <x v="1"/>
    <x v="2"/>
    <n v="2"/>
    <n v="31606"/>
    <n v="63212"/>
    <n v="3160.6"/>
    <n v="0.05"/>
    <n v="60051.4"/>
    <n v="41882.910000000003"/>
    <n v="18168.489999999998"/>
    <s v="Apr"/>
    <n v="2025"/>
    <n v="4"/>
  </r>
  <r>
    <s v="ORD-00969"/>
    <x v="304"/>
    <x v="7"/>
    <x v="2"/>
    <x v="2"/>
    <x v="2"/>
    <x v="1"/>
    <x v="0"/>
    <n v="1"/>
    <n v="48168"/>
    <n v="48168"/>
    <n v="0"/>
    <n v="0"/>
    <n v="48168"/>
    <n v="28076.93"/>
    <n v="20091.07"/>
    <s v="Apr"/>
    <n v="2025"/>
    <n v="4"/>
  </r>
  <r>
    <s v="ORD-00496"/>
    <x v="304"/>
    <x v="3"/>
    <x v="0"/>
    <x v="1"/>
    <x v="4"/>
    <x v="1"/>
    <x v="2"/>
    <n v="3"/>
    <n v="11615"/>
    <n v="34845"/>
    <n v="5226.75"/>
    <n v="0.15"/>
    <n v="29618.25"/>
    <n v="17391.55"/>
    <n v="12226.7"/>
    <s v="Apr"/>
    <n v="2025"/>
    <n v="4"/>
  </r>
  <r>
    <s v="ORD-00181"/>
    <x v="305"/>
    <x v="1"/>
    <x v="1"/>
    <x v="1"/>
    <x v="4"/>
    <x v="0"/>
    <x v="0"/>
    <n v="1"/>
    <n v="60103"/>
    <n v="60103"/>
    <n v="0"/>
    <n v="0"/>
    <n v="60103"/>
    <n v="36812.29"/>
    <n v="23290.71"/>
    <s v="Apr"/>
    <n v="2025"/>
    <n v="4"/>
  </r>
  <r>
    <s v="ORD-00664"/>
    <x v="306"/>
    <x v="2"/>
    <x v="2"/>
    <x v="3"/>
    <x v="4"/>
    <x v="0"/>
    <x v="0"/>
    <n v="3"/>
    <n v="39276"/>
    <n v="117828"/>
    <n v="0"/>
    <n v="0"/>
    <n v="117828"/>
    <n v="63303.31"/>
    <n v="54524.69"/>
    <s v="Apr"/>
    <n v="2025"/>
    <n v="4"/>
  </r>
  <r>
    <s v="ORD-00353"/>
    <x v="306"/>
    <x v="4"/>
    <x v="2"/>
    <x v="0"/>
    <x v="4"/>
    <x v="1"/>
    <x v="0"/>
    <n v="2"/>
    <n v="25589"/>
    <n v="51178"/>
    <n v="0"/>
    <n v="0"/>
    <n v="51178"/>
    <n v="27891.22"/>
    <n v="23286.78"/>
    <s v="Apr"/>
    <n v="2025"/>
    <n v="4"/>
  </r>
  <r>
    <s v="ORD-00021"/>
    <x v="307"/>
    <x v="8"/>
    <x v="2"/>
    <x v="0"/>
    <x v="0"/>
    <x v="1"/>
    <x v="2"/>
    <n v="1"/>
    <n v="38931"/>
    <n v="38931"/>
    <n v="1946.55"/>
    <n v="0.05"/>
    <n v="36984.449999999997"/>
    <n v="22910.73"/>
    <n v="14073.719999999998"/>
    <s v="Apr"/>
    <n v="2025"/>
    <n v="4"/>
  </r>
  <r>
    <s v="ORD-00877"/>
    <x v="307"/>
    <x v="7"/>
    <x v="2"/>
    <x v="1"/>
    <x v="0"/>
    <x v="0"/>
    <x v="0"/>
    <n v="1"/>
    <n v="53988"/>
    <n v="53988"/>
    <n v="5398.8"/>
    <n v="0.1"/>
    <n v="48589.2"/>
    <n v="33763.879999999997"/>
    <n v="14825.32"/>
    <s v="Apr"/>
    <n v="2025"/>
    <n v="4"/>
  </r>
  <r>
    <s v="ORD-00550"/>
    <x v="308"/>
    <x v="0"/>
    <x v="0"/>
    <x v="2"/>
    <x v="3"/>
    <x v="1"/>
    <x v="2"/>
    <n v="2"/>
    <n v="14045"/>
    <n v="28090"/>
    <n v="1404.5"/>
    <n v="0.05"/>
    <n v="26685.5"/>
    <n v="13961.54"/>
    <n v="12723.96"/>
    <s v="Apr"/>
    <n v="2025"/>
    <n v="4"/>
  </r>
  <r>
    <s v="ORD-00901"/>
    <x v="308"/>
    <x v="9"/>
    <x v="0"/>
    <x v="1"/>
    <x v="1"/>
    <x v="0"/>
    <x v="0"/>
    <n v="4"/>
    <n v="42771"/>
    <n v="171084"/>
    <n v="0"/>
    <n v="0"/>
    <n v="171084"/>
    <n v="84566.92"/>
    <n v="86517.08"/>
    <s v="Apr"/>
    <n v="2025"/>
    <n v="4"/>
  </r>
  <r>
    <s v="ORD-00472"/>
    <x v="308"/>
    <x v="1"/>
    <x v="1"/>
    <x v="0"/>
    <x v="0"/>
    <x v="0"/>
    <x v="0"/>
    <n v="1"/>
    <n v="62086"/>
    <n v="62086"/>
    <n v="9312.9"/>
    <n v="0.15"/>
    <n v="52773.1"/>
    <n v="40969.47"/>
    <n v="11803.629999999997"/>
    <s v="Apr"/>
    <n v="2025"/>
    <n v="4"/>
  </r>
  <r>
    <s v="ORD-00244"/>
    <x v="309"/>
    <x v="2"/>
    <x v="2"/>
    <x v="0"/>
    <x v="4"/>
    <x v="1"/>
    <x v="0"/>
    <n v="4"/>
    <n v="41368"/>
    <n v="165472"/>
    <n v="0"/>
    <n v="0"/>
    <n v="165472"/>
    <n v="82081.47"/>
    <n v="83390.53"/>
    <s v="Apr"/>
    <n v="2025"/>
    <n v="4"/>
  </r>
  <r>
    <s v="ORD-01125"/>
    <x v="309"/>
    <x v="8"/>
    <x v="2"/>
    <x v="0"/>
    <x v="2"/>
    <x v="1"/>
    <x v="2"/>
    <n v="3"/>
    <n v="35591"/>
    <n v="106773"/>
    <n v="5338.65"/>
    <n v="0.05"/>
    <n v="101434.35"/>
    <n v="55710.67"/>
    <n v="45723.680000000008"/>
    <s v="Apr"/>
    <n v="2025"/>
    <n v="4"/>
  </r>
  <r>
    <s v="ORD-00802"/>
    <x v="310"/>
    <x v="5"/>
    <x v="2"/>
    <x v="0"/>
    <x v="4"/>
    <x v="1"/>
    <x v="0"/>
    <n v="1"/>
    <n v="17530"/>
    <n v="17530"/>
    <n v="0"/>
    <n v="0"/>
    <n v="17530"/>
    <n v="9521.08"/>
    <n v="8008.92"/>
    <s v="Apr"/>
    <n v="2025"/>
    <n v="4"/>
  </r>
  <r>
    <s v="ORD-01042"/>
    <x v="311"/>
    <x v="7"/>
    <x v="2"/>
    <x v="1"/>
    <x v="4"/>
    <x v="0"/>
    <x v="0"/>
    <n v="4"/>
    <n v="48813"/>
    <n v="195252"/>
    <n v="0"/>
    <n v="0"/>
    <n v="195252"/>
    <n v="132056.13"/>
    <n v="63195.869999999995"/>
    <s v="Apr"/>
    <n v="2025"/>
    <n v="4"/>
  </r>
  <r>
    <s v="ORD-00680"/>
    <x v="312"/>
    <x v="4"/>
    <x v="2"/>
    <x v="1"/>
    <x v="4"/>
    <x v="1"/>
    <x v="2"/>
    <n v="2"/>
    <n v="25805"/>
    <n v="51610"/>
    <n v="7741.5"/>
    <n v="0.15"/>
    <n v="43868.5"/>
    <n v="28395.57"/>
    <n v="15472.93"/>
    <s v="Apr"/>
    <n v="2025"/>
    <n v="4"/>
  </r>
  <r>
    <s v="ORD-00119"/>
    <x v="312"/>
    <x v="4"/>
    <x v="2"/>
    <x v="0"/>
    <x v="2"/>
    <x v="1"/>
    <x v="2"/>
    <n v="2"/>
    <n v="25100"/>
    <n v="50200"/>
    <n v="7530"/>
    <n v="0.15"/>
    <n v="42670"/>
    <n v="32816.26"/>
    <n v="9853.739999999998"/>
    <s v="Apr"/>
    <n v="2025"/>
    <n v="4"/>
  </r>
  <r>
    <s v="ORD-00334"/>
    <x v="313"/>
    <x v="2"/>
    <x v="2"/>
    <x v="1"/>
    <x v="4"/>
    <x v="1"/>
    <x v="0"/>
    <n v="2"/>
    <n v="41023"/>
    <n v="82046"/>
    <n v="8204.6"/>
    <n v="0.1"/>
    <n v="73841.399999999994"/>
    <n v="41271.54"/>
    <n v="32569.859999999993"/>
    <s v="May"/>
    <n v="2025"/>
    <n v="5"/>
  </r>
  <r>
    <s v="ORD-00565"/>
    <x v="313"/>
    <x v="1"/>
    <x v="1"/>
    <x v="2"/>
    <x v="0"/>
    <x v="1"/>
    <x v="0"/>
    <n v="2"/>
    <n v="69589"/>
    <n v="139178"/>
    <n v="0"/>
    <n v="0"/>
    <n v="139178"/>
    <n v="81146.12"/>
    <n v="58031.880000000005"/>
    <s v="May"/>
    <n v="2025"/>
    <n v="5"/>
  </r>
  <r>
    <s v="ORD-01074"/>
    <x v="314"/>
    <x v="6"/>
    <x v="1"/>
    <x v="3"/>
    <x v="4"/>
    <x v="1"/>
    <x v="0"/>
    <n v="3"/>
    <n v="31045"/>
    <n v="93135"/>
    <n v="0"/>
    <n v="0"/>
    <n v="93135"/>
    <n v="61501.54"/>
    <n v="31633.46"/>
    <s v="May"/>
    <n v="2025"/>
    <n v="5"/>
  </r>
  <r>
    <s v="ORD-00175"/>
    <x v="314"/>
    <x v="4"/>
    <x v="2"/>
    <x v="1"/>
    <x v="3"/>
    <x v="0"/>
    <x v="0"/>
    <n v="1"/>
    <n v="26227"/>
    <n v="26227"/>
    <n v="0"/>
    <n v="0"/>
    <n v="26227"/>
    <n v="15455.98"/>
    <n v="10771.02"/>
    <s v="May"/>
    <n v="2025"/>
    <n v="5"/>
  </r>
  <r>
    <s v="ORD-00269"/>
    <x v="315"/>
    <x v="9"/>
    <x v="0"/>
    <x v="1"/>
    <x v="0"/>
    <x v="0"/>
    <x v="0"/>
    <n v="2"/>
    <n v="45093"/>
    <n v="90186"/>
    <n v="0"/>
    <n v="0"/>
    <n v="90186"/>
    <n v="60157.17"/>
    <n v="30028.83"/>
    <s v="May"/>
    <n v="2025"/>
    <n v="5"/>
  </r>
  <r>
    <s v="ORD-00946"/>
    <x v="316"/>
    <x v="2"/>
    <x v="2"/>
    <x v="2"/>
    <x v="4"/>
    <x v="1"/>
    <x v="0"/>
    <n v="1"/>
    <n v="39585"/>
    <n v="39585"/>
    <n v="0"/>
    <n v="0"/>
    <n v="39585"/>
    <n v="23419.55"/>
    <n v="16165.45"/>
    <s v="May"/>
    <n v="2025"/>
    <n v="5"/>
  </r>
  <r>
    <s v="ORD-00450"/>
    <x v="317"/>
    <x v="8"/>
    <x v="2"/>
    <x v="1"/>
    <x v="0"/>
    <x v="1"/>
    <x v="0"/>
    <n v="3"/>
    <n v="36532"/>
    <n v="109596"/>
    <n v="0"/>
    <n v="0"/>
    <n v="109596"/>
    <n v="70013.919999999998"/>
    <n v="39582.080000000002"/>
    <s v="May"/>
    <n v="2025"/>
    <n v="5"/>
  </r>
  <r>
    <s v="ORD-00073"/>
    <x v="318"/>
    <x v="0"/>
    <x v="0"/>
    <x v="0"/>
    <x v="2"/>
    <x v="1"/>
    <x v="0"/>
    <n v="1"/>
    <n v="15276"/>
    <n v="15276"/>
    <n v="0"/>
    <n v="0"/>
    <n v="15276"/>
    <n v="9299.74"/>
    <n v="5976.26"/>
    <s v="May"/>
    <n v="2025"/>
    <n v="5"/>
  </r>
  <r>
    <s v="ORD-01113"/>
    <x v="318"/>
    <x v="6"/>
    <x v="1"/>
    <x v="2"/>
    <x v="0"/>
    <x v="0"/>
    <x v="0"/>
    <n v="1"/>
    <n v="32058"/>
    <n v="32058"/>
    <n v="0"/>
    <n v="0"/>
    <n v="32058"/>
    <n v="17942.27"/>
    <n v="14115.73"/>
    <s v="May"/>
    <n v="2025"/>
    <n v="5"/>
  </r>
  <r>
    <s v="ORD-00989"/>
    <x v="319"/>
    <x v="4"/>
    <x v="2"/>
    <x v="1"/>
    <x v="4"/>
    <x v="1"/>
    <x v="0"/>
    <n v="2"/>
    <n v="23193"/>
    <n v="46386"/>
    <n v="0"/>
    <n v="0"/>
    <n v="46386"/>
    <n v="27833.29"/>
    <n v="18552.71"/>
    <s v="May"/>
    <n v="2025"/>
    <n v="5"/>
  </r>
  <r>
    <s v="ORD-01108"/>
    <x v="320"/>
    <x v="7"/>
    <x v="2"/>
    <x v="1"/>
    <x v="3"/>
    <x v="1"/>
    <x v="0"/>
    <n v="3"/>
    <n v="49549"/>
    <n v="148647"/>
    <n v="0"/>
    <n v="0"/>
    <n v="148647"/>
    <n v="79872.77"/>
    <n v="68774.23"/>
    <s v="May"/>
    <n v="2025"/>
    <n v="5"/>
  </r>
  <r>
    <s v="ORD-00250"/>
    <x v="320"/>
    <x v="0"/>
    <x v="0"/>
    <x v="0"/>
    <x v="3"/>
    <x v="0"/>
    <x v="0"/>
    <n v="3"/>
    <n v="13845"/>
    <n v="41535"/>
    <n v="0"/>
    <n v="0"/>
    <n v="41535"/>
    <n v="25001.56"/>
    <n v="16533.439999999999"/>
    <s v="May"/>
    <n v="2025"/>
    <n v="5"/>
  </r>
  <r>
    <s v="ORD-00370"/>
    <x v="320"/>
    <x v="9"/>
    <x v="0"/>
    <x v="0"/>
    <x v="0"/>
    <x v="1"/>
    <x v="0"/>
    <n v="1"/>
    <n v="43655"/>
    <n v="43655"/>
    <n v="0"/>
    <n v="0"/>
    <n v="43655"/>
    <n v="24431.79"/>
    <n v="19223.21"/>
    <s v="May"/>
    <n v="2025"/>
    <n v="5"/>
  </r>
  <r>
    <s v="ORD-00382"/>
    <x v="321"/>
    <x v="4"/>
    <x v="2"/>
    <x v="1"/>
    <x v="2"/>
    <x v="0"/>
    <x v="0"/>
    <n v="2"/>
    <n v="26140"/>
    <n v="52280"/>
    <n v="0"/>
    <n v="0"/>
    <n v="52280"/>
    <n v="33670.97"/>
    <n v="18609.03"/>
    <s v="May"/>
    <n v="2025"/>
    <n v="5"/>
  </r>
  <r>
    <s v="ORD-00458"/>
    <x v="322"/>
    <x v="4"/>
    <x v="2"/>
    <x v="0"/>
    <x v="2"/>
    <x v="1"/>
    <x v="0"/>
    <n v="3"/>
    <n v="24545"/>
    <n v="73635"/>
    <n v="11045.25"/>
    <n v="0.15"/>
    <n v="62589.75"/>
    <n v="39993.129999999997"/>
    <n v="22596.620000000003"/>
    <s v="May"/>
    <n v="2025"/>
    <n v="5"/>
  </r>
  <r>
    <s v="ORD-00921"/>
    <x v="323"/>
    <x v="2"/>
    <x v="2"/>
    <x v="2"/>
    <x v="0"/>
    <x v="1"/>
    <x v="0"/>
    <n v="1"/>
    <n v="42402"/>
    <n v="42402"/>
    <n v="0"/>
    <n v="0"/>
    <n v="42402"/>
    <n v="26618.32"/>
    <n v="15783.68"/>
    <s v="May"/>
    <n v="2025"/>
    <n v="5"/>
  </r>
  <r>
    <s v="ORD-00515"/>
    <x v="323"/>
    <x v="0"/>
    <x v="0"/>
    <x v="1"/>
    <x v="4"/>
    <x v="0"/>
    <x v="0"/>
    <n v="2"/>
    <n v="15319"/>
    <n v="30638"/>
    <n v="4595.7"/>
    <n v="0.15"/>
    <n v="26042.3"/>
    <n v="18528.29"/>
    <n v="7514.0099999999984"/>
    <s v="May"/>
    <n v="2025"/>
    <n v="5"/>
  </r>
  <r>
    <s v="ORD-00793"/>
    <x v="324"/>
    <x v="2"/>
    <x v="2"/>
    <x v="0"/>
    <x v="2"/>
    <x v="0"/>
    <x v="0"/>
    <n v="1"/>
    <n v="39085"/>
    <n v="39085"/>
    <n v="0"/>
    <n v="0"/>
    <n v="39085"/>
    <n v="21908.799999999999"/>
    <n v="17176.2"/>
    <s v="May"/>
    <n v="2025"/>
    <n v="5"/>
  </r>
  <r>
    <s v="ORD-00105"/>
    <x v="324"/>
    <x v="1"/>
    <x v="1"/>
    <x v="0"/>
    <x v="0"/>
    <x v="1"/>
    <x v="0"/>
    <n v="3"/>
    <n v="68711"/>
    <n v="206133"/>
    <n v="0"/>
    <n v="0"/>
    <n v="206133"/>
    <n v="129440.41"/>
    <n v="76692.59"/>
    <s v="May"/>
    <n v="2025"/>
    <n v="5"/>
  </r>
  <r>
    <s v="ORD-00095"/>
    <x v="324"/>
    <x v="1"/>
    <x v="1"/>
    <x v="1"/>
    <x v="3"/>
    <x v="1"/>
    <x v="0"/>
    <n v="3"/>
    <n v="62467"/>
    <n v="187401"/>
    <n v="0"/>
    <n v="0"/>
    <n v="187401"/>
    <n v="97377.22"/>
    <n v="90023.78"/>
    <s v="May"/>
    <n v="2025"/>
    <n v="5"/>
  </r>
  <r>
    <s v="ORD-00727"/>
    <x v="325"/>
    <x v="2"/>
    <x v="2"/>
    <x v="2"/>
    <x v="1"/>
    <x v="0"/>
    <x v="0"/>
    <n v="1"/>
    <n v="42109"/>
    <n v="42109"/>
    <n v="0"/>
    <n v="0"/>
    <n v="42109"/>
    <n v="27974.92"/>
    <n v="14134.080000000002"/>
    <s v="May"/>
    <n v="2025"/>
    <n v="5"/>
  </r>
  <r>
    <s v="ORD-00480"/>
    <x v="326"/>
    <x v="5"/>
    <x v="2"/>
    <x v="0"/>
    <x v="4"/>
    <x v="1"/>
    <x v="0"/>
    <n v="4"/>
    <n v="18748"/>
    <n v="74992"/>
    <n v="0"/>
    <n v="0"/>
    <n v="74992"/>
    <n v="48650.74"/>
    <n v="26341.260000000002"/>
    <s v="May"/>
    <n v="2025"/>
    <n v="5"/>
  </r>
  <r>
    <s v="ORD-01166"/>
    <x v="327"/>
    <x v="8"/>
    <x v="2"/>
    <x v="0"/>
    <x v="1"/>
    <x v="0"/>
    <x v="0"/>
    <n v="4"/>
    <n v="37060"/>
    <n v="148240"/>
    <n v="0"/>
    <n v="0"/>
    <n v="148240"/>
    <n v="83742.59"/>
    <n v="64497.41"/>
    <s v="May"/>
    <n v="2025"/>
    <n v="5"/>
  </r>
  <r>
    <s v="ORD-00046"/>
    <x v="328"/>
    <x v="0"/>
    <x v="0"/>
    <x v="3"/>
    <x v="0"/>
    <x v="0"/>
    <x v="0"/>
    <n v="1"/>
    <n v="15673"/>
    <n v="15673"/>
    <n v="0"/>
    <n v="0"/>
    <n v="15673"/>
    <n v="10101.61"/>
    <n v="5571.3899999999994"/>
    <s v="May"/>
    <n v="2025"/>
    <n v="5"/>
  </r>
  <r>
    <s v="ORD-00205"/>
    <x v="329"/>
    <x v="3"/>
    <x v="0"/>
    <x v="0"/>
    <x v="2"/>
    <x v="1"/>
    <x v="0"/>
    <n v="1"/>
    <n v="11547"/>
    <n v="11547"/>
    <n v="0"/>
    <n v="0"/>
    <n v="11547"/>
    <n v="6658.09"/>
    <n v="4888.91"/>
    <s v="May"/>
    <n v="2025"/>
    <n v="5"/>
  </r>
  <r>
    <s v="ORD-00459"/>
    <x v="330"/>
    <x v="7"/>
    <x v="2"/>
    <x v="3"/>
    <x v="4"/>
    <x v="1"/>
    <x v="0"/>
    <n v="5"/>
    <n v="49557"/>
    <n v="247785"/>
    <n v="0"/>
    <n v="0"/>
    <n v="247785"/>
    <n v="167668.22"/>
    <n v="80116.78"/>
    <s v="May"/>
    <n v="2025"/>
    <n v="5"/>
  </r>
  <r>
    <s v="ORD-00023"/>
    <x v="330"/>
    <x v="0"/>
    <x v="0"/>
    <x v="3"/>
    <x v="4"/>
    <x v="1"/>
    <x v="0"/>
    <n v="5"/>
    <n v="15033"/>
    <n v="75165"/>
    <n v="3758.25"/>
    <n v="0.05"/>
    <n v="71406.75"/>
    <n v="36521.089999999997"/>
    <n v="34885.660000000003"/>
    <s v="May"/>
    <n v="2025"/>
    <n v="5"/>
  </r>
  <r>
    <s v="ORD-00545"/>
    <x v="330"/>
    <x v="7"/>
    <x v="2"/>
    <x v="2"/>
    <x v="4"/>
    <x v="1"/>
    <x v="0"/>
    <n v="2"/>
    <n v="51326"/>
    <n v="102652"/>
    <n v="0"/>
    <n v="0"/>
    <n v="102652"/>
    <n v="53811.65"/>
    <n v="48840.35"/>
    <s v="May"/>
    <n v="2025"/>
    <n v="5"/>
  </r>
  <r>
    <s v="ORD-00284"/>
    <x v="331"/>
    <x v="9"/>
    <x v="0"/>
    <x v="1"/>
    <x v="0"/>
    <x v="1"/>
    <x v="0"/>
    <n v="1"/>
    <n v="42063"/>
    <n v="42063"/>
    <n v="0"/>
    <n v="0"/>
    <n v="42063"/>
    <n v="22093.8"/>
    <n v="19969.2"/>
    <s v="May"/>
    <n v="2025"/>
    <n v="5"/>
  </r>
  <r>
    <s v="ORD-00331"/>
    <x v="332"/>
    <x v="0"/>
    <x v="0"/>
    <x v="0"/>
    <x v="4"/>
    <x v="0"/>
    <x v="0"/>
    <n v="1"/>
    <n v="16191"/>
    <n v="16191"/>
    <n v="0"/>
    <n v="0"/>
    <n v="16191"/>
    <n v="10266.540000000001"/>
    <n v="5924.4599999999991"/>
    <s v="May"/>
    <n v="2025"/>
    <n v="5"/>
  </r>
  <r>
    <s v="ORD-00767"/>
    <x v="332"/>
    <x v="8"/>
    <x v="2"/>
    <x v="2"/>
    <x v="3"/>
    <x v="1"/>
    <x v="0"/>
    <n v="1"/>
    <n v="38187"/>
    <n v="38187"/>
    <n v="0"/>
    <n v="0"/>
    <n v="38187"/>
    <n v="19540.560000000001"/>
    <n v="18646.439999999999"/>
    <s v="May"/>
    <n v="2025"/>
    <n v="5"/>
  </r>
  <r>
    <s v="ORD-00963"/>
    <x v="333"/>
    <x v="8"/>
    <x v="2"/>
    <x v="0"/>
    <x v="0"/>
    <x v="1"/>
    <x v="0"/>
    <n v="1"/>
    <n v="36006"/>
    <n v="36006"/>
    <n v="0"/>
    <n v="0"/>
    <n v="36006"/>
    <n v="19597.8"/>
    <n v="16408.2"/>
    <s v="May"/>
    <n v="2025"/>
    <n v="5"/>
  </r>
  <r>
    <s v="ORD-00365"/>
    <x v="334"/>
    <x v="4"/>
    <x v="2"/>
    <x v="3"/>
    <x v="3"/>
    <x v="0"/>
    <x v="0"/>
    <n v="1"/>
    <n v="25675"/>
    <n v="25675"/>
    <n v="0"/>
    <n v="0"/>
    <n v="25675"/>
    <n v="17113.689999999999"/>
    <n v="8561.3100000000013"/>
    <s v="May"/>
    <n v="2025"/>
    <n v="5"/>
  </r>
  <r>
    <s v="ORD-00708"/>
    <x v="334"/>
    <x v="1"/>
    <x v="1"/>
    <x v="0"/>
    <x v="3"/>
    <x v="1"/>
    <x v="0"/>
    <n v="2"/>
    <n v="67362"/>
    <n v="134724"/>
    <n v="0"/>
    <n v="0"/>
    <n v="134724"/>
    <n v="89910.85"/>
    <n v="44813.149999999994"/>
    <s v="May"/>
    <n v="2025"/>
    <n v="5"/>
  </r>
  <r>
    <s v="ORD-00813"/>
    <x v="335"/>
    <x v="8"/>
    <x v="2"/>
    <x v="3"/>
    <x v="4"/>
    <x v="1"/>
    <x v="0"/>
    <n v="2"/>
    <n v="39412"/>
    <n v="78824"/>
    <n v="7882.4"/>
    <n v="0.1"/>
    <n v="70941.600000000006"/>
    <n v="48369.25"/>
    <n v="22572.350000000006"/>
    <s v="May"/>
    <n v="2025"/>
    <n v="5"/>
  </r>
  <r>
    <s v="ORD-00246"/>
    <x v="336"/>
    <x v="1"/>
    <x v="1"/>
    <x v="2"/>
    <x v="2"/>
    <x v="0"/>
    <x v="0"/>
    <n v="3"/>
    <n v="67156"/>
    <n v="201468"/>
    <n v="0"/>
    <n v="0"/>
    <n v="201468"/>
    <n v="105926.86"/>
    <n v="95541.14"/>
    <s v="Jun"/>
    <n v="2025"/>
    <n v="6"/>
  </r>
  <r>
    <s v="ORD-00549"/>
    <x v="336"/>
    <x v="4"/>
    <x v="2"/>
    <x v="2"/>
    <x v="4"/>
    <x v="1"/>
    <x v="0"/>
    <n v="2"/>
    <n v="24458"/>
    <n v="48916"/>
    <n v="0"/>
    <n v="0"/>
    <n v="48916"/>
    <n v="25386.84"/>
    <n v="23529.16"/>
    <s v="Jun"/>
    <n v="2025"/>
    <n v="6"/>
  </r>
  <r>
    <s v="ORD-00077"/>
    <x v="337"/>
    <x v="3"/>
    <x v="0"/>
    <x v="0"/>
    <x v="2"/>
    <x v="1"/>
    <x v="0"/>
    <n v="3"/>
    <n v="11386"/>
    <n v="34158"/>
    <n v="0"/>
    <n v="0"/>
    <n v="34158"/>
    <n v="18582.36"/>
    <n v="15575.64"/>
    <s v="Jun"/>
    <n v="2025"/>
    <n v="6"/>
  </r>
  <r>
    <s v="ORD-01190"/>
    <x v="337"/>
    <x v="9"/>
    <x v="0"/>
    <x v="0"/>
    <x v="0"/>
    <x v="1"/>
    <x v="0"/>
    <n v="1"/>
    <n v="43919"/>
    <n v="43919"/>
    <n v="0"/>
    <n v="0"/>
    <n v="43919"/>
    <n v="29385.03"/>
    <n v="14533.970000000001"/>
    <s v="Jun"/>
    <n v="2025"/>
    <n v="6"/>
  </r>
  <r>
    <s v="ORD-00986"/>
    <x v="337"/>
    <x v="8"/>
    <x v="2"/>
    <x v="0"/>
    <x v="3"/>
    <x v="1"/>
    <x v="0"/>
    <n v="2"/>
    <n v="37877"/>
    <n v="75754"/>
    <n v="0"/>
    <n v="0"/>
    <n v="75754"/>
    <n v="39471.949999999997"/>
    <n v="36282.050000000003"/>
    <s v="Jun"/>
    <n v="2025"/>
    <n v="6"/>
  </r>
  <r>
    <s v="ORD-00359"/>
    <x v="338"/>
    <x v="7"/>
    <x v="2"/>
    <x v="3"/>
    <x v="4"/>
    <x v="0"/>
    <x v="3"/>
    <n v="3"/>
    <n v="47566"/>
    <n v="142698"/>
    <n v="14269.8"/>
    <n v="0.1"/>
    <n v="128428.2"/>
    <n v="72219.59"/>
    <n v="56208.61"/>
    <s v="Jun"/>
    <n v="2025"/>
    <n v="6"/>
  </r>
  <r>
    <s v="ORD-00639"/>
    <x v="339"/>
    <x v="9"/>
    <x v="0"/>
    <x v="0"/>
    <x v="4"/>
    <x v="0"/>
    <x v="3"/>
    <n v="5"/>
    <n v="46974"/>
    <n v="234870"/>
    <n v="35230.5"/>
    <n v="0.15"/>
    <n v="199639.5"/>
    <n v="134893.51"/>
    <n v="64745.989999999991"/>
    <s v="Jun"/>
    <n v="2025"/>
    <n v="6"/>
  </r>
  <r>
    <s v="ORD-01059"/>
    <x v="339"/>
    <x v="6"/>
    <x v="1"/>
    <x v="3"/>
    <x v="3"/>
    <x v="0"/>
    <x v="3"/>
    <n v="4"/>
    <n v="29840"/>
    <n v="119360"/>
    <n v="11936"/>
    <n v="0.1"/>
    <n v="107424"/>
    <n v="80044.639999999999"/>
    <n v="27379.360000000001"/>
    <s v="Jun"/>
    <n v="2025"/>
    <n v="6"/>
  </r>
  <r>
    <s v="ORD-00124"/>
    <x v="340"/>
    <x v="2"/>
    <x v="2"/>
    <x v="3"/>
    <x v="3"/>
    <x v="0"/>
    <x v="0"/>
    <n v="3"/>
    <n v="44311"/>
    <n v="132933"/>
    <n v="19939.95"/>
    <n v="0.15"/>
    <n v="112993.05"/>
    <n v="76113.5"/>
    <n v="36879.550000000003"/>
    <s v="Jun"/>
    <n v="2025"/>
    <n v="6"/>
  </r>
  <r>
    <s v="ORD-00277"/>
    <x v="340"/>
    <x v="2"/>
    <x v="2"/>
    <x v="1"/>
    <x v="4"/>
    <x v="0"/>
    <x v="3"/>
    <n v="5"/>
    <n v="45258"/>
    <n v="226290"/>
    <n v="22629"/>
    <n v="0.1"/>
    <n v="203661"/>
    <n v="129112.64"/>
    <n v="74548.36"/>
    <s v="Jun"/>
    <n v="2025"/>
    <n v="6"/>
  </r>
  <r>
    <s v="ORD-00985"/>
    <x v="341"/>
    <x v="4"/>
    <x v="2"/>
    <x v="1"/>
    <x v="2"/>
    <x v="0"/>
    <x v="3"/>
    <n v="3"/>
    <n v="23949"/>
    <n v="71847"/>
    <n v="10777.05"/>
    <n v="0.15"/>
    <n v="61069.95"/>
    <n v="47964.88"/>
    <n v="13105.07"/>
    <s v="Jun"/>
    <n v="2025"/>
    <n v="6"/>
  </r>
  <r>
    <s v="ORD-00669"/>
    <x v="341"/>
    <x v="5"/>
    <x v="2"/>
    <x v="0"/>
    <x v="4"/>
    <x v="0"/>
    <x v="0"/>
    <n v="1"/>
    <n v="17803"/>
    <n v="17803"/>
    <n v="0"/>
    <n v="0"/>
    <n v="17803"/>
    <n v="11546.85"/>
    <n v="6256.15"/>
    <s v="Jun"/>
    <n v="2025"/>
    <n v="6"/>
  </r>
  <r>
    <s v="ORD-00663"/>
    <x v="341"/>
    <x v="4"/>
    <x v="2"/>
    <x v="0"/>
    <x v="4"/>
    <x v="1"/>
    <x v="3"/>
    <n v="1"/>
    <n v="24451"/>
    <n v="24451"/>
    <n v="1222.55"/>
    <n v="0.05"/>
    <n v="23228.45"/>
    <n v="15078.61"/>
    <n v="8149.84"/>
    <s v="Jun"/>
    <n v="2025"/>
    <n v="6"/>
  </r>
  <r>
    <s v="ORD-00739"/>
    <x v="342"/>
    <x v="4"/>
    <x v="2"/>
    <x v="1"/>
    <x v="2"/>
    <x v="0"/>
    <x v="0"/>
    <n v="3"/>
    <n v="26450"/>
    <n v="79350"/>
    <n v="7935"/>
    <n v="0.1"/>
    <n v="71415"/>
    <n v="47385.65"/>
    <n v="24029.35"/>
    <s v="Jun"/>
    <n v="2025"/>
    <n v="6"/>
  </r>
  <r>
    <s v="ORD-00635"/>
    <x v="343"/>
    <x v="1"/>
    <x v="1"/>
    <x v="2"/>
    <x v="4"/>
    <x v="1"/>
    <x v="0"/>
    <n v="1"/>
    <n v="69773"/>
    <n v="69773"/>
    <n v="0"/>
    <n v="0"/>
    <n v="69773"/>
    <n v="37142.559999999998"/>
    <n v="32630.440000000002"/>
    <s v="Jun"/>
    <n v="2025"/>
    <n v="6"/>
  </r>
  <r>
    <s v="ORD-00874"/>
    <x v="344"/>
    <x v="3"/>
    <x v="0"/>
    <x v="2"/>
    <x v="4"/>
    <x v="0"/>
    <x v="0"/>
    <n v="2"/>
    <n v="11844"/>
    <n v="23688"/>
    <n v="0"/>
    <n v="0"/>
    <n v="23688"/>
    <n v="12719.76"/>
    <n v="10968.24"/>
    <s v="Jun"/>
    <n v="2025"/>
    <n v="6"/>
  </r>
  <r>
    <s v="ORD-00687"/>
    <x v="344"/>
    <x v="5"/>
    <x v="2"/>
    <x v="1"/>
    <x v="1"/>
    <x v="1"/>
    <x v="3"/>
    <n v="5"/>
    <n v="18483"/>
    <n v="92415"/>
    <n v="9241.5"/>
    <n v="0.1"/>
    <n v="83173.5"/>
    <n v="55083.56"/>
    <n v="28089.940000000002"/>
    <s v="Jun"/>
    <n v="2025"/>
    <n v="6"/>
  </r>
  <r>
    <s v="ORD-00274"/>
    <x v="345"/>
    <x v="6"/>
    <x v="1"/>
    <x v="3"/>
    <x v="4"/>
    <x v="0"/>
    <x v="3"/>
    <n v="1"/>
    <n v="29609"/>
    <n v="29609"/>
    <n v="2960.9"/>
    <n v="0.1"/>
    <n v="26648.1"/>
    <n v="16179.57"/>
    <n v="10468.529999999999"/>
    <s v="Jun"/>
    <n v="2025"/>
    <n v="6"/>
  </r>
  <r>
    <s v="ORD-00510"/>
    <x v="346"/>
    <x v="9"/>
    <x v="0"/>
    <x v="1"/>
    <x v="1"/>
    <x v="1"/>
    <x v="3"/>
    <n v="1"/>
    <n v="44771"/>
    <n v="44771"/>
    <n v="2238.5500000000002"/>
    <n v="0.05"/>
    <n v="42532.45"/>
    <n v="29849.55"/>
    <n v="12682.899999999998"/>
    <s v="Jun"/>
    <n v="2025"/>
    <n v="6"/>
  </r>
  <r>
    <s v="ORD-00122"/>
    <x v="347"/>
    <x v="8"/>
    <x v="2"/>
    <x v="3"/>
    <x v="3"/>
    <x v="0"/>
    <x v="0"/>
    <n v="2"/>
    <n v="38038"/>
    <n v="76076"/>
    <n v="0"/>
    <n v="0"/>
    <n v="76076"/>
    <n v="37595.730000000003"/>
    <n v="38480.269999999997"/>
    <s v="Jun"/>
    <n v="2025"/>
    <n v="6"/>
  </r>
  <r>
    <s v="ORD-00602"/>
    <x v="348"/>
    <x v="7"/>
    <x v="2"/>
    <x v="1"/>
    <x v="3"/>
    <x v="1"/>
    <x v="0"/>
    <n v="1"/>
    <n v="52226"/>
    <n v="52226"/>
    <n v="0"/>
    <n v="0"/>
    <n v="52226"/>
    <n v="34070.99"/>
    <n v="18155.010000000002"/>
    <s v="Jun"/>
    <n v="2025"/>
    <n v="6"/>
  </r>
  <r>
    <s v="ORD-00715"/>
    <x v="349"/>
    <x v="9"/>
    <x v="0"/>
    <x v="1"/>
    <x v="4"/>
    <x v="1"/>
    <x v="3"/>
    <n v="1"/>
    <n v="45916"/>
    <n v="45916"/>
    <n v="2295.8000000000002"/>
    <n v="0.05"/>
    <n v="43620.2"/>
    <n v="30976.26"/>
    <n v="12643.939999999999"/>
    <s v="Jun"/>
    <n v="2025"/>
    <n v="6"/>
  </r>
  <r>
    <s v="ORD-01117"/>
    <x v="350"/>
    <x v="4"/>
    <x v="2"/>
    <x v="2"/>
    <x v="4"/>
    <x v="0"/>
    <x v="3"/>
    <n v="1"/>
    <n v="25434"/>
    <n v="25434"/>
    <n v="3815.1"/>
    <n v="0.15"/>
    <n v="21618.9"/>
    <n v="17288.759999999998"/>
    <n v="4330.1400000000031"/>
    <s v="Jun"/>
    <n v="2025"/>
    <n v="6"/>
  </r>
  <r>
    <s v="ORD-00642"/>
    <x v="350"/>
    <x v="1"/>
    <x v="1"/>
    <x v="2"/>
    <x v="3"/>
    <x v="1"/>
    <x v="3"/>
    <n v="2"/>
    <n v="63734"/>
    <n v="127468"/>
    <n v="19120.2"/>
    <n v="0.15"/>
    <n v="108347.8"/>
    <n v="63652.9"/>
    <n v="44694.9"/>
    <s v="Jun"/>
    <n v="2025"/>
    <n v="6"/>
  </r>
  <r>
    <s v="ORD-00613"/>
    <x v="350"/>
    <x v="7"/>
    <x v="2"/>
    <x v="3"/>
    <x v="3"/>
    <x v="0"/>
    <x v="0"/>
    <n v="1"/>
    <n v="47195"/>
    <n v="47195"/>
    <n v="0"/>
    <n v="0"/>
    <n v="47195"/>
    <n v="27001.040000000001"/>
    <n v="20193.96"/>
    <s v="Jun"/>
    <n v="2025"/>
    <n v="6"/>
  </r>
  <r>
    <s v="ORD-00240"/>
    <x v="351"/>
    <x v="8"/>
    <x v="2"/>
    <x v="2"/>
    <x v="4"/>
    <x v="0"/>
    <x v="0"/>
    <n v="2"/>
    <n v="39743"/>
    <n v="79486"/>
    <n v="0"/>
    <n v="0"/>
    <n v="79486"/>
    <n v="50041.82"/>
    <n v="29444.18"/>
    <s v="Jun"/>
    <n v="2025"/>
    <n v="6"/>
  </r>
  <r>
    <s v="ORD-00718"/>
    <x v="352"/>
    <x v="6"/>
    <x v="1"/>
    <x v="0"/>
    <x v="3"/>
    <x v="0"/>
    <x v="0"/>
    <n v="2"/>
    <n v="28921"/>
    <n v="57842"/>
    <n v="0"/>
    <n v="0"/>
    <n v="57842"/>
    <n v="35952.089999999997"/>
    <n v="21889.910000000003"/>
    <s v="Jul"/>
    <n v="2025"/>
    <n v="7"/>
  </r>
  <r>
    <s v="ORD-00806"/>
    <x v="353"/>
    <x v="1"/>
    <x v="1"/>
    <x v="2"/>
    <x v="0"/>
    <x v="0"/>
    <x v="0"/>
    <n v="3"/>
    <n v="68454"/>
    <n v="205362"/>
    <n v="0"/>
    <n v="0"/>
    <n v="205362"/>
    <n v="125916.29"/>
    <n v="79445.710000000006"/>
    <s v="Jul"/>
    <n v="2025"/>
    <n v="7"/>
  </r>
  <r>
    <s v="ORD-00832"/>
    <x v="353"/>
    <x v="3"/>
    <x v="0"/>
    <x v="0"/>
    <x v="1"/>
    <x v="0"/>
    <x v="0"/>
    <n v="2"/>
    <n v="11857"/>
    <n v="23714"/>
    <n v="0"/>
    <n v="0"/>
    <n v="23714"/>
    <n v="14600.33"/>
    <n v="9113.67"/>
    <s v="Jul"/>
    <n v="2025"/>
    <n v="7"/>
  </r>
  <r>
    <s v="ORD-00356"/>
    <x v="354"/>
    <x v="0"/>
    <x v="0"/>
    <x v="0"/>
    <x v="3"/>
    <x v="1"/>
    <x v="0"/>
    <n v="1"/>
    <n v="14750"/>
    <n v="14750"/>
    <n v="0"/>
    <n v="0"/>
    <n v="14750"/>
    <n v="7548.27"/>
    <n v="7201.73"/>
    <s v="Jul"/>
    <n v="2025"/>
    <n v="7"/>
  </r>
  <r>
    <s v="ORD-00177"/>
    <x v="354"/>
    <x v="6"/>
    <x v="1"/>
    <x v="1"/>
    <x v="2"/>
    <x v="1"/>
    <x v="3"/>
    <n v="5"/>
    <n v="28651"/>
    <n v="143255"/>
    <n v="14325.5"/>
    <n v="0.1"/>
    <n v="128929.5"/>
    <n v="95103.77"/>
    <n v="33825.729999999996"/>
    <s v="Jul"/>
    <n v="2025"/>
    <n v="7"/>
  </r>
  <r>
    <s v="ORD-00987"/>
    <x v="355"/>
    <x v="6"/>
    <x v="1"/>
    <x v="3"/>
    <x v="0"/>
    <x v="0"/>
    <x v="3"/>
    <n v="1"/>
    <n v="32396"/>
    <n v="32396"/>
    <n v="4859.3999999999996"/>
    <n v="0.15"/>
    <n v="27536.6"/>
    <n v="21964.36"/>
    <n v="5572.239999999998"/>
    <s v="Jul"/>
    <n v="2025"/>
    <n v="7"/>
  </r>
  <r>
    <s v="ORD-00800"/>
    <x v="356"/>
    <x v="9"/>
    <x v="0"/>
    <x v="3"/>
    <x v="1"/>
    <x v="1"/>
    <x v="0"/>
    <n v="1"/>
    <n v="48104"/>
    <n v="48104"/>
    <n v="0"/>
    <n v="0"/>
    <n v="48104"/>
    <n v="23215.73"/>
    <n v="24888.27"/>
    <s v="Jul"/>
    <n v="2025"/>
    <n v="7"/>
  </r>
  <r>
    <s v="ORD-00127"/>
    <x v="357"/>
    <x v="0"/>
    <x v="0"/>
    <x v="0"/>
    <x v="4"/>
    <x v="0"/>
    <x v="3"/>
    <n v="3"/>
    <n v="15531"/>
    <n v="46593"/>
    <n v="9318.6"/>
    <n v="0.2"/>
    <n v="37274.400000000001"/>
    <n v="22384.240000000002"/>
    <n v="14890.16"/>
    <s v="Jul"/>
    <n v="2025"/>
    <n v="7"/>
  </r>
  <r>
    <s v="ORD-00742"/>
    <x v="358"/>
    <x v="6"/>
    <x v="1"/>
    <x v="2"/>
    <x v="2"/>
    <x v="1"/>
    <x v="3"/>
    <n v="3"/>
    <n v="28424"/>
    <n v="85272"/>
    <n v="8527.2000000000007"/>
    <n v="0.1"/>
    <n v="76744.800000000003"/>
    <n v="45876.12"/>
    <n v="30868.68"/>
    <s v="Jul"/>
    <n v="2025"/>
    <n v="7"/>
  </r>
  <r>
    <s v="ORD-00333"/>
    <x v="359"/>
    <x v="5"/>
    <x v="2"/>
    <x v="0"/>
    <x v="4"/>
    <x v="1"/>
    <x v="0"/>
    <n v="3"/>
    <n v="18229"/>
    <n v="54687"/>
    <n v="0"/>
    <n v="0"/>
    <n v="54687"/>
    <n v="35172.160000000003"/>
    <n v="19514.839999999997"/>
    <s v="Jul"/>
    <n v="2025"/>
    <n v="7"/>
  </r>
  <r>
    <s v="ORD-00903"/>
    <x v="360"/>
    <x v="4"/>
    <x v="2"/>
    <x v="0"/>
    <x v="4"/>
    <x v="1"/>
    <x v="0"/>
    <n v="1"/>
    <n v="23086"/>
    <n v="23086"/>
    <n v="0"/>
    <n v="0"/>
    <n v="23086"/>
    <n v="13394.72"/>
    <n v="9691.2800000000007"/>
    <s v="Jul"/>
    <n v="2025"/>
    <n v="7"/>
  </r>
  <r>
    <s v="ORD-00228"/>
    <x v="361"/>
    <x v="7"/>
    <x v="2"/>
    <x v="0"/>
    <x v="3"/>
    <x v="1"/>
    <x v="0"/>
    <n v="1"/>
    <n v="50485"/>
    <n v="50485"/>
    <n v="0"/>
    <n v="0"/>
    <n v="50485"/>
    <n v="31185.91"/>
    <n v="19299.09"/>
    <s v="Jul"/>
    <n v="2025"/>
    <n v="7"/>
  </r>
  <r>
    <s v="ORD-00030"/>
    <x v="361"/>
    <x v="6"/>
    <x v="1"/>
    <x v="1"/>
    <x v="4"/>
    <x v="1"/>
    <x v="3"/>
    <n v="2"/>
    <n v="27788"/>
    <n v="55576"/>
    <n v="11115.2"/>
    <n v="0.2"/>
    <n v="44460.800000000003"/>
    <n v="31702.76"/>
    <n v="12758.040000000005"/>
    <s v="Jul"/>
    <n v="2025"/>
    <n v="7"/>
  </r>
  <r>
    <s v="ORD-01158"/>
    <x v="362"/>
    <x v="1"/>
    <x v="1"/>
    <x v="2"/>
    <x v="3"/>
    <x v="1"/>
    <x v="0"/>
    <n v="2"/>
    <n v="66284"/>
    <n v="132568"/>
    <n v="0"/>
    <n v="0"/>
    <n v="132568"/>
    <n v="86020.87"/>
    <n v="46547.130000000005"/>
    <s v="Jul"/>
    <n v="2025"/>
    <n v="7"/>
  </r>
  <r>
    <s v="ORD-00142"/>
    <x v="362"/>
    <x v="6"/>
    <x v="1"/>
    <x v="0"/>
    <x v="2"/>
    <x v="1"/>
    <x v="3"/>
    <n v="1"/>
    <n v="30206"/>
    <n v="30206"/>
    <n v="3020.6"/>
    <n v="0.1"/>
    <n v="27185.4"/>
    <n v="20322.77"/>
    <n v="6862.630000000001"/>
    <s v="Jul"/>
    <n v="2025"/>
    <n v="7"/>
  </r>
  <r>
    <s v="ORD-00116"/>
    <x v="362"/>
    <x v="3"/>
    <x v="0"/>
    <x v="3"/>
    <x v="0"/>
    <x v="1"/>
    <x v="0"/>
    <n v="1"/>
    <n v="12078"/>
    <n v="12078"/>
    <n v="0"/>
    <n v="0"/>
    <n v="12078"/>
    <n v="6381.76"/>
    <n v="5696.24"/>
    <s v="Jul"/>
    <n v="2025"/>
    <n v="7"/>
  </r>
  <r>
    <s v="ORD-00042"/>
    <x v="363"/>
    <x v="2"/>
    <x v="2"/>
    <x v="1"/>
    <x v="1"/>
    <x v="1"/>
    <x v="3"/>
    <n v="2"/>
    <n v="40554"/>
    <n v="81108"/>
    <n v="8110.8"/>
    <n v="0.1"/>
    <n v="72997.2"/>
    <n v="51958.2"/>
    <n v="21039"/>
    <s v="Jul"/>
    <n v="2025"/>
    <n v="7"/>
  </r>
  <r>
    <s v="ORD-00262"/>
    <x v="364"/>
    <x v="7"/>
    <x v="2"/>
    <x v="1"/>
    <x v="3"/>
    <x v="0"/>
    <x v="0"/>
    <n v="2"/>
    <n v="48891"/>
    <n v="97782"/>
    <n v="0"/>
    <n v="0"/>
    <n v="97782"/>
    <n v="54891"/>
    <n v="42891"/>
    <s v="Jul"/>
    <n v="2025"/>
    <n v="7"/>
  </r>
  <r>
    <s v="ORD-00052"/>
    <x v="364"/>
    <x v="7"/>
    <x v="2"/>
    <x v="3"/>
    <x v="2"/>
    <x v="0"/>
    <x v="0"/>
    <n v="2"/>
    <n v="49721"/>
    <n v="99442"/>
    <n v="0"/>
    <n v="0"/>
    <n v="99442"/>
    <n v="58915.34"/>
    <n v="40526.660000000003"/>
    <s v="Jul"/>
    <n v="2025"/>
    <n v="7"/>
  </r>
  <r>
    <s v="ORD-00863"/>
    <x v="365"/>
    <x v="0"/>
    <x v="0"/>
    <x v="3"/>
    <x v="2"/>
    <x v="0"/>
    <x v="3"/>
    <n v="3"/>
    <n v="14656"/>
    <n v="43968"/>
    <n v="6595.2"/>
    <n v="0.15"/>
    <n v="37372.800000000003"/>
    <n v="23413.599999999999"/>
    <n v="13959.200000000004"/>
    <s v="Jul"/>
    <n v="2025"/>
    <n v="7"/>
  </r>
  <r>
    <s v="ORD-00436"/>
    <x v="366"/>
    <x v="0"/>
    <x v="0"/>
    <x v="3"/>
    <x v="3"/>
    <x v="1"/>
    <x v="0"/>
    <n v="2"/>
    <n v="15578"/>
    <n v="31156"/>
    <n v="0"/>
    <n v="0"/>
    <n v="31156"/>
    <n v="19027.509999999998"/>
    <n v="12128.490000000002"/>
    <s v="Jul"/>
    <n v="2025"/>
    <n v="7"/>
  </r>
  <r>
    <s v="ORD-00263"/>
    <x v="367"/>
    <x v="9"/>
    <x v="0"/>
    <x v="0"/>
    <x v="3"/>
    <x v="1"/>
    <x v="0"/>
    <n v="4"/>
    <n v="45073"/>
    <n v="180292"/>
    <n v="0"/>
    <n v="0"/>
    <n v="180292"/>
    <n v="105034.41"/>
    <n v="75257.59"/>
    <s v="Jul"/>
    <n v="2025"/>
    <n v="7"/>
  </r>
  <r>
    <s v="ORD-00296"/>
    <x v="367"/>
    <x v="9"/>
    <x v="0"/>
    <x v="0"/>
    <x v="0"/>
    <x v="1"/>
    <x v="0"/>
    <n v="2"/>
    <n v="44505"/>
    <n v="89010"/>
    <n v="0"/>
    <n v="0"/>
    <n v="89010"/>
    <n v="59014.71"/>
    <n v="29995.29"/>
    <s v="Jul"/>
    <n v="2025"/>
    <n v="7"/>
  </r>
  <r>
    <s v="ORD-00729"/>
    <x v="368"/>
    <x v="2"/>
    <x v="2"/>
    <x v="3"/>
    <x v="2"/>
    <x v="1"/>
    <x v="0"/>
    <n v="4"/>
    <n v="42402"/>
    <n v="169608"/>
    <n v="0"/>
    <n v="0"/>
    <n v="169608"/>
    <n v="102694.13"/>
    <n v="66913.87"/>
    <s v="Jul"/>
    <n v="2025"/>
    <n v="7"/>
  </r>
  <r>
    <s v="ORD-00776"/>
    <x v="368"/>
    <x v="2"/>
    <x v="2"/>
    <x v="3"/>
    <x v="0"/>
    <x v="0"/>
    <x v="3"/>
    <n v="3"/>
    <n v="42288"/>
    <n v="126864"/>
    <n v="6343.2"/>
    <n v="0.05"/>
    <n v="120520.8"/>
    <n v="75806.06"/>
    <n v="44714.740000000005"/>
    <s v="Jul"/>
    <n v="2025"/>
    <n v="7"/>
  </r>
  <r>
    <s v="ORD-00293"/>
    <x v="369"/>
    <x v="8"/>
    <x v="2"/>
    <x v="3"/>
    <x v="2"/>
    <x v="0"/>
    <x v="3"/>
    <n v="2"/>
    <n v="35913"/>
    <n v="71826"/>
    <n v="3591.3"/>
    <n v="0.05"/>
    <n v="68234.7"/>
    <n v="35078.6"/>
    <n v="33156.1"/>
    <s v="Jul"/>
    <n v="2025"/>
    <n v="7"/>
  </r>
  <r>
    <s v="ORD-00872"/>
    <x v="369"/>
    <x v="1"/>
    <x v="1"/>
    <x v="0"/>
    <x v="2"/>
    <x v="1"/>
    <x v="0"/>
    <n v="4"/>
    <n v="63782"/>
    <n v="255128"/>
    <n v="0"/>
    <n v="0"/>
    <n v="255128"/>
    <n v="153291.39000000001"/>
    <n v="101836.60999999999"/>
    <s v="Jul"/>
    <n v="2025"/>
    <n v="7"/>
  </r>
  <r>
    <s v="ORD-00787"/>
    <x v="369"/>
    <x v="8"/>
    <x v="2"/>
    <x v="0"/>
    <x v="2"/>
    <x v="0"/>
    <x v="3"/>
    <n v="3"/>
    <n v="36998"/>
    <n v="110994"/>
    <n v="11099.4"/>
    <n v="0.1"/>
    <n v="99894.6"/>
    <n v="71093.09"/>
    <n v="28801.510000000009"/>
    <s v="Jul"/>
    <n v="2025"/>
    <n v="7"/>
  </r>
  <r>
    <s v="ORD-01137"/>
    <x v="370"/>
    <x v="7"/>
    <x v="2"/>
    <x v="2"/>
    <x v="2"/>
    <x v="0"/>
    <x v="3"/>
    <n v="1"/>
    <n v="49477"/>
    <n v="49477"/>
    <n v="7421.55"/>
    <n v="0.15"/>
    <n v="42055.45"/>
    <n v="28961.34"/>
    <n v="13094.109999999997"/>
    <s v="Jul"/>
    <n v="2025"/>
    <n v="7"/>
  </r>
  <r>
    <s v="ORD-00125"/>
    <x v="371"/>
    <x v="1"/>
    <x v="1"/>
    <x v="0"/>
    <x v="3"/>
    <x v="1"/>
    <x v="0"/>
    <n v="2"/>
    <n v="68309"/>
    <n v="136618"/>
    <n v="6830.9"/>
    <n v="0.05"/>
    <n v="129787.1"/>
    <n v="89617.66"/>
    <n v="40169.440000000002"/>
    <s v="Jul"/>
    <n v="2025"/>
    <n v="7"/>
  </r>
  <r>
    <s v="ORD-00586"/>
    <x v="371"/>
    <x v="7"/>
    <x v="2"/>
    <x v="0"/>
    <x v="3"/>
    <x v="0"/>
    <x v="0"/>
    <n v="4"/>
    <n v="46554"/>
    <n v="186216"/>
    <n v="0"/>
    <n v="0"/>
    <n v="186216"/>
    <n v="112090.45"/>
    <n v="74125.55"/>
    <s v="Jul"/>
    <n v="2025"/>
    <n v="7"/>
  </r>
  <r>
    <s v="ORD-00941"/>
    <x v="372"/>
    <x v="9"/>
    <x v="0"/>
    <x v="3"/>
    <x v="4"/>
    <x v="1"/>
    <x v="0"/>
    <n v="3"/>
    <n v="47575"/>
    <n v="142725"/>
    <n v="0"/>
    <n v="0"/>
    <n v="142725"/>
    <n v="95531.78"/>
    <n v="47193.22"/>
    <s v="Aug"/>
    <n v="2025"/>
    <n v="8"/>
  </r>
  <r>
    <s v="ORD-00798"/>
    <x v="372"/>
    <x v="7"/>
    <x v="2"/>
    <x v="2"/>
    <x v="3"/>
    <x v="1"/>
    <x v="0"/>
    <n v="1"/>
    <n v="49593"/>
    <n v="49593"/>
    <n v="0"/>
    <n v="0"/>
    <n v="49593"/>
    <n v="24708.59"/>
    <n v="24884.41"/>
    <s v="Aug"/>
    <n v="2025"/>
    <n v="8"/>
  </r>
  <r>
    <s v="ORD-01183"/>
    <x v="373"/>
    <x v="3"/>
    <x v="0"/>
    <x v="2"/>
    <x v="2"/>
    <x v="1"/>
    <x v="0"/>
    <n v="2"/>
    <n v="12194"/>
    <n v="24388"/>
    <n v="0"/>
    <n v="0"/>
    <n v="24388"/>
    <n v="13604.43"/>
    <n v="10783.57"/>
    <s v="Aug"/>
    <n v="2025"/>
    <n v="8"/>
  </r>
  <r>
    <s v="ORD-00337"/>
    <x v="374"/>
    <x v="4"/>
    <x v="2"/>
    <x v="1"/>
    <x v="2"/>
    <x v="0"/>
    <x v="0"/>
    <n v="1"/>
    <n v="26487"/>
    <n v="26487"/>
    <n v="2648.7"/>
    <n v="0.1"/>
    <n v="23838.3"/>
    <n v="14543.91"/>
    <n v="9294.39"/>
    <s v="Aug"/>
    <n v="2025"/>
    <n v="8"/>
  </r>
  <r>
    <s v="ORD-01146"/>
    <x v="375"/>
    <x v="6"/>
    <x v="1"/>
    <x v="1"/>
    <x v="4"/>
    <x v="0"/>
    <x v="0"/>
    <n v="1"/>
    <n v="27619"/>
    <n v="27619"/>
    <n v="0"/>
    <n v="0"/>
    <n v="27619"/>
    <n v="15830.5"/>
    <n v="11788.5"/>
    <s v="Aug"/>
    <n v="2025"/>
    <n v="8"/>
  </r>
  <r>
    <s v="ORD-00202"/>
    <x v="376"/>
    <x v="5"/>
    <x v="2"/>
    <x v="3"/>
    <x v="0"/>
    <x v="0"/>
    <x v="0"/>
    <n v="1"/>
    <n v="16801"/>
    <n v="16801"/>
    <n v="0"/>
    <n v="0"/>
    <n v="16801"/>
    <n v="10341.15"/>
    <n v="6459.85"/>
    <s v="Aug"/>
    <n v="2025"/>
    <n v="8"/>
  </r>
  <r>
    <s v="ORD-01005"/>
    <x v="377"/>
    <x v="2"/>
    <x v="2"/>
    <x v="0"/>
    <x v="2"/>
    <x v="1"/>
    <x v="0"/>
    <n v="1"/>
    <n v="39875"/>
    <n v="39875"/>
    <n v="0"/>
    <n v="0"/>
    <n v="39875"/>
    <n v="19592.22"/>
    <n v="20282.78"/>
    <s v="Aug"/>
    <n v="2025"/>
    <n v="8"/>
  </r>
  <r>
    <s v="ORD-00447"/>
    <x v="377"/>
    <x v="8"/>
    <x v="2"/>
    <x v="3"/>
    <x v="3"/>
    <x v="0"/>
    <x v="0"/>
    <n v="4"/>
    <n v="38699"/>
    <n v="154796"/>
    <n v="0"/>
    <n v="0"/>
    <n v="154796"/>
    <n v="104086.64"/>
    <n v="50709.36"/>
    <s v="Aug"/>
    <n v="2025"/>
    <n v="8"/>
  </r>
  <r>
    <s v="ORD-00766"/>
    <x v="377"/>
    <x v="9"/>
    <x v="0"/>
    <x v="1"/>
    <x v="0"/>
    <x v="1"/>
    <x v="0"/>
    <n v="3"/>
    <n v="42106"/>
    <n v="126318"/>
    <n v="0"/>
    <n v="0"/>
    <n v="126318"/>
    <n v="84943.88"/>
    <n v="41374.119999999995"/>
    <s v="Aug"/>
    <n v="2025"/>
    <n v="8"/>
  </r>
  <r>
    <s v="ORD-00918"/>
    <x v="378"/>
    <x v="5"/>
    <x v="2"/>
    <x v="3"/>
    <x v="4"/>
    <x v="1"/>
    <x v="0"/>
    <n v="3"/>
    <n v="18108"/>
    <n v="54324"/>
    <n v="0"/>
    <n v="0"/>
    <n v="54324"/>
    <n v="30411.759999999998"/>
    <n v="23912.240000000002"/>
    <s v="Aug"/>
    <n v="2025"/>
    <n v="8"/>
  </r>
  <r>
    <s v="ORD-00080"/>
    <x v="379"/>
    <x v="3"/>
    <x v="0"/>
    <x v="0"/>
    <x v="4"/>
    <x v="1"/>
    <x v="0"/>
    <n v="1"/>
    <n v="12434"/>
    <n v="12434"/>
    <n v="0"/>
    <n v="0"/>
    <n v="12434"/>
    <n v="6214.96"/>
    <n v="6219.04"/>
    <s v="Aug"/>
    <n v="2025"/>
    <n v="8"/>
  </r>
  <r>
    <s v="ORD-00978"/>
    <x v="379"/>
    <x v="6"/>
    <x v="1"/>
    <x v="0"/>
    <x v="1"/>
    <x v="1"/>
    <x v="0"/>
    <n v="3"/>
    <n v="31792"/>
    <n v="95376"/>
    <n v="0"/>
    <n v="0"/>
    <n v="95376"/>
    <n v="45933.69"/>
    <n v="49442.31"/>
    <s v="Aug"/>
    <n v="2025"/>
    <n v="8"/>
  </r>
  <r>
    <s v="ORD-01090"/>
    <x v="380"/>
    <x v="0"/>
    <x v="0"/>
    <x v="1"/>
    <x v="3"/>
    <x v="0"/>
    <x v="0"/>
    <n v="2"/>
    <n v="15216"/>
    <n v="30432"/>
    <n v="0"/>
    <n v="0"/>
    <n v="30432"/>
    <n v="18144.21"/>
    <n v="12287.79"/>
    <s v="Aug"/>
    <n v="2025"/>
    <n v="8"/>
  </r>
  <r>
    <s v="ORD-00699"/>
    <x v="381"/>
    <x v="8"/>
    <x v="2"/>
    <x v="3"/>
    <x v="4"/>
    <x v="1"/>
    <x v="0"/>
    <n v="1"/>
    <n v="37189"/>
    <n v="37189"/>
    <n v="1859.45"/>
    <n v="0.05"/>
    <n v="35329.550000000003"/>
    <n v="21177.45"/>
    <n v="14152.100000000002"/>
    <s v="Aug"/>
    <n v="2025"/>
    <n v="8"/>
  </r>
  <r>
    <s v="ORD-00415"/>
    <x v="382"/>
    <x v="1"/>
    <x v="1"/>
    <x v="0"/>
    <x v="0"/>
    <x v="1"/>
    <x v="0"/>
    <n v="2"/>
    <n v="67148"/>
    <n v="134296"/>
    <n v="0"/>
    <n v="0"/>
    <n v="134296"/>
    <n v="81526.36"/>
    <n v="52769.64"/>
    <s v="Aug"/>
    <n v="2025"/>
    <n v="8"/>
  </r>
  <r>
    <s v="ORD-00812"/>
    <x v="383"/>
    <x v="6"/>
    <x v="1"/>
    <x v="3"/>
    <x v="1"/>
    <x v="1"/>
    <x v="0"/>
    <n v="5"/>
    <n v="31309"/>
    <n v="156545"/>
    <n v="0"/>
    <n v="0"/>
    <n v="156545"/>
    <n v="79621.34"/>
    <n v="76923.66"/>
    <s v="Aug"/>
    <n v="2025"/>
    <n v="8"/>
  </r>
  <r>
    <s v="ORD-00037"/>
    <x v="384"/>
    <x v="8"/>
    <x v="2"/>
    <x v="0"/>
    <x v="0"/>
    <x v="0"/>
    <x v="0"/>
    <n v="3"/>
    <n v="39932"/>
    <n v="119796"/>
    <n v="0"/>
    <n v="0"/>
    <n v="119796"/>
    <n v="70547.600000000006"/>
    <n v="49248.399999999994"/>
    <s v="Aug"/>
    <n v="2025"/>
    <n v="8"/>
  </r>
  <r>
    <s v="ORD-00778"/>
    <x v="384"/>
    <x v="3"/>
    <x v="0"/>
    <x v="2"/>
    <x v="0"/>
    <x v="1"/>
    <x v="0"/>
    <n v="3"/>
    <n v="12466"/>
    <n v="37398"/>
    <n v="0"/>
    <n v="0"/>
    <n v="37398"/>
    <n v="23627.23"/>
    <n v="13770.77"/>
    <s v="Aug"/>
    <n v="2025"/>
    <n v="8"/>
  </r>
  <r>
    <s v="ORD-00633"/>
    <x v="385"/>
    <x v="5"/>
    <x v="2"/>
    <x v="1"/>
    <x v="1"/>
    <x v="0"/>
    <x v="0"/>
    <n v="2"/>
    <n v="17884"/>
    <n v="35768"/>
    <n v="5365.2"/>
    <n v="0.15"/>
    <n v="30402.799999999999"/>
    <n v="17404.34"/>
    <n v="12998.46"/>
    <s v="Aug"/>
    <n v="2025"/>
    <n v="8"/>
  </r>
  <r>
    <s v="ORD-00853"/>
    <x v="385"/>
    <x v="7"/>
    <x v="2"/>
    <x v="1"/>
    <x v="4"/>
    <x v="1"/>
    <x v="0"/>
    <n v="2"/>
    <n v="52153"/>
    <n v="104306"/>
    <n v="10430.6"/>
    <n v="0.1"/>
    <n v="93875.4"/>
    <n v="70093.88"/>
    <n v="23781.51999999999"/>
    <s v="Aug"/>
    <n v="2025"/>
    <n v="8"/>
  </r>
  <r>
    <s v="ORD-00389"/>
    <x v="386"/>
    <x v="5"/>
    <x v="2"/>
    <x v="2"/>
    <x v="4"/>
    <x v="0"/>
    <x v="0"/>
    <n v="1"/>
    <n v="17236"/>
    <n v="17236"/>
    <n v="1723.6"/>
    <n v="0.1"/>
    <n v="15512.4"/>
    <n v="9436.1299999999992"/>
    <n v="6076.27"/>
    <s v="Aug"/>
    <n v="2025"/>
    <n v="8"/>
  </r>
  <r>
    <s v="ORD-00253"/>
    <x v="387"/>
    <x v="9"/>
    <x v="0"/>
    <x v="0"/>
    <x v="1"/>
    <x v="0"/>
    <x v="0"/>
    <n v="1"/>
    <n v="47768"/>
    <n v="47768"/>
    <n v="0"/>
    <n v="0"/>
    <n v="47768"/>
    <n v="24844.639999999999"/>
    <n v="22923.360000000001"/>
    <s v="Aug"/>
    <n v="2025"/>
    <n v="8"/>
  </r>
  <r>
    <s v="ORD-00166"/>
    <x v="388"/>
    <x v="6"/>
    <x v="1"/>
    <x v="0"/>
    <x v="1"/>
    <x v="1"/>
    <x v="0"/>
    <n v="3"/>
    <n v="31949"/>
    <n v="95847"/>
    <n v="0"/>
    <n v="0"/>
    <n v="95847"/>
    <n v="59901.62"/>
    <n v="35945.379999999997"/>
    <s v="Aug"/>
    <n v="2025"/>
    <n v="8"/>
  </r>
  <r>
    <s v="ORD-01011"/>
    <x v="389"/>
    <x v="3"/>
    <x v="0"/>
    <x v="3"/>
    <x v="3"/>
    <x v="0"/>
    <x v="0"/>
    <n v="2"/>
    <n v="11651"/>
    <n v="23302"/>
    <n v="0"/>
    <n v="0"/>
    <n v="23302"/>
    <n v="13499.89"/>
    <n v="9802.11"/>
    <s v="Sep"/>
    <n v="2025"/>
    <n v="9"/>
  </r>
  <r>
    <s v="ORD-00994"/>
    <x v="389"/>
    <x v="7"/>
    <x v="2"/>
    <x v="0"/>
    <x v="4"/>
    <x v="1"/>
    <x v="0"/>
    <n v="3"/>
    <n v="51687"/>
    <n v="155061"/>
    <n v="0"/>
    <n v="0"/>
    <n v="155061"/>
    <n v="90229.46"/>
    <n v="64831.539999999994"/>
    <s v="Sep"/>
    <n v="2025"/>
    <n v="9"/>
  </r>
  <r>
    <s v="ORD-00303"/>
    <x v="390"/>
    <x v="5"/>
    <x v="2"/>
    <x v="1"/>
    <x v="0"/>
    <x v="0"/>
    <x v="0"/>
    <n v="4"/>
    <n v="17463"/>
    <n v="69852"/>
    <n v="0"/>
    <n v="0"/>
    <n v="69852"/>
    <n v="43276.34"/>
    <n v="26575.660000000003"/>
    <s v="Sep"/>
    <n v="2025"/>
    <n v="9"/>
  </r>
  <r>
    <s v="ORD-00102"/>
    <x v="390"/>
    <x v="9"/>
    <x v="0"/>
    <x v="2"/>
    <x v="3"/>
    <x v="0"/>
    <x v="0"/>
    <n v="5"/>
    <n v="45167"/>
    <n v="225835"/>
    <n v="0"/>
    <n v="0"/>
    <n v="225835"/>
    <n v="144211.66"/>
    <n v="81623.34"/>
    <s v="Sep"/>
    <n v="2025"/>
    <n v="9"/>
  </r>
  <r>
    <s v="ORD-00701"/>
    <x v="390"/>
    <x v="4"/>
    <x v="2"/>
    <x v="1"/>
    <x v="4"/>
    <x v="1"/>
    <x v="0"/>
    <n v="4"/>
    <n v="25109"/>
    <n v="100436"/>
    <n v="0"/>
    <n v="0"/>
    <n v="100436"/>
    <n v="48225.14"/>
    <n v="52210.86"/>
    <s v="Sep"/>
    <n v="2025"/>
    <n v="9"/>
  </r>
  <r>
    <s v="ORD-01096"/>
    <x v="391"/>
    <x v="3"/>
    <x v="0"/>
    <x v="3"/>
    <x v="1"/>
    <x v="1"/>
    <x v="0"/>
    <n v="2"/>
    <n v="12777"/>
    <n v="25554"/>
    <n v="0"/>
    <n v="0"/>
    <n v="25554"/>
    <n v="13480.75"/>
    <n v="12073.25"/>
    <s v="Sep"/>
    <n v="2025"/>
    <n v="9"/>
  </r>
  <r>
    <s v="ORD-00783"/>
    <x v="392"/>
    <x v="2"/>
    <x v="2"/>
    <x v="3"/>
    <x v="4"/>
    <x v="0"/>
    <x v="0"/>
    <n v="1"/>
    <n v="38642"/>
    <n v="38642"/>
    <n v="0"/>
    <n v="0"/>
    <n v="38642"/>
    <n v="25626.93"/>
    <n v="13015.07"/>
    <s v="Sep"/>
    <n v="2025"/>
    <n v="9"/>
  </r>
  <r>
    <s v="ORD-00394"/>
    <x v="393"/>
    <x v="6"/>
    <x v="1"/>
    <x v="1"/>
    <x v="3"/>
    <x v="0"/>
    <x v="0"/>
    <n v="4"/>
    <n v="31534"/>
    <n v="126136"/>
    <n v="0"/>
    <n v="0"/>
    <n v="126136"/>
    <n v="65571.03"/>
    <n v="60564.97"/>
    <s v="Sep"/>
    <n v="2025"/>
    <n v="9"/>
  </r>
  <r>
    <s v="ORD-01098"/>
    <x v="394"/>
    <x v="8"/>
    <x v="2"/>
    <x v="1"/>
    <x v="1"/>
    <x v="1"/>
    <x v="0"/>
    <n v="3"/>
    <n v="38668"/>
    <n v="116004"/>
    <n v="0"/>
    <n v="0"/>
    <n v="116004"/>
    <n v="62978.03"/>
    <n v="53025.97"/>
    <s v="Sep"/>
    <n v="2025"/>
    <n v="9"/>
  </r>
  <r>
    <s v="ORD-00697"/>
    <x v="395"/>
    <x v="5"/>
    <x v="2"/>
    <x v="0"/>
    <x v="2"/>
    <x v="1"/>
    <x v="0"/>
    <n v="3"/>
    <n v="19101"/>
    <n v="57303"/>
    <n v="0"/>
    <n v="0"/>
    <n v="57303"/>
    <n v="28959.15"/>
    <n v="28343.85"/>
    <s v="Sep"/>
    <n v="2025"/>
    <n v="9"/>
  </r>
  <r>
    <s v="ORD-01034"/>
    <x v="395"/>
    <x v="3"/>
    <x v="0"/>
    <x v="1"/>
    <x v="4"/>
    <x v="0"/>
    <x v="0"/>
    <n v="3"/>
    <n v="12435"/>
    <n v="37305"/>
    <n v="0"/>
    <n v="0"/>
    <n v="37305"/>
    <n v="25294.77"/>
    <n v="12010.23"/>
    <s v="Sep"/>
    <n v="2025"/>
    <n v="9"/>
  </r>
  <r>
    <s v="ORD-00582"/>
    <x v="396"/>
    <x v="5"/>
    <x v="2"/>
    <x v="3"/>
    <x v="4"/>
    <x v="1"/>
    <x v="0"/>
    <n v="1"/>
    <n v="18334"/>
    <n v="18334"/>
    <n v="0"/>
    <n v="0"/>
    <n v="18334"/>
    <n v="10231.57"/>
    <n v="8102.43"/>
    <s v="Sep"/>
    <n v="2025"/>
    <n v="9"/>
  </r>
  <r>
    <s v="ORD-00186"/>
    <x v="396"/>
    <x v="2"/>
    <x v="2"/>
    <x v="1"/>
    <x v="3"/>
    <x v="0"/>
    <x v="0"/>
    <n v="3"/>
    <n v="43768"/>
    <n v="131304"/>
    <n v="0"/>
    <n v="0"/>
    <n v="131304"/>
    <n v="86368.81"/>
    <n v="44935.19"/>
    <s v="Sep"/>
    <n v="2025"/>
    <n v="9"/>
  </r>
  <r>
    <s v="ORD-00707"/>
    <x v="396"/>
    <x v="7"/>
    <x v="2"/>
    <x v="3"/>
    <x v="4"/>
    <x v="0"/>
    <x v="0"/>
    <n v="1"/>
    <n v="49913"/>
    <n v="49913"/>
    <n v="0"/>
    <n v="0"/>
    <n v="49913"/>
    <n v="33184.339999999997"/>
    <n v="16728.660000000003"/>
    <s v="Sep"/>
    <n v="2025"/>
    <n v="9"/>
  </r>
  <r>
    <s v="ORD-00657"/>
    <x v="397"/>
    <x v="4"/>
    <x v="2"/>
    <x v="1"/>
    <x v="3"/>
    <x v="0"/>
    <x v="0"/>
    <n v="1"/>
    <n v="26890"/>
    <n v="26890"/>
    <n v="1344.5"/>
    <n v="0.05"/>
    <n v="25545.5"/>
    <n v="13552.14"/>
    <n v="11993.36"/>
    <s v="Sep"/>
    <n v="2025"/>
    <n v="9"/>
  </r>
  <r>
    <s v="ORD-00265"/>
    <x v="398"/>
    <x v="6"/>
    <x v="1"/>
    <x v="2"/>
    <x v="4"/>
    <x v="0"/>
    <x v="0"/>
    <n v="5"/>
    <n v="28286"/>
    <n v="141430"/>
    <n v="0"/>
    <n v="0"/>
    <n v="141430"/>
    <n v="90451.05"/>
    <n v="50978.95"/>
    <s v="Sep"/>
    <n v="2025"/>
    <n v="9"/>
  </r>
  <r>
    <s v="ORD-00826"/>
    <x v="399"/>
    <x v="0"/>
    <x v="0"/>
    <x v="1"/>
    <x v="4"/>
    <x v="1"/>
    <x v="0"/>
    <n v="1"/>
    <n v="14317"/>
    <n v="14317"/>
    <n v="1431.7"/>
    <n v="0.1"/>
    <n v="12885.3"/>
    <n v="8254.8799999999992"/>
    <n v="4630.42"/>
    <s v="Sep"/>
    <n v="2025"/>
    <n v="9"/>
  </r>
  <r>
    <s v="ORD-00201"/>
    <x v="400"/>
    <x v="2"/>
    <x v="2"/>
    <x v="0"/>
    <x v="4"/>
    <x v="1"/>
    <x v="0"/>
    <n v="1"/>
    <n v="40701"/>
    <n v="40701"/>
    <n v="2035.05"/>
    <n v="0.05"/>
    <n v="38665.949999999997"/>
    <n v="24593.919999999998"/>
    <n v="14072.029999999999"/>
    <s v="Sep"/>
    <n v="2025"/>
    <n v="9"/>
  </r>
  <r>
    <s v="ORD-00134"/>
    <x v="400"/>
    <x v="8"/>
    <x v="2"/>
    <x v="3"/>
    <x v="3"/>
    <x v="1"/>
    <x v="0"/>
    <n v="1"/>
    <n v="35232"/>
    <n v="35232"/>
    <n v="0"/>
    <n v="0"/>
    <n v="35232"/>
    <n v="23581.8"/>
    <n v="11650.2"/>
    <s v="Sep"/>
    <n v="2025"/>
    <n v="9"/>
  </r>
  <r>
    <s v="ORD-01084"/>
    <x v="401"/>
    <x v="7"/>
    <x v="2"/>
    <x v="2"/>
    <x v="3"/>
    <x v="0"/>
    <x v="0"/>
    <n v="3"/>
    <n v="46923"/>
    <n v="140769"/>
    <n v="0"/>
    <n v="0"/>
    <n v="140769"/>
    <n v="91288.08"/>
    <n v="49480.92"/>
    <s v="Sep"/>
    <n v="2025"/>
    <n v="9"/>
  </r>
  <r>
    <s v="ORD-00980"/>
    <x v="402"/>
    <x v="6"/>
    <x v="1"/>
    <x v="0"/>
    <x v="1"/>
    <x v="0"/>
    <x v="0"/>
    <n v="5"/>
    <n v="27610"/>
    <n v="138050"/>
    <n v="0"/>
    <n v="0"/>
    <n v="138050"/>
    <n v="88863.96"/>
    <n v="49186.039999999994"/>
    <s v="Sep"/>
    <n v="2025"/>
    <n v="9"/>
  </r>
  <r>
    <s v="ORD-00133"/>
    <x v="403"/>
    <x v="4"/>
    <x v="2"/>
    <x v="3"/>
    <x v="3"/>
    <x v="1"/>
    <x v="0"/>
    <n v="3"/>
    <n v="25328"/>
    <n v="75984"/>
    <n v="11397.6"/>
    <n v="0.15"/>
    <n v="64586.400000000001"/>
    <n v="45606.720000000001"/>
    <n v="18979.68"/>
    <s v="Sep"/>
    <n v="2025"/>
    <n v="9"/>
  </r>
  <r>
    <s v="ORD-00442"/>
    <x v="404"/>
    <x v="9"/>
    <x v="0"/>
    <x v="1"/>
    <x v="4"/>
    <x v="0"/>
    <x v="0"/>
    <n v="1"/>
    <n v="45019"/>
    <n v="45019"/>
    <n v="0"/>
    <n v="0"/>
    <n v="45019"/>
    <n v="27469.09"/>
    <n v="17549.91"/>
    <s v="Sep"/>
    <n v="2025"/>
    <n v="9"/>
  </r>
  <r>
    <s v="ORD-00330"/>
    <x v="404"/>
    <x v="7"/>
    <x v="2"/>
    <x v="2"/>
    <x v="4"/>
    <x v="1"/>
    <x v="0"/>
    <n v="3"/>
    <n v="48462"/>
    <n v="145386"/>
    <n v="0"/>
    <n v="0"/>
    <n v="145386"/>
    <n v="95894.720000000001"/>
    <n v="49491.28"/>
    <s v="Sep"/>
    <n v="2025"/>
    <n v="9"/>
  </r>
  <r>
    <s v="ORD-00455"/>
    <x v="404"/>
    <x v="8"/>
    <x v="2"/>
    <x v="1"/>
    <x v="4"/>
    <x v="1"/>
    <x v="0"/>
    <n v="1"/>
    <n v="36066"/>
    <n v="36066"/>
    <n v="3606.6"/>
    <n v="0.1"/>
    <n v="32459.4"/>
    <n v="23405.37"/>
    <n v="9054.0300000000025"/>
    <s v="Sep"/>
    <n v="2025"/>
    <n v="9"/>
  </r>
  <r>
    <s v="ORD-00630"/>
    <x v="404"/>
    <x v="5"/>
    <x v="2"/>
    <x v="1"/>
    <x v="3"/>
    <x v="0"/>
    <x v="0"/>
    <n v="1"/>
    <n v="17345"/>
    <n v="17345"/>
    <n v="0"/>
    <n v="0"/>
    <n v="17345"/>
    <n v="11405.51"/>
    <n v="5939.49"/>
    <s v="Sep"/>
    <n v="2025"/>
    <n v="9"/>
  </r>
  <r>
    <s v="ORD-01019"/>
    <x v="404"/>
    <x v="7"/>
    <x v="2"/>
    <x v="1"/>
    <x v="0"/>
    <x v="1"/>
    <x v="0"/>
    <n v="3"/>
    <n v="53847"/>
    <n v="161541"/>
    <n v="0"/>
    <n v="0"/>
    <n v="161541"/>
    <n v="78347.87"/>
    <n v="83193.13"/>
    <s v="Sep"/>
    <n v="2025"/>
    <n v="9"/>
  </r>
  <r>
    <s v="ORD-01185"/>
    <x v="405"/>
    <x v="2"/>
    <x v="2"/>
    <x v="2"/>
    <x v="3"/>
    <x v="0"/>
    <x v="0"/>
    <n v="4"/>
    <n v="45238"/>
    <n v="180952"/>
    <n v="0"/>
    <n v="0"/>
    <n v="180952"/>
    <n v="104811.8"/>
    <n v="76140.2"/>
    <s v="Sep"/>
    <n v="2025"/>
    <n v="9"/>
  </r>
  <r>
    <s v="ORD-00320"/>
    <x v="406"/>
    <x v="6"/>
    <x v="1"/>
    <x v="1"/>
    <x v="2"/>
    <x v="1"/>
    <x v="0"/>
    <n v="2"/>
    <n v="31921"/>
    <n v="63842"/>
    <n v="0"/>
    <n v="0"/>
    <n v="63842"/>
    <n v="39280.21"/>
    <n v="24561.79"/>
    <s v="Sep"/>
    <n v="2025"/>
    <n v="9"/>
  </r>
  <r>
    <s v="ORD-00660"/>
    <x v="407"/>
    <x v="8"/>
    <x v="2"/>
    <x v="3"/>
    <x v="2"/>
    <x v="1"/>
    <x v="0"/>
    <n v="2"/>
    <n v="37726"/>
    <n v="75452"/>
    <n v="0"/>
    <n v="0"/>
    <n v="75452"/>
    <n v="46880.480000000003"/>
    <n v="28571.519999999997"/>
    <s v="Sep"/>
    <n v="2025"/>
    <n v="9"/>
  </r>
  <r>
    <s v="ORD-00218"/>
    <x v="408"/>
    <x v="5"/>
    <x v="2"/>
    <x v="0"/>
    <x v="3"/>
    <x v="0"/>
    <x v="0"/>
    <n v="1"/>
    <n v="17022"/>
    <n v="17022"/>
    <n v="0"/>
    <n v="0"/>
    <n v="17022"/>
    <n v="8802.58"/>
    <n v="8219.42"/>
    <s v="Oct"/>
    <n v="2025"/>
    <n v="10"/>
  </r>
  <r>
    <s v="ORD-00880"/>
    <x v="408"/>
    <x v="9"/>
    <x v="0"/>
    <x v="3"/>
    <x v="4"/>
    <x v="0"/>
    <x v="0"/>
    <n v="1"/>
    <n v="45125"/>
    <n v="45125"/>
    <n v="0"/>
    <n v="0"/>
    <n v="45125"/>
    <n v="26615.48"/>
    <n v="18509.52"/>
    <s v="Oct"/>
    <n v="2025"/>
    <n v="10"/>
  </r>
  <r>
    <s v="ORD-00180"/>
    <x v="409"/>
    <x v="8"/>
    <x v="2"/>
    <x v="0"/>
    <x v="0"/>
    <x v="1"/>
    <x v="0"/>
    <n v="1"/>
    <n v="37252"/>
    <n v="37252"/>
    <n v="1862.6"/>
    <n v="0.05"/>
    <n v="35389.4"/>
    <n v="23876.69"/>
    <n v="11512.710000000003"/>
    <s v="Oct"/>
    <n v="2025"/>
    <n v="10"/>
  </r>
  <r>
    <s v="ORD-00147"/>
    <x v="410"/>
    <x v="5"/>
    <x v="2"/>
    <x v="2"/>
    <x v="4"/>
    <x v="0"/>
    <x v="0"/>
    <n v="2"/>
    <n v="18364"/>
    <n v="36728"/>
    <n v="0"/>
    <n v="0"/>
    <n v="36728"/>
    <n v="17769.86"/>
    <n v="18958.14"/>
    <s v="Oct"/>
    <n v="2025"/>
    <n v="10"/>
  </r>
  <r>
    <s v="ORD-00103"/>
    <x v="411"/>
    <x v="8"/>
    <x v="2"/>
    <x v="1"/>
    <x v="4"/>
    <x v="0"/>
    <x v="0"/>
    <n v="1"/>
    <n v="38122"/>
    <n v="38122"/>
    <n v="0"/>
    <n v="0"/>
    <n v="38122"/>
    <n v="22551.599999999999"/>
    <n v="15570.400000000001"/>
    <s v="Oct"/>
    <n v="2025"/>
    <n v="10"/>
  </r>
  <r>
    <s v="ORD-00637"/>
    <x v="412"/>
    <x v="0"/>
    <x v="0"/>
    <x v="3"/>
    <x v="4"/>
    <x v="1"/>
    <x v="0"/>
    <n v="3"/>
    <n v="14093"/>
    <n v="42279"/>
    <n v="2113.9499999999998"/>
    <n v="0.05"/>
    <n v="40165.050000000003"/>
    <n v="27730.48"/>
    <n v="12434.570000000003"/>
    <s v="Oct"/>
    <n v="2025"/>
    <n v="10"/>
  </r>
  <r>
    <s v="ORD-00129"/>
    <x v="413"/>
    <x v="0"/>
    <x v="0"/>
    <x v="0"/>
    <x v="4"/>
    <x v="1"/>
    <x v="0"/>
    <n v="1"/>
    <n v="15404"/>
    <n v="15404"/>
    <n v="0"/>
    <n v="0"/>
    <n v="15404"/>
    <n v="8508.92"/>
    <n v="6895.08"/>
    <s v="Oct"/>
    <n v="2025"/>
    <n v="10"/>
  </r>
  <r>
    <s v="ORD-00724"/>
    <x v="413"/>
    <x v="6"/>
    <x v="1"/>
    <x v="2"/>
    <x v="4"/>
    <x v="1"/>
    <x v="0"/>
    <n v="1"/>
    <n v="31098"/>
    <n v="31098"/>
    <n v="0"/>
    <n v="0"/>
    <n v="31098"/>
    <n v="16661.509999999998"/>
    <n v="14436.490000000002"/>
    <s v="Oct"/>
    <n v="2025"/>
    <n v="10"/>
  </r>
  <r>
    <s v="ORD-01008"/>
    <x v="413"/>
    <x v="4"/>
    <x v="2"/>
    <x v="1"/>
    <x v="4"/>
    <x v="1"/>
    <x v="0"/>
    <n v="2"/>
    <n v="26849"/>
    <n v="53698"/>
    <n v="0"/>
    <n v="0"/>
    <n v="53698"/>
    <n v="34776.53"/>
    <n v="18921.47"/>
    <s v="Oct"/>
    <n v="2025"/>
    <n v="10"/>
  </r>
  <r>
    <s v="ORD-00032"/>
    <x v="414"/>
    <x v="3"/>
    <x v="0"/>
    <x v="0"/>
    <x v="4"/>
    <x v="1"/>
    <x v="0"/>
    <n v="1"/>
    <n v="11281"/>
    <n v="11281"/>
    <n v="0"/>
    <n v="0"/>
    <n v="11281"/>
    <n v="5738.74"/>
    <n v="5542.26"/>
    <s v="Oct"/>
    <n v="2025"/>
    <n v="10"/>
  </r>
  <r>
    <s v="ORD-00078"/>
    <x v="415"/>
    <x v="6"/>
    <x v="1"/>
    <x v="2"/>
    <x v="1"/>
    <x v="1"/>
    <x v="0"/>
    <n v="1"/>
    <n v="31084"/>
    <n v="31084"/>
    <n v="0"/>
    <n v="0"/>
    <n v="31084"/>
    <n v="16247.68"/>
    <n v="14836.32"/>
    <s v="Oct"/>
    <n v="2025"/>
    <n v="10"/>
  </r>
  <r>
    <s v="ORD-00137"/>
    <x v="416"/>
    <x v="8"/>
    <x v="2"/>
    <x v="1"/>
    <x v="4"/>
    <x v="0"/>
    <x v="0"/>
    <n v="2"/>
    <n v="36864"/>
    <n v="73728"/>
    <n v="0"/>
    <n v="0"/>
    <n v="73728"/>
    <n v="42583.1"/>
    <n v="31144.9"/>
    <s v="Oct"/>
    <n v="2025"/>
    <n v="10"/>
  </r>
  <r>
    <s v="ORD-00469"/>
    <x v="417"/>
    <x v="6"/>
    <x v="1"/>
    <x v="0"/>
    <x v="4"/>
    <x v="0"/>
    <x v="0"/>
    <n v="3"/>
    <n v="28147"/>
    <n v="84441"/>
    <n v="0"/>
    <n v="0"/>
    <n v="84441"/>
    <n v="54621.919999999998"/>
    <n v="29819.08"/>
    <s v="Oct"/>
    <n v="2025"/>
    <n v="10"/>
  </r>
  <r>
    <s v="ORD-00286"/>
    <x v="418"/>
    <x v="6"/>
    <x v="1"/>
    <x v="3"/>
    <x v="0"/>
    <x v="1"/>
    <x v="0"/>
    <n v="3"/>
    <n v="28292"/>
    <n v="84876"/>
    <n v="0"/>
    <n v="0"/>
    <n v="84876"/>
    <n v="41203.050000000003"/>
    <n v="43672.95"/>
    <s v="Oct"/>
    <n v="2025"/>
    <n v="10"/>
  </r>
  <r>
    <s v="ORD-00745"/>
    <x v="418"/>
    <x v="7"/>
    <x v="2"/>
    <x v="3"/>
    <x v="3"/>
    <x v="1"/>
    <x v="0"/>
    <n v="2"/>
    <n v="46915"/>
    <n v="93830"/>
    <n v="0"/>
    <n v="0"/>
    <n v="93830"/>
    <n v="59699.47"/>
    <n v="34130.53"/>
    <s v="Oct"/>
    <n v="2025"/>
    <n v="10"/>
  </r>
  <r>
    <s v="ORD-00495"/>
    <x v="419"/>
    <x v="7"/>
    <x v="2"/>
    <x v="2"/>
    <x v="1"/>
    <x v="1"/>
    <x v="0"/>
    <n v="4"/>
    <n v="48022"/>
    <n v="192088"/>
    <n v="0"/>
    <n v="0"/>
    <n v="192088"/>
    <n v="102498.05"/>
    <n v="89589.95"/>
    <s v="Oct"/>
    <n v="2025"/>
    <n v="10"/>
  </r>
  <r>
    <s v="ORD-00317"/>
    <x v="419"/>
    <x v="3"/>
    <x v="0"/>
    <x v="2"/>
    <x v="4"/>
    <x v="0"/>
    <x v="0"/>
    <n v="2"/>
    <n v="11093"/>
    <n v="22186"/>
    <n v="0"/>
    <n v="0"/>
    <n v="22186"/>
    <n v="14229.02"/>
    <n v="7956.98"/>
    <s v="Oct"/>
    <n v="2025"/>
    <n v="10"/>
  </r>
  <r>
    <s v="ORD-00321"/>
    <x v="420"/>
    <x v="8"/>
    <x v="2"/>
    <x v="0"/>
    <x v="2"/>
    <x v="1"/>
    <x v="0"/>
    <n v="3"/>
    <n v="38983"/>
    <n v="116949"/>
    <n v="5847.45"/>
    <n v="0.05"/>
    <n v="111101.55"/>
    <n v="70016.460000000006"/>
    <n v="41085.089999999997"/>
    <s v="Oct"/>
    <n v="2025"/>
    <n v="10"/>
  </r>
  <r>
    <s v="ORD-00445"/>
    <x v="421"/>
    <x v="2"/>
    <x v="2"/>
    <x v="0"/>
    <x v="4"/>
    <x v="0"/>
    <x v="0"/>
    <n v="2"/>
    <n v="39172"/>
    <n v="78344"/>
    <n v="0"/>
    <n v="0"/>
    <n v="78344"/>
    <n v="37909.85"/>
    <n v="40434.15"/>
    <s v="Oct"/>
    <n v="2025"/>
    <n v="10"/>
  </r>
  <r>
    <s v="ORD-00239"/>
    <x v="422"/>
    <x v="6"/>
    <x v="1"/>
    <x v="0"/>
    <x v="2"/>
    <x v="0"/>
    <x v="0"/>
    <n v="1"/>
    <n v="31564"/>
    <n v="31564"/>
    <n v="0"/>
    <n v="0"/>
    <n v="31564"/>
    <n v="16908.57"/>
    <n v="14655.43"/>
    <s v="Oct"/>
    <n v="2025"/>
    <n v="10"/>
  </r>
  <r>
    <s v="ORD-00169"/>
    <x v="423"/>
    <x v="3"/>
    <x v="0"/>
    <x v="3"/>
    <x v="4"/>
    <x v="1"/>
    <x v="0"/>
    <n v="2"/>
    <n v="12666"/>
    <n v="25332"/>
    <n v="0"/>
    <n v="0"/>
    <n v="25332"/>
    <n v="16711.830000000002"/>
    <n v="8620.1699999999983"/>
    <s v="Oct"/>
    <n v="2025"/>
    <n v="10"/>
  </r>
  <r>
    <s v="ORD-01069"/>
    <x v="424"/>
    <x v="4"/>
    <x v="2"/>
    <x v="3"/>
    <x v="3"/>
    <x v="0"/>
    <x v="0"/>
    <n v="3"/>
    <n v="26951"/>
    <n v="80853"/>
    <n v="0"/>
    <n v="0"/>
    <n v="80853"/>
    <n v="45883.91"/>
    <n v="34969.089999999997"/>
    <s v="Oct"/>
    <n v="2025"/>
    <n v="10"/>
  </r>
  <r>
    <s v="ORD-00866"/>
    <x v="424"/>
    <x v="8"/>
    <x v="2"/>
    <x v="1"/>
    <x v="3"/>
    <x v="0"/>
    <x v="0"/>
    <n v="3"/>
    <n v="40072"/>
    <n v="120216"/>
    <n v="12021.6"/>
    <n v="0.1"/>
    <n v="108194.4"/>
    <n v="72353.289999999994"/>
    <n v="35841.11"/>
    <s v="Oct"/>
    <n v="2025"/>
    <n v="10"/>
  </r>
  <r>
    <s v="ORD-00705"/>
    <x v="425"/>
    <x v="9"/>
    <x v="0"/>
    <x v="2"/>
    <x v="0"/>
    <x v="0"/>
    <x v="0"/>
    <n v="2"/>
    <n v="47450"/>
    <n v="94900"/>
    <n v="0"/>
    <n v="0"/>
    <n v="94900"/>
    <n v="51981.47"/>
    <n v="42918.53"/>
    <s v="Oct"/>
    <n v="2025"/>
    <n v="10"/>
  </r>
  <r>
    <s v="ORD-00892"/>
    <x v="425"/>
    <x v="4"/>
    <x v="2"/>
    <x v="2"/>
    <x v="1"/>
    <x v="1"/>
    <x v="0"/>
    <n v="4"/>
    <n v="26378"/>
    <n v="105512"/>
    <n v="0"/>
    <n v="0"/>
    <n v="105512"/>
    <n v="59948.86"/>
    <n v="45563.14"/>
    <s v="Oct"/>
    <n v="2025"/>
    <n v="10"/>
  </r>
  <r>
    <s v="ORD-00408"/>
    <x v="426"/>
    <x v="7"/>
    <x v="2"/>
    <x v="3"/>
    <x v="0"/>
    <x v="0"/>
    <x v="0"/>
    <n v="2"/>
    <n v="52440"/>
    <n v="104880"/>
    <n v="0"/>
    <n v="0"/>
    <n v="104880"/>
    <n v="58629.04"/>
    <n v="46250.96"/>
    <s v="Oct"/>
    <n v="2025"/>
    <n v="10"/>
  </r>
  <r>
    <s v="ORD-00885"/>
    <x v="427"/>
    <x v="8"/>
    <x v="2"/>
    <x v="3"/>
    <x v="4"/>
    <x v="0"/>
    <x v="0"/>
    <n v="3"/>
    <n v="40038"/>
    <n v="120114"/>
    <n v="0"/>
    <n v="0"/>
    <n v="120114"/>
    <n v="75073.490000000005"/>
    <n v="45040.509999999995"/>
    <s v="Oct"/>
    <n v="2025"/>
    <n v="10"/>
  </r>
  <r>
    <s v="ORD-01035"/>
    <x v="427"/>
    <x v="4"/>
    <x v="2"/>
    <x v="2"/>
    <x v="4"/>
    <x v="1"/>
    <x v="0"/>
    <n v="2"/>
    <n v="24498"/>
    <n v="48996"/>
    <n v="2449.8000000000002"/>
    <n v="0.05"/>
    <n v="46546.2"/>
    <n v="27313.22"/>
    <n v="19232.979999999996"/>
    <s v="Oct"/>
    <n v="2025"/>
    <n v="10"/>
  </r>
  <r>
    <s v="ORD-00140"/>
    <x v="427"/>
    <x v="2"/>
    <x v="2"/>
    <x v="3"/>
    <x v="4"/>
    <x v="1"/>
    <x v="0"/>
    <n v="1"/>
    <n v="40456"/>
    <n v="40456"/>
    <n v="0"/>
    <n v="0"/>
    <n v="40456"/>
    <n v="23931.41"/>
    <n v="16524.59"/>
    <s v="Oct"/>
    <n v="2025"/>
    <n v="10"/>
  </r>
  <r>
    <s v="ORD-00790"/>
    <x v="428"/>
    <x v="9"/>
    <x v="0"/>
    <x v="1"/>
    <x v="3"/>
    <x v="1"/>
    <x v="0"/>
    <n v="1"/>
    <n v="44596"/>
    <n v="44596"/>
    <n v="0"/>
    <n v="0"/>
    <n v="44596"/>
    <n v="23177.88"/>
    <n v="21418.12"/>
    <s v="Oct"/>
    <n v="2025"/>
    <n v="10"/>
  </r>
  <r>
    <s v="ORD-00668"/>
    <x v="429"/>
    <x v="5"/>
    <x v="2"/>
    <x v="1"/>
    <x v="2"/>
    <x v="1"/>
    <x v="0"/>
    <n v="3"/>
    <n v="17757"/>
    <n v="53271"/>
    <n v="0"/>
    <n v="0"/>
    <n v="53271"/>
    <n v="29487.72"/>
    <n v="23783.279999999999"/>
    <s v="Oct"/>
    <n v="2025"/>
    <n v="10"/>
  </r>
  <r>
    <s v="ORD-00893"/>
    <x v="429"/>
    <x v="3"/>
    <x v="0"/>
    <x v="0"/>
    <x v="2"/>
    <x v="1"/>
    <x v="0"/>
    <n v="1"/>
    <n v="11597"/>
    <n v="11597"/>
    <n v="0"/>
    <n v="0"/>
    <n v="11597"/>
    <n v="5936.25"/>
    <n v="5660.75"/>
    <s v="Oct"/>
    <n v="2025"/>
    <n v="10"/>
  </r>
  <r>
    <s v="ORD-00991"/>
    <x v="429"/>
    <x v="1"/>
    <x v="1"/>
    <x v="0"/>
    <x v="1"/>
    <x v="0"/>
    <x v="0"/>
    <n v="1"/>
    <n v="64209"/>
    <n v="64209"/>
    <n v="0"/>
    <n v="0"/>
    <n v="64209"/>
    <n v="41074.449999999997"/>
    <n v="23134.550000000003"/>
    <s v="Oct"/>
    <n v="2025"/>
    <n v="10"/>
  </r>
  <r>
    <s v="ORD-00626"/>
    <x v="430"/>
    <x v="1"/>
    <x v="1"/>
    <x v="1"/>
    <x v="2"/>
    <x v="1"/>
    <x v="0"/>
    <n v="1"/>
    <n v="66109"/>
    <n v="66109"/>
    <n v="0"/>
    <n v="0"/>
    <n v="66109"/>
    <n v="32010.74"/>
    <n v="34098.259999999995"/>
    <s v="Oct"/>
    <n v="2025"/>
    <n v="10"/>
  </r>
  <r>
    <s v="ORD-00504"/>
    <x v="431"/>
    <x v="4"/>
    <x v="2"/>
    <x v="3"/>
    <x v="4"/>
    <x v="0"/>
    <x v="0"/>
    <n v="4"/>
    <n v="23769"/>
    <n v="95076"/>
    <n v="0"/>
    <n v="0"/>
    <n v="95076"/>
    <n v="58269.03"/>
    <n v="36806.97"/>
    <s v="Oct"/>
    <n v="2025"/>
    <n v="10"/>
  </r>
  <r>
    <s v="ORD-00911"/>
    <x v="432"/>
    <x v="7"/>
    <x v="2"/>
    <x v="0"/>
    <x v="4"/>
    <x v="1"/>
    <x v="0"/>
    <n v="2"/>
    <n v="47174"/>
    <n v="94348"/>
    <n v="0"/>
    <n v="0"/>
    <n v="94348"/>
    <n v="45615.95"/>
    <n v="48732.05"/>
    <s v="Oct"/>
    <n v="2025"/>
    <n v="10"/>
  </r>
  <r>
    <s v="ORD-00628"/>
    <x v="433"/>
    <x v="8"/>
    <x v="2"/>
    <x v="3"/>
    <x v="4"/>
    <x v="0"/>
    <x v="4"/>
    <n v="2"/>
    <n v="37670"/>
    <n v="75340"/>
    <n v="7534"/>
    <n v="0.1"/>
    <n v="67806"/>
    <n v="40155.72"/>
    <n v="27650.28"/>
    <s v="Nov"/>
    <n v="2025"/>
    <n v="11"/>
  </r>
  <r>
    <s v="ORD-00487"/>
    <x v="433"/>
    <x v="0"/>
    <x v="0"/>
    <x v="1"/>
    <x v="0"/>
    <x v="1"/>
    <x v="0"/>
    <n v="1"/>
    <n v="14358"/>
    <n v="14358"/>
    <n v="0"/>
    <n v="0"/>
    <n v="14358"/>
    <n v="8854.3799999999992"/>
    <n v="5503.6200000000008"/>
    <s v="Nov"/>
    <n v="2025"/>
    <n v="11"/>
  </r>
  <r>
    <s v="ORD-00571"/>
    <x v="434"/>
    <x v="1"/>
    <x v="1"/>
    <x v="0"/>
    <x v="4"/>
    <x v="1"/>
    <x v="4"/>
    <n v="5"/>
    <n v="64213"/>
    <n v="321065"/>
    <n v="32106.5"/>
    <n v="0.1"/>
    <n v="288958.5"/>
    <n v="192882.54"/>
    <n v="96075.959999999992"/>
    <s v="Nov"/>
    <n v="2025"/>
    <n v="11"/>
  </r>
  <r>
    <s v="ORD-01028"/>
    <x v="435"/>
    <x v="6"/>
    <x v="1"/>
    <x v="0"/>
    <x v="0"/>
    <x v="1"/>
    <x v="4"/>
    <n v="1"/>
    <n v="32154"/>
    <n v="32154"/>
    <n v="3215.4"/>
    <n v="0.1"/>
    <n v="28938.6"/>
    <n v="16436.490000000002"/>
    <n v="12502.109999999997"/>
    <s v="Nov"/>
    <n v="2025"/>
    <n v="11"/>
  </r>
  <r>
    <s v="ORD-00507"/>
    <x v="435"/>
    <x v="1"/>
    <x v="1"/>
    <x v="0"/>
    <x v="2"/>
    <x v="0"/>
    <x v="4"/>
    <n v="2"/>
    <n v="67091"/>
    <n v="134182"/>
    <n v="6709.1"/>
    <n v="0.05"/>
    <n v="127472.9"/>
    <n v="88874.85"/>
    <n v="38598.049999999988"/>
    <s v="Nov"/>
    <n v="2025"/>
    <n v="11"/>
  </r>
  <r>
    <s v="ORD-00400"/>
    <x v="435"/>
    <x v="9"/>
    <x v="0"/>
    <x v="2"/>
    <x v="2"/>
    <x v="1"/>
    <x v="4"/>
    <n v="2"/>
    <n v="46135"/>
    <n v="92270"/>
    <n v="18454"/>
    <n v="0.2"/>
    <n v="73816"/>
    <n v="61506.38"/>
    <n v="12309.620000000003"/>
    <s v="Nov"/>
    <n v="2025"/>
    <n v="11"/>
  </r>
  <r>
    <s v="ORD-00555"/>
    <x v="436"/>
    <x v="7"/>
    <x v="2"/>
    <x v="1"/>
    <x v="4"/>
    <x v="0"/>
    <x v="4"/>
    <n v="2"/>
    <n v="51958"/>
    <n v="103916"/>
    <n v="10391.6"/>
    <n v="0.1"/>
    <n v="93524.4"/>
    <n v="53827.13"/>
    <n v="39697.269999999997"/>
    <s v="Nov"/>
    <n v="2025"/>
    <n v="11"/>
  </r>
  <r>
    <s v="ORD-00298"/>
    <x v="437"/>
    <x v="5"/>
    <x v="2"/>
    <x v="0"/>
    <x v="4"/>
    <x v="1"/>
    <x v="4"/>
    <n v="3"/>
    <n v="17828"/>
    <n v="53484"/>
    <n v="8022.6"/>
    <n v="0.15"/>
    <n v="45461.4"/>
    <n v="29761.200000000001"/>
    <n v="15700.2"/>
    <s v="Nov"/>
    <n v="2025"/>
    <n v="11"/>
  </r>
  <r>
    <s v="ORD-00126"/>
    <x v="437"/>
    <x v="9"/>
    <x v="0"/>
    <x v="2"/>
    <x v="3"/>
    <x v="0"/>
    <x v="0"/>
    <n v="1"/>
    <n v="44240"/>
    <n v="44240"/>
    <n v="0"/>
    <n v="0"/>
    <n v="44240"/>
    <n v="24871.91"/>
    <n v="19368.09"/>
    <s v="Nov"/>
    <n v="2025"/>
    <n v="11"/>
  </r>
  <r>
    <s v="ORD-00634"/>
    <x v="437"/>
    <x v="0"/>
    <x v="0"/>
    <x v="0"/>
    <x v="4"/>
    <x v="1"/>
    <x v="0"/>
    <n v="2"/>
    <n v="14885"/>
    <n v="29770"/>
    <n v="0"/>
    <n v="0"/>
    <n v="29770"/>
    <n v="16132.96"/>
    <n v="13637.04"/>
    <s v="Nov"/>
    <n v="2025"/>
    <n v="11"/>
  </r>
  <r>
    <s v="ORD-00846"/>
    <x v="438"/>
    <x v="1"/>
    <x v="1"/>
    <x v="0"/>
    <x v="2"/>
    <x v="1"/>
    <x v="0"/>
    <n v="1"/>
    <n v="65204"/>
    <n v="65204"/>
    <n v="9780.6"/>
    <n v="0.15"/>
    <n v="55423.4"/>
    <n v="38114.26"/>
    <n v="17309.14"/>
    <s v="Nov"/>
    <n v="2025"/>
    <n v="11"/>
  </r>
  <r>
    <s v="ORD-00099"/>
    <x v="439"/>
    <x v="0"/>
    <x v="0"/>
    <x v="0"/>
    <x v="4"/>
    <x v="1"/>
    <x v="0"/>
    <n v="3"/>
    <n v="14615"/>
    <n v="43845"/>
    <n v="0"/>
    <n v="0"/>
    <n v="43845"/>
    <n v="25823.37"/>
    <n v="18021.63"/>
    <s v="Nov"/>
    <n v="2025"/>
    <n v="11"/>
  </r>
  <r>
    <s v="ORD-00139"/>
    <x v="439"/>
    <x v="8"/>
    <x v="2"/>
    <x v="1"/>
    <x v="1"/>
    <x v="0"/>
    <x v="0"/>
    <n v="2"/>
    <n v="35983"/>
    <n v="71966"/>
    <n v="0"/>
    <n v="0"/>
    <n v="71966"/>
    <n v="46613.09"/>
    <n v="25352.910000000003"/>
    <s v="Nov"/>
    <n v="2025"/>
    <n v="11"/>
  </r>
  <r>
    <s v="ORD-00561"/>
    <x v="440"/>
    <x v="2"/>
    <x v="2"/>
    <x v="2"/>
    <x v="4"/>
    <x v="0"/>
    <x v="4"/>
    <n v="2"/>
    <n v="42898"/>
    <n v="85796"/>
    <n v="12869.4"/>
    <n v="0.15"/>
    <n v="72926.600000000006"/>
    <n v="48782.76"/>
    <n v="24143.840000000004"/>
    <s v="Nov"/>
    <n v="2025"/>
    <n v="11"/>
  </r>
  <r>
    <s v="ORD-00486"/>
    <x v="440"/>
    <x v="5"/>
    <x v="2"/>
    <x v="1"/>
    <x v="1"/>
    <x v="1"/>
    <x v="0"/>
    <n v="3"/>
    <n v="18349"/>
    <n v="55047"/>
    <n v="0"/>
    <n v="0"/>
    <n v="55047"/>
    <n v="31746.43"/>
    <n v="23300.57"/>
    <s v="Nov"/>
    <n v="2025"/>
    <n v="11"/>
  </r>
  <r>
    <s v="ORD-00281"/>
    <x v="440"/>
    <x v="3"/>
    <x v="0"/>
    <x v="0"/>
    <x v="1"/>
    <x v="0"/>
    <x v="0"/>
    <n v="3"/>
    <n v="11972"/>
    <n v="35916"/>
    <n v="0"/>
    <n v="0"/>
    <n v="35916"/>
    <n v="22139.72"/>
    <n v="13776.279999999999"/>
    <s v="Nov"/>
    <n v="2025"/>
    <n v="11"/>
  </r>
  <r>
    <s v="ORD-00264"/>
    <x v="441"/>
    <x v="6"/>
    <x v="1"/>
    <x v="1"/>
    <x v="3"/>
    <x v="1"/>
    <x v="4"/>
    <n v="1"/>
    <n v="28489"/>
    <n v="28489"/>
    <n v="2848.9"/>
    <n v="0.1"/>
    <n v="25640.1"/>
    <n v="14920.88"/>
    <n v="10719.22"/>
    <s v="Nov"/>
    <n v="2025"/>
    <n v="11"/>
  </r>
  <r>
    <s v="ORD-00028"/>
    <x v="442"/>
    <x v="7"/>
    <x v="2"/>
    <x v="1"/>
    <x v="4"/>
    <x v="1"/>
    <x v="4"/>
    <n v="3"/>
    <n v="47989"/>
    <n v="143967"/>
    <n v="14396.7"/>
    <n v="0.1"/>
    <n v="129570.3"/>
    <n v="89454.68"/>
    <n v="40115.62000000001"/>
    <s v="Nov"/>
    <n v="2025"/>
    <n v="11"/>
  </r>
  <r>
    <s v="ORD-01087"/>
    <x v="443"/>
    <x v="5"/>
    <x v="2"/>
    <x v="3"/>
    <x v="1"/>
    <x v="0"/>
    <x v="4"/>
    <n v="3"/>
    <n v="19202"/>
    <n v="57606"/>
    <n v="5760.6"/>
    <n v="0.1"/>
    <n v="51845.4"/>
    <n v="36226.15"/>
    <n v="15619.25"/>
    <s v="Nov"/>
    <n v="2025"/>
    <n v="11"/>
  </r>
  <r>
    <s v="ORD-00220"/>
    <x v="443"/>
    <x v="3"/>
    <x v="0"/>
    <x v="3"/>
    <x v="4"/>
    <x v="0"/>
    <x v="0"/>
    <n v="1"/>
    <n v="12869"/>
    <n v="12869"/>
    <n v="0"/>
    <n v="0"/>
    <n v="12869"/>
    <n v="7089.34"/>
    <n v="5779.66"/>
    <s v="Nov"/>
    <n v="2025"/>
    <n v="11"/>
  </r>
  <r>
    <s v="ORD-01171"/>
    <x v="444"/>
    <x v="9"/>
    <x v="0"/>
    <x v="0"/>
    <x v="0"/>
    <x v="0"/>
    <x v="4"/>
    <n v="4"/>
    <n v="47182"/>
    <n v="188728"/>
    <n v="18872.8"/>
    <n v="0.1"/>
    <n v="169855.2"/>
    <n v="104815.57"/>
    <n v="65039.630000000005"/>
    <s v="Nov"/>
    <n v="2025"/>
    <n v="11"/>
  </r>
  <r>
    <s v="ORD-00543"/>
    <x v="444"/>
    <x v="8"/>
    <x v="2"/>
    <x v="0"/>
    <x v="0"/>
    <x v="1"/>
    <x v="4"/>
    <n v="1"/>
    <n v="39814"/>
    <n v="39814"/>
    <n v="1990.7"/>
    <n v="0.05"/>
    <n v="37823.300000000003"/>
    <n v="20626.689999999999"/>
    <n v="17196.610000000004"/>
    <s v="Nov"/>
    <n v="2025"/>
    <n v="11"/>
  </r>
  <r>
    <s v="ORD-00898"/>
    <x v="444"/>
    <x v="4"/>
    <x v="2"/>
    <x v="3"/>
    <x v="4"/>
    <x v="1"/>
    <x v="4"/>
    <n v="3"/>
    <n v="24783"/>
    <n v="74349"/>
    <n v="11152.35"/>
    <n v="0.15"/>
    <n v="63196.65"/>
    <n v="46495.839999999997"/>
    <n v="16700.810000000005"/>
    <s v="Nov"/>
    <n v="2025"/>
    <n v="11"/>
  </r>
  <r>
    <s v="ORD-00374"/>
    <x v="445"/>
    <x v="0"/>
    <x v="0"/>
    <x v="1"/>
    <x v="4"/>
    <x v="1"/>
    <x v="4"/>
    <n v="1"/>
    <n v="14868"/>
    <n v="14868"/>
    <n v="743.4"/>
    <n v="0.05"/>
    <n v="14124.6"/>
    <n v="9166.58"/>
    <n v="4958.0200000000004"/>
    <s v="Nov"/>
    <n v="2025"/>
    <n v="11"/>
  </r>
  <r>
    <s v="ORD-00751"/>
    <x v="445"/>
    <x v="0"/>
    <x v="0"/>
    <x v="0"/>
    <x v="2"/>
    <x v="1"/>
    <x v="0"/>
    <n v="1"/>
    <n v="15650"/>
    <n v="15650"/>
    <n v="0"/>
    <n v="0"/>
    <n v="15650"/>
    <n v="10475.620000000001"/>
    <n v="5174.3799999999992"/>
    <s v="Nov"/>
    <n v="2025"/>
    <n v="11"/>
  </r>
  <r>
    <s v="ORD-01174"/>
    <x v="445"/>
    <x v="5"/>
    <x v="2"/>
    <x v="0"/>
    <x v="2"/>
    <x v="1"/>
    <x v="4"/>
    <n v="2"/>
    <n v="19270"/>
    <n v="38540"/>
    <n v="3854"/>
    <n v="0.1"/>
    <n v="34686"/>
    <n v="20897.87"/>
    <n v="13788.130000000001"/>
    <s v="Nov"/>
    <n v="2025"/>
    <n v="11"/>
  </r>
  <r>
    <s v="ORD-00377"/>
    <x v="446"/>
    <x v="9"/>
    <x v="0"/>
    <x v="1"/>
    <x v="0"/>
    <x v="1"/>
    <x v="4"/>
    <n v="3"/>
    <n v="45751"/>
    <n v="137253"/>
    <n v="13725.3"/>
    <n v="0.1"/>
    <n v="123527.7"/>
    <n v="88630"/>
    <n v="34897.699999999997"/>
    <s v="Nov"/>
    <n v="2025"/>
    <n v="11"/>
  </r>
  <r>
    <s v="ORD-00702"/>
    <x v="447"/>
    <x v="7"/>
    <x v="2"/>
    <x v="3"/>
    <x v="0"/>
    <x v="1"/>
    <x v="4"/>
    <n v="3"/>
    <n v="47300"/>
    <n v="141900"/>
    <n v="14190"/>
    <n v="0.1"/>
    <n v="127710"/>
    <n v="71899.850000000006"/>
    <n v="55810.149999999994"/>
    <s v="Nov"/>
    <n v="2025"/>
    <n v="11"/>
  </r>
  <r>
    <s v="ORD-01023"/>
    <x v="448"/>
    <x v="0"/>
    <x v="0"/>
    <x v="2"/>
    <x v="1"/>
    <x v="0"/>
    <x v="4"/>
    <n v="1"/>
    <n v="14082"/>
    <n v="14082"/>
    <n v="2112.3000000000002"/>
    <n v="0.15"/>
    <n v="11969.7"/>
    <n v="7392.52"/>
    <n v="4577.18"/>
    <s v="Nov"/>
    <n v="2025"/>
    <n v="11"/>
  </r>
  <r>
    <s v="ORD-01129"/>
    <x v="449"/>
    <x v="9"/>
    <x v="0"/>
    <x v="1"/>
    <x v="2"/>
    <x v="1"/>
    <x v="4"/>
    <n v="2"/>
    <n v="41775"/>
    <n v="83550"/>
    <n v="8355"/>
    <n v="0.1"/>
    <n v="75195"/>
    <n v="40474.29"/>
    <n v="34720.71"/>
    <s v="Nov"/>
    <n v="2025"/>
    <n v="11"/>
  </r>
  <r>
    <s v="ORD-00343"/>
    <x v="449"/>
    <x v="6"/>
    <x v="1"/>
    <x v="1"/>
    <x v="4"/>
    <x v="1"/>
    <x v="0"/>
    <n v="4"/>
    <n v="28545"/>
    <n v="114180"/>
    <n v="0"/>
    <n v="0"/>
    <n v="114180"/>
    <n v="59360.160000000003"/>
    <n v="54819.839999999997"/>
    <s v="Nov"/>
    <n v="2025"/>
    <n v="11"/>
  </r>
  <r>
    <s v="ORD-00509"/>
    <x v="450"/>
    <x v="7"/>
    <x v="2"/>
    <x v="1"/>
    <x v="4"/>
    <x v="1"/>
    <x v="0"/>
    <n v="2"/>
    <n v="53479"/>
    <n v="106958"/>
    <n v="0"/>
    <n v="0"/>
    <n v="106958"/>
    <n v="70563.78"/>
    <n v="36394.22"/>
    <s v="Nov"/>
    <n v="2025"/>
    <n v="11"/>
  </r>
  <r>
    <s v="ORD-00144"/>
    <x v="451"/>
    <x v="3"/>
    <x v="0"/>
    <x v="2"/>
    <x v="1"/>
    <x v="1"/>
    <x v="4"/>
    <n v="5"/>
    <n v="12698"/>
    <n v="63490"/>
    <n v="6349"/>
    <n v="0.1"/>
    <n v="57141"/>
    <n v="35241.14"/>
    <n v="21899.86"/>
    <s v="Nov"/>
    <n v="2025"/>
    <n v="11"/>
  </r>
  <r>
    <s v="ORD-00670"/>
    <x v="451"/>
    <x v="2"/>
    <x v="2"/>
    <x v="1"/>
    <x v="4"/>
    <x v="1"/>
    <x v="4"/>
    <n v="2"/>
    <n v="39541"/>
    <n v="79082"/>
    <n v="3954.1"/>
    <n v="0.05"/>
    <n v="75127.899999999994"/>
    <n v="43331.57"/>
    <n v="31796.329999999994"/>
    <s v="Nov"/>
    <n v="2025"/>
    <n v="11"/>
  </r>
  <r>
    <s v="ORD-00418"/>
    <x v="451"/>
    <x v="8"/>
    <x v="2"/>
    <x v="1"/>
    <x v="2"/>
    <x v="0"/>
    <x v="0"/>
    <n v="2"/>
    <n v="35698"/>
    <n v="71396"/>
    <n v="0"/>
    <n v="0"/>
    <n v="71396"/>
    <n v="36894.379999999997"/>
    <n v="34501.620000000003"/>
    <s v="Nov"/>
    <n v="2025"/>
    <n v="11"/>
  </r>
  <r>
    <s v="ORD-00961"/>
    <x v="452"/>
    <x v="4"/>
    <x v="2"/>
    <x v="0"/>
    <x v="3"/>
    <x v="1"/>
    <x v="4"/>
    <n v="2"/>
    <n v="24001"/>
    <n v="48002"/>
    <n v="4800.2"/>
    <n v="0.1"/>
    <n v="43201.8"/>
    <n v="26238.71"/>
    <n v="16963.090000000004"/>
    <s v="Nov"/>
    <n v="2025"/>
    <n v="11"/>
  </r>
  <r>
    <s v="ORD-00024"/>
    <x v="452"/>
    <x v="4"/>
    <x v="2"/>
    <x v="0"/>
    <x v="0"/>
    <x v="0"/>
    <x v="4"/>
    <n v="1"/>
    <n v="26649"/>
    <n v="26649"/>
    <n v="2664.9"/>
    <n v="0.1"/>
    <n v="23984.1"/>
    <n v="16111.81"/>
    <n v="7872.2899999999991"/>
    <s v="Nov"/>
    <n v="2025"/>
    <n v="11"/>
  </r>
  <r>
    <s v="ORD-00254"/>
    <x v="452"/>
    <x v="1"/>
    <x v="1"/>
    <x v="2"/>
    <x v="2"/>
    <x v="0"/>
    <x v="4"/>
    <n v="3"/>
    <n v="63286"/>
    <n v="189858"/>
    <n v="9492.9"/>
    <n v="0.05"/>
    <n v="180365.1"/>
    <n v="128167.18"/>
    <n v="52197.920000000013"/>
    <s v="Nov"/>
    <n v="2025"/>
    <n v="11"/>
  </r>
  <r>
    <s v="ORD-01018"/>
    <x v="453"/>
    <x v="3"/>
    <x v="0"/>
    <x v="2"/>
    <x v="4"/>
    <x v="1"/>
    <x v="5"/>
    <n v="1"/>
    <n v="12343"/>
    <n v="12343"/>
    <n v="1234.3"/>
    <n v="0.1"/>
    <n v="11108.7"/>
    <n v="7181.17"/>
    <n v="3927.5300000000007"/>
    <s v="Dec"/>
    <n v="2025"/>
    <n v="12"/>
  </r>
  <r>
    <s v="ORD-00053"/>
    <x v="454"/>
    <x v="8"/>
    <x v="2"/>
    <x v="2"/>
    <x v="2"/>
    <x v="0"/>
    <x v="5"/>
    <n v="2"/>
    <n v="39956"/>
    <n v="79912"/>
    <n v="7991.2"/>
    <n v="0.1"/>
    <n v="71920.800000000003"/>
    <n v="43166.11"/>
    <n v="28754.690000000002"/>
    <s v="Dec"/>
    <n v="2025"/>
    <n v="12"/>
  </r>
  <r>
    <s v="ORD-00336"/>
    <x v="455"/>
    <x v="5"/>
    <x v="2"/>
    <x v="2"/>
    <x v="4"/>
    <x v="1"/>
    <x v="5"/>
    <n v="2"/>
    <n v="17533"/>
    <n v="35066"/>
    <n v="3506.6"/>
    <n v="0.1"/>
    <n v="31559.4"/>
    <n v="19579.05"/>
    <n v="11980.350000000002"/>
    <s v="Dec"/>
    <n v="2025"/>
    <n v="12"/>
  </r>
  <r>
    <s v="ORD-01144"/>
    <x v="456"/>
    <x v="0"/>
    <x v="0"/>
    <x v="0"/>
    <x v="3"/>
    <x v="1"/>
    <x v="5"/>
    <n v="5"/>
    <n v="15553"/>
    <n v="77765"/>
    <n v="15553"/>
    <n v="0.2"/>
    <n v="62212"/>
    <n v="38911.910000000003"/>
    <n v="23300.089999999997"/>
    <s v="Dec"/>
    <n v="2025"/>
    <n v="12"/>
  </r>
  <r>
    <s v="ORD-00968"/>
    <x v="457"/>
    <x v="8"/>
    <x v="2"/>
    <x v="0"/>
    <x v="3"/>
    <x v="1"/>
    <x v="0"/>
    <n v="1"/>
    <n v="40623"/>
    <n v="40623"/>
    <n v="0"/>
    <n v="0"/>
    <n v="40623"/>
    <n v="27023.58"/>
    <n v="13599.419999999998"/>
    <s v="Dec"/>
    <n v="2025"/>
    <n v="12"/>
  </r>
  <r>
    <s v="ORD-00965"/>
    <x v="458"/>
    <x v="9"/>
    <x v="0"/>
    <x v="0"/>
    <x v="3"/>
    <x v="1"/>
    <x v="0"/>
    <n v="1"/>
    <n v="43115"/>
    <n v="43115"/>
    <n v="0"/>
    <n v="0"/>
    <n v="43115"/>
    <n v="28179.66"/>
    <n v="14935.34"/>
    <s v="Dec"/>
    <n v="2025"/>
    <n v="12"/>
  </r>
  <r>
    <s v="ORD-00526"/>
    <x v="458"/>
    <x v="8"/>
    <x v="2"/>
    <x v="0"/>
    <x v="0"/>
    <x v="1"/>
    <x v="0"/>
    <n v="1"/>
    <n v="38534"/>
    <n v="38534"/>
    <n v="3853.4"/>
    <n v="0.1"/>
    <n v="34680.6"/>
    <n v="24091.93"/>
    <n v="10588.669999999998"/>
    <s v="Dec"/>
    <n v="2025"/>
    <n v="12"/>
  </r>
  <r>
    <s v="ORD-00551"/>
    <x v="458"/>
    <x v="3"/>
    <x v="0"/>
    <x v="1"/>
    <x v="3"/>
    <x v="0"/>
    <x v="5"/>
    <n v="4"/>
    <n v="11712"/>
    <n v="46848"/>
    <n v="7027.2"/>
    <n v="0.15"/>
    <n v="39820.800000000003"/>
    <n v="29275.86"/>
    <n v="10544.940000000002"/>
    <s v="Dec"/>
    <n v="2025"/>
    <n v="12"/>
  </r>
  <r>
    <s v="ORD-01153"/>
    <x v="459"/>
    <x v="2"/>
    <x v="2"/>
    <x v="1"/>
    <x v="0"/>
    <x v="0"/>
    <x v="5"/>
    <n v="1"/>
    <n v="38893"/>
    <n v="38893"/>
    <n v="7778.6"/>
    <n v="0.2"/>
    <n v="31114.400000000001"/>
    <n v="18704.77"/>
    <n v="12409.630000000001"/>
    <s v="Dec"/>
    <n v="2025"/>
    <n v="12"/>
  </r>
  <r>
    <s v="ORD-00887"/>
    <x v="459"/>
    <x v="0"/>
    <x v="0"/>
    <x v="1"/>
    <x v="4"/>
    <x v="0"/>
    <x v="5"/>
    <n v="1"/>
    <n v="14838"/>
    <n v="14838"/>
    <n v="741.9"/>
    <n v="0.05"/>
    <n v="14096.1"/>
    <n v="9014.57"/>
    <n v="5081.5300000000007"/>
    <s v="Dec"/>
    <n v="2025"/>
    <n v="12"/>
  </r>
  <r>
    <s v="ORD-01072"/>
    <x v="459"/>
    <x v="9"/>
    <x v="0"/>
    <x v="3"/>
    <x v="2"/>
    <x v="0"/>
    <x v="5"/>
    <n v="2"/>
    <n v="45789"/>
    <n v="91578"/>
    <n v="13736.7"/>
    <n v="0.15"/>
    <n v="77841.3"/>
    <n v="55454.74"/>
    <n v="22386.560000000005"/>
    <s v="Dec"/>
    <n v="2025"/>
    <n v="12"/>
  </r>
  <r>
    <s v="ORD-00136"/>
    <x v="459"/>
    <x v="0"/>
    <x v="0"/>
    <x v="3"/>
    <x v="4"/>
    <x v="0"/>
    <x v="5"/>
    <n v="3"/>
    <n v="14965"/>
    <n v="44895"/>
    <n v="2244.75"/>
    <n v="0.05"/>
    <n v="42650.25"/>
    <n v="26088.080000000002"/>
    <n v="16562.169999999998"/>
    <s v="Dec"/>
    <n v="2025"/>
    <n v="12"/>
  </r>
  <r>
    <s v="ORD-01078"/>
    <x v="460"/>
    <x v="0"/>
    <x v="0"/>
    <x v="1"/>
    <x v="4"/>
    <x v="0"/>
    <x v="5"/>
    <n v="2"/>
    <n v="15971"/>
    <n v="31942"/>
    <n v="3194.2"/>
    <n v="0.1"/>
    <n v="28747.8"/>
    <n v="16762.77"/>
    <n v="11985.029999999999"/>
    <s v="Dec"/>
    <n v="2025"/>
    <n v="12"/>
  </r>
  <r>
    <s v="ORD-00833"/>
    <x v="461"/>
    <x v="5"/>
    <x v="2"/>
    <x v="3"/>
    <x v="4"/>
    <x v="1"/>
    <x v="5"/>
    <n v="2"/>
    <n v="17632"/>
    <n v="35264"/>
    <n v="5289.6"/>
    <n v="0.15"/>
    <n v="29974.400000000001"/>
    <n v="22284.880000000001"/>
    <n v="7689.52"/>
    <s v="Dec"/>
    <n v="2025"/>
    <n v="12"/>
  </r>
  <r>
    <s v="ORD-01046"/>
    <x v="462"/>
    <x v="3"/>
    <x v="0"/>
    <x v="0"/>
    <x v="4"/>
    <x v="1"/>
    <x v="5"/>
    <n v="4"/>
    <n v="12137"/>
    <n v="48548"/>
    <n v="2427.4"/>
    <n v="0.05"/>
    <n v="46120.6"/>
    <n v="31084.04"/>
    <n v="15036.559999999998"/>
    <s v="Dec"/>
    <n v="2025"/>
    <n v="12"/>
  </r>
  <r>
    <s v="ORD-00556"/>
    <x v="463"/>
    <x v="8"/>
    <x v="2"/>
    <x v="2"/>
    <x v="2"/>
    <x v="1"/>
    <x v="5"/>
    <n v="2"/>
    <n v="39977"/>
    <n v="79954"/>
    <n v="11993.1"/>
    <n v="0.15"/>
    <n v="67960.899999999994"/>
    <n v="45000.21"/>
    <n v="22960.689999999995"/>
    <s v="Dec"/>
    <n v="2025"/>
    <n v="12"/>
  </r>
  <r>
    <s v="ORD-00466"/>
    <x v="463"/>
    <x v="1"/>
    <x v="1"/>
    <x v="0"/>
    <x v="1"/>
    <x v="1"/>
    <x v="5"/>
    <n v="2"/>
    <n v="61426"/>
    <n v="122852"/>
    <n v="24570.400000000001"/>
    <n v="0.2"/>
    <n v="98281.600000000006"/>
    <n v="72931.55"/>
    <n v="25350.050000000003"/>
    <s v="Dec"/>
    <n v="2025"/>
    <n v="12"/>
  </r>
  <r>
    <s v="ORD-00682"/>
    <x v="463"/>
    <x v="3"/>
    <x v="0"/>
    <x v="1"/>
    <x v="0"/>
    <x v="0"/>
    <x v="0"/>
    <n v="2"/>
    <n v="11932"/>
    <n v="23864"/>
    <n v="0"/>
    <n v="0"/>
    <n v="23864"/>
    <n v="13600.57"/>
    <n v="10263.43"/>
    <s v="Dec"/>
    <n v="2025"/>
    <n v="12"/>
  </r>
  <r>
    <s v="ORD-00979"/>
    <x v="463"/>
    <x v="4"/>
    <x v="2"/>
    <x v="0"/>
    <x v="4"/>
    <x v="1"/>
    <x v="0"/>
    <n v="2"/>
    <n v="25490"/>
    <n v="50980"/>
    <n v="0"/>
    <n v="0"/>
    <n v="50980"/>
    <n v="32315.16"/>
    <n v="18664.84"/>
    <s v="Dec"/>
    <n v="2025"/>
    <n v="12"/>
  </r>
  <r>
    <s v="ORD-00732"/>
    <x v="464"/>
    <x v="4"/>
    <x v="2"/>
    <x v="2"/>
    <x v="4"/>
    <x v="0"/>
    <x v="5"/>
    <n v="1"/>
    <n v="25356"/>
    <n v="25356"/>
    <n v="2535.6"/>
    <n v="0.1"/>
    <n v="22820.400000000001"/>
    <n v="15949.66"/>
    <n v="6870.7400000000016"/>
    <s v="Dec"/>
    <n v="2025"/>
    <n v="12"/>
  </r>
  <r>
    <s v="ORD-00562"/>
    <x v="465"/>
    <x v="0"/>
    <x v="0"/>
    <x v="3"/>
    <x v="0"/>
    <x v="0"/>
    <x v="0"/>
    <n v="1"/>
    <n v="13943"/>
    <n v="13943"/>
    <n v="0"/>
    <n v="0"/>
    <n v="13943"/>
    <n v="7610.3"/>
    <n v="6332.7"/>
    <s v="Dec"/>
    <n v="2025"/>
    <n v="12"/>
  </r>
  <r>
    <s v="ORD-00426"/>
    <x v="466"/>
    <x v="5"/>
    <x v="2"/>
    <x v="2"/>
    <x v="1"/>
    <x v="0"/>
    <x v="5"/>
    <n v="3"/>
    <n v="18376"/>
    <n v="55128"/>
    <n v="5512.8"/>
    <n v="0.1"/>
    <n v="49615.199999999997"/>
    <n v="31775.97"/>
    <n v="17839.229999999996"/>
    <s v="Dec"/>
    <n v="2025"/>
    <n v="12"/>
  </r>
  <r>
    <s v="ORD-00658"/>
    <x v="467"/>
    <x v="0"/>
    <x v="0"/>
    <x v="2"/>
    <x v="4"/>
    <x v="1"/>
    <x v="5"/>
    <n v="3"/>
    <n v="14265"/>
    <n v="42795"/>
    <n v="2139.75"/>
    <n v="0.05"/>
    <n v="40655.25"/>
    <n v="26859.43"/>
    <n v="13795.82"/>
    <s v="Dec"/>
    <n v="2025"/>
    <n v="12"/>
  </r>
  <r>
    <s v="ORD-00064"/>
    <x v="468"/>
    <x v="8"/>
    <x v="2"/>
    <x v="0"/>
    <x v="3"/>
    <x v="1"/>
    <x v="0"/>
    <n v="2"/>
    <n v="37195"/>
    <n v="74390"/>
    <n v="0"/>
    <n v="0"/>
    <n v="74390"/>
    <n v="48019.31"/>
    <n v="26370.690000000002"/>
    <s v="Dec"/>
    <n v="2025"/>
    <n v="12"/>
  </r>
  <r>
    <s v="ORD-00984"/>
    <x v="469"/>
    <x v="7"/>
    <x v="2"/>
    <x v="3"/>
    <x v="3"/>
    <x v="1"/>
    <x v="5"/>
    <n v="1"/>
    <n v="50869"/>
    <n v="50869"/>
    <n v="10173.799999999999"/>
    <n v="0.2"/>
    <n v="40695.199999999997"/>
    <n v="30979.32"/>
    <n v="9715.8799999999974"/>
    <s v="Dec"/>
    <n v="2025"/>
    <n v="12"/>
  </r>
  <r>
    <s v="ORD-01111"/>
    <x v="470"/>
    <x v="0"/>
    <x v="0"/>
    <x v="3"/>
    <x v="0"/>
    <x v="0"/>
    <x v="5"/>
    <n v="1"/>
    <n v="14418"/>
    <n v="14418"/>
    <n v="2162.6999999999998"/>
    <n v="0.15"/>
    <n v="12255.3"/>
    <n v="7293.34"/>
    <n v="4961.9599999999991"/>
    <s v="Dec"/>
    <n v="2025"/>
    <n v="12"/>
  </r>
  <r>
    <s v="ORD-00909"/>
    <x v="471"/>
    <x v="5"/>
    <x v="2"/>
    <x v="2"/>
    <x v="1"/>
    <x v="1"/>
    <x v="5"/>
    <n v="3"/>
    <n v="18149"/>
    <n v="54447"/>
    <n v="5444.7"/>
    <n v="0.1"/>
    <n v="49002.3"/>
    <n v="34230.86"/>
    <n v="14771.440000000002"/>
    <s v="Dec"/>
    <n v="2025"/>
    <n v="12"/>
  </r>
  <r>
    <s v="ORD-00737"/>
    <x v="472"/>
    <x v="0"/>
    <x v="0"/>
    <x v="1"/>
    <x v="3"/>
    <x v="1"/>
    <x v="5"/>
    <n v="2"/>
    <n v="14795"/>
    <n v="29590"/>
    <n v="2959"/>
    <n v="0.1"/>
    <n v="26631"/>
    <n v="18262.22"/>
    <n v="8368.7799999999988"/>
    <s v="Dec"/>
    <n v="2025"/>
    <n v="12"/>
  </r>
  <r>
    <s v="ORD-00772"/>
    <x v="473"/>
    <x v="0"/>
    <x v="0"/>
    <x v="2"/>
    <x v="4"/>
    <x v="1"/>
    <x v="0"/>
    <n v="3"/>
    <n v="15797"/>
    <n v="47391"/>
    <n v="0"/>
    <n v="0"/>
    <n v="47391"/>
    <n v="26765.78"/>
    <n v="20625.22"/>
    <s v="Dec"/>
    <n v="2025"/>
    <n v="12"/>
  </r>
  <r>
    <s v="ORD-00100"/>
    <x v="474"/>
    <x v="8"/>
    <x v="2"/>
    <x v="0"/>
    <x v="3"/>
    <x v="1"/>
    <x v="0"/>
    <n v="4"/>
    <n v="36411"/>
    <n v="145644"/>
    <n v="0"/>
    <n v="0"/>
    <n v="145644"/>
    <n v="98600.69"/>
    <n v="47043.31"/>
    <s v="Dec"/>
    <n v="2025"/>
    <n v="12"/>
  </r>
  <r>
    <s v="ORD-00662"/>
    <x v="474"/>
    <x v="9"/>
    <x v="0"/>
    <x v="2"/>
    <x v="2"/>
    <x v="1"/>
    <x v="5"/>
    <n v="3"/>
    <n v="44087"/>
    <n v="132261"/>
    <n v="13226.1"/>
    <n v="0.1"/>
    <n v="119034.9"/>
    <n v="78804.539999999994"/>
    <n v="40230.36"/>
    <s v="Dec"/>
    <n v="2025"/>
    <n v="12"/>
  </r>
  <r>
    <s v="ORD-00290"/>
    <x v="475"/>
    <x v="6"/>
    <x v="1"/>
    <x v="1"/>
    <x v="3"/>
    <x v="0"/>
    <x v="0"/>
    <n v="1"/>
    <n v="30739"/>
    <n v="30739"/>
    <n v="0"/>
    <n v="0"/>
    <n v="30739"/>
    <n v="16796.46"/>
    <n v="13942.54"/>
    <s v="Dec"/>
    <n v="2025"/>
    <n v="12"/>
  </r>
  <r>
    <s v="ORD-01089"/>
    <x v="475"/>
    <x v="4"/>
    <x v="2"/>
    <x v="1"/>
    <x v="4"/>
    <x v="0"/>
    <x v="5"/>
    <n v="3"/>
    <n v="26054"/>
    <n v="78162"/>
    <n v="7816.2"/>
    <n v="0.1"/>
    <n v="70345.8"/>
    <n v="42564.13"/>
    <n v="27781.670000000006"/>
    <s v="Dec"/>
    <n v="2025"/>
    <n v="12"/>
  </r>
  <r>
    <s v="ORD-01170"/>
    <x v="475"/>
    <x v="0"/>
    <x v="0"/>
    <x v="1"/>
    <x v="4"/>
    <x v="1"/>
    <x v="5"/>
    <n v="1"/>
    <n v="15230"/>
    <n v="15230"/>
    <n v="2284.5"/>
    <n v="0.15"/>
    <n v="12945.5"/>
    <n v="7352.01"/>
    <n v="5593.49"/>
    <s v="Dec"/>
    <n v="2025"/>
    <n v="12"/>
  </r>
  <r>
    <s v="ORD-00385"/>
    <x v="475"/>
    <x v="6"/>
    <x v="1"/>
    <x v="0"/>
    <x v="4"/>
    <x v="1"/>
    <x v="5"/>
    <n v="3"/>
    <n v="29666"/>
    <n v="88998"/>
    <n v="17799.599999999999"/>
    <n v="0.2"/>
    <n v="71198.399999999994"/>
    <n v="51839.43"/>
    <n v="19358.969999999994"/>
    <s v="Dec"/>
    <n v="2025"/>
    <n v="12"/>
  </r>
  <r>
    <s v="ORD-00397"/>
    <x v="476"/>
    <x v="9"/>
    <x v="0"/>
    <x v="1"/>
    <x v="1"/>
    <x v="0"/>
    <x v="5"/>
    <n v="3"/>
    <n v="46482"/>
    <n v="139446"/>
    <n v="6972.3"/>
    <n v="0.05"/>
    <n v="132473.70000000001"/>
    <n v="90058.43"/>
    <n v="42415.270000000019"/>
    <s v="Dec"/>
    <n v="2025"/>
    <n v="12"/>
  </r>
  <r>
    <s v="ORD-00416"/>
    <x v="476"/>
    <x v="6"/>
    <x v="1"/>
    <x v="1"/>
    <x v="4"/>
    <x v="1"/>
    <x v="5"/>
    <n v="3"/>
    <n v="29689"/>
    <n v="89067"/>
    <n v="13360.05"/>
    <n v="0.15"/>
    <n v="75706.95"/>
    <n v="55564.36"/>
    <n v="20142.589999999997"/>
    <s v="Dec"/>
    <n v="2025"/>
    <n v="12"/>
  </r>
  <r>
    <s v="ORD-00055"/>
    <x v="477"/>
    <x v="1"/>
    <x v="1"/>
    <x v="1"/>
    <x v="4"/>
    <x v="0"/>
    <x v="0"/>
    <n v="2"/>
    <n v="61456"/>
    <n v="122912"/>
    <n v="0"/>
    <n v="0"/>
    <n v="122912"/>
    <n v="61889.86"/>
    <n v="61022.14"/>
    <s v="Dec"/>
    <n v="2025"/>
    <n v="12"/>
  </r>
  <r>
    <s v="ORD-00152"/>
    <x v="477"/>
    <x v="4"/>
    <x v="2"/>
    <x v="1"/>
    <x v="4"/>
    <x v="0"/>
    <x v="5"/>
    <n v="1"/>
    <n v="23968"/>
    <n v="23968"/>
    <n v="3595.2"/>
    <n v="0.15"/>
    <n v="20372.8"/>
    <n v="12200.65"/>
    <n v="8172.15"/>
    <s v="Dec"/>
    <n v="2025"/>
    <n v="12"/>
  </r>
  <r>
    <s v="ORD-01009"/>
    <x v="478"/>
    <x v="6"/>
    <x v="1"/>
    <x v="1"/>
    <x v="3"/>
    <x v="1"/>
    <x v="5"/>
    <n v="2"/>
    <n v="30875"/>
    <n v="61750"/>
    <n v="6175"/>
    <n v="0.1"/>
    <n v="55575"/>
    <n v="38206.18"/>
    <n v="17368.82"/>
    <s v="Dec"/>
    <n v="2025"/>
    <n v="12"/>
  </r>
  <r>
    <s v="ORD-00511"/>
    <x v="479"/>
    <x v="7"/>
    <x v="2"/>
    <x v="3"/>
    <x v="3"/>
    <x v="1"/>
    <x v="0"/>
    <n v="5"/>
    <n v="48283"/>
    <n v="241415"/>
    <n v="0"/>
    <n v="0"/>
    <n v="241415"/>
    <n v="121165.34"/>
    <n v="120249.66"/>
    <s v="Jan"/>
    <n v="2026"/>
    <n v="1"/>
  </r>
  <r>
    <s v="ORD-00519"/>
    <x v="479"/>
    <x v="2"/>
    <x v="2"/>
    <x v="1"/>
    <x v="2"/>
    <x v="1"/>
    <x v="0"/>
    <n v="5"/>
    <n v="43436"/>
    <n v="217180"/>
    <n v="0"/>
    <n v="0"/>
    <n v="217180"/>
    <n v="133232.63"/>
    <n v="83947.37"/>
    <s v="Jan"/>
    <n v="2026"/>
    <n v="1"/>
  </r>
  <r>
    <s v="ORD-00443"/>
    <x v="480"/>
    <x v="4"/>
    <x v="2"/>
    <x v="1"/>
    <x v="3"/>
    <x v="0"/>
    <x v="0"/>
    <n v="5"/>
    <n v="23038"/>
    <n v="115190"/>
    <n v="0"/>
    <n v="0"/>
    <n v="115190"/>
    <n v="63950.09"/>
    <n v="51239.91"/>
    <s v="Jan"/>
    <n v="2026"/>
    <n v="1"/>
  </r>
  <r>
    <s v="ORD-00427"/>
    <x v="481"/>
    <x v="9"/>
    <x v="0"/>
    <x v="1"/>
    <x v="4"/>
    <x v="1"/>
    <x v="0"/>
    <n v="2"/>
    <n v="47972"/>
    <n v="95944"/>
    <n v="9594.4"/>
    <n v="0.1"/>
    <n v="86349.6"/>
    <n v="56538.02"/>
    <n v="29811.580000000009"/>
    <s v="Jan"/>
    <n v="2026"/>
    <n v="1"/>
  </r>
  <r>
    <s v="ORD-00952"/>
    <x v="481"/>
    <x v="3"/>
    <x v="0"/>
    <x v="2"/>
    <x v="1"/>
    <x v="1"/>
    <x v="0"/>
    <n v="1"/>
    <n v="11556"/>
    <n v="11556"/>
    <n v="0"/>
    <n v="0"/>
    <n v="11556"/>
    <n v="6949.45"/>
    <n v="4606.55"/>
    <s v="Jan"/>
    <n v="2026"/>
    <n v="1"/>
  </r>
  <r>
    <s v="ORD-00499"/>
    <x v="482"/>
    <x v="3"/>
    <x v="0"/>
    <x v="1"/>
    <x v="0"/>
    <x v="1"/>
    <x v="0"/>
    <n v="1"/>
    <n v="11431"/>
    <n v="11431"/>
    <n v="0"/>
    <n v="0"/>
    <n v="11431"/>
    <n v="5698.42"/>
    <n v="5732.58"/>
    <s v="Jan"/>
    <n v="2026"/>
    <n v="1"/>
  </r>
  <r>
    <s v="ORD-00983"/>
    <x v="482"/>
    <x v="1"/>
    <x v="1"/>
    <x v="2"/>
    <x v="0"/>
    <x v="0"/>
    <x v="0"/>
    <n v="4"/>
    <n v="66522"/>
    <n v="266088"/>
    <n v="0"/>
    <n v="0"/>
    <n v="266088"/>
    <n v="130447.32"/>
    <n v="135640.68"/>
    <s v="Jan"/>
    <n v="2026"/>
    <n v="1"/>
  </r>
  <r>
    <s v="ORD-01188"/>
    <x v="483"/>
    <x v="1"/>
    <x v="1"/>
    <x v="3"/>
    <x v="4"/>
    <x v="1"/>
    <x v="0"/>
    <n v="5"/>
    <n v="69881"/>
    <n v="349405"/>
    <n v="0"/>
    <n v="0"/>
    <n v="349405"/>
    <n v="208760.18"/>
    <n v="140644.82"/>
    <s v="Jan"/>
    <n v="2026"/>
    <n v="1"/>
  </r>
  <r>
    <s v="ORD-00591"/>
    <x v="483"/>
    <x v="6"/>
    <x v="1"/>
    <x v="0"/>
    <x v="3"/>
    <x v="0"/>
    <x v="0"/>
    <n v="1"/>
    <n v="29084"/>
    <n v="29084"/>
    <n v="0"/>
    <n v="0"/>
    <n v="29084"/>
    <n v="14054.11"/>
    <n v="15029.89"/>
    <s v="Jan"/>
    <n v="2026"/>
    <n v="1"/>
  </r>
  <r>
    <s v="ORD-00678"/>
    <x v="484"/>
    <x v="8"/>
    <x v="2"/>
    <x v="1"/>
    <x v="3"/>
    <x v="0"/>
    <x v="0"/>
    <n v="3"/>
    <n v="37013"/>
    <n v="111039"/>
    <n v="0"/>
    <n v="0"/>
    <n v="111039"/>
    <n v="69918.17"/>
    <n v="41120.83"/>
    <s v="Jan"/>
    <n v="2026"/>
    <n v="1"/>
  </r>
  <r>
    <s v="ORD-00404"/>
    <x v="484"/>
    <x v="4"/>
    <x v="2"/>
    <x v="2"/>
    <x v="4"/>
    <x v="0"/>
    <x v="0"/>
    <n v="2"/>
    <n v="25215"/>
    <n v="50430"/>
    <n v="0"/>
    <n v="0"/>
    <n v="50430"/>
    <n v="26177.79"/>
    <n v="24252.21"/>
    <s v="Jan"/>
    <n v="2026"/>
    <n v="1"/>
  </r>
  <r>
    <s v="ORD-01116"/>
    <x v="484"/>
    <x v="5"/>
    <x v="2"/>
    <x v="2"/>
    <x v="0"/>
    <x v="1"/>
    <x v="0"/>
    <n v="3"/>
    <n v="16848"/>
    <n v="50544"/>
    <n v="0"/>
    <n v="0"/>
    <n v="50544"/>
    <n v="28334.69"/>
    <n v="22209.31"/>
    <s v="Jan"/>
    <n v="2026"/>
    <n v="1"/>
  </r>
  <r>
    <s v="ORD-00514"/>
    <x v="485"/>
    <x v="7"/>
    <x v="2"/>
    <x v="2"/>
    <x v="4"/>
    <x v="1"/>
    <x v="0"/>
    <n v="3"/>
    <n v="48150"/>
    <n v="144450"/>
    <n v="0"/>
    <n v="0"/>
    <n v="144450"/>
    <n v="94127.63"/>
    <n v="50322.369999999995"/>
    <s v="Jan"/>
    <n v="2026"/>
    <n v="1"/>
  </r>
  <r>
    <s v="ORD-00325"/>
    <x v="486"/>
    <x v="3"/>
    <x v="0"/>
    <x v="3"/>
    <x v="3"/>
    <x v="1"/>
    <x v="0"/>
    <n v="1"/>
    <n v="12915"/>
    <n v="12915"/>
    <n v="0"/>
    <n v="0"/>
    <n v="12915"/>
    <n v="6425.6"/>
    <n v="6489.4"/>
    <s v="Jan"/>
    <n v="2026"/>
    <n v="1"/>
  </r>
  <r>
    <s v="ORD-00115"/>
    <x v="487"/>
    <x v="9"/>
    <x v="0"/>
    <x v="1"/>
    <x v="2"/>
    <x v="0"/>
    <x v="0"/>
    <n v="3"/>
    <n v="47444"/>
    <n v="142332"/>
    <n v="0"/>
    <n v="0"/>
    <n v="142332"/>
    <n v="86006.8"/>
    <n v="56325.2"/>
    <s v="Jan"/>
    <n v="2026"/>
    <n v="1"/>
  </r>
  <r>
    <s v="ORD-01031"/>
    <x v="488"/>
    <x v="6"/>
    <x v="1"/>
    <x v="0"/>
    <x v="3"/>
    <x v="0"/>
    <x v="0"/>
    <n v="2"/>
    <n v="28999"/>
    <n v="57998"/>
    <n v="0"/>
    <n v="0"/>
    <n v="57998"/>
    <n v="37760.35"/>
    <n v="20237.650000000001"/>
    <s v="Jan"/>
    <n v="2026"/>
    <n v="1"/>
  </r>
  <r>
    <s v="ORD-00966"/>
    <x v="489"/>
    <x v="1"/>
    <x v="1"/>
    <x v="0"/>
    <x v="2"/>
    <x v="0"/>
    <x v="0"/>
    <n v="1"/>
    <n v="65130"/>
    <n v="65130"/>
    <n v="0"/>
    <n v="0"/>
    <n v="65130"/>
    <n v="42471.42"/>
    <n v="22658.58"/>
    <s v="Jan"/>
    <n v="2026"/>
    <n v="1"/>
  </r>
  <r>
    <s v="ORD-00698"/>
    <x v="490"/>
    <x v="2"/>
    <x v="2"/>
    <x v="2"/>
    <x v="1"/>
    <x v="1"/>
    <x v="0"/>
    <n v="3"/>
    <n v="42972"/>
    <n v="128916"/>
    <n v="12891.6"/>
    <n v="0.1"/>
    <n v="116024.4"/>
    <n v="63147.199999999997"/>
    <n v="52877.2"/>
    <s v="Jan"/>
    <n v="2026"/>
    <n v="1"/>
  </r>
  <r>
    <s v="ORD-00019"/>
    <x v="490"/>
    <x v="8"/>
    <x v="2"/>
    <x v="3"/>
    <x v="0"/>
    <x v="1"/>
    <x v="0"/>
    <n v="4"/>
    <n v="39929"/>
    <n v="159716"/>
    <n v="0"/>
    <n v="0"/>
    <n v="159716"/>
    <n v="97221.61"/>
    <n v="62494.39"/>
    <s v="Jan"/>
    <n v="2026"/>
    <n v="1"/>
  </r>
  <r>
    <s v="ORD-01128"/>
    <x v="490"/>
    <x v="8"/>
    <x v="2"/>
    <x v="0"/>
    <x v="2"/>
    <x v="0"/>
    <x v="0"/>
    <n v="4"/>
    <n v="35474"/>
    <n v="141896"/>
    <n v="0"/>
    <n v="0"/>
    <n v="141896"/>
    <n v="82790.259999999995"/>
    <n v="59105.740000000005"/>
    <s v="Jan"/>
    <n v="2026"/>
    <n v="1"/>
  </r>
  <r>
    <s v="ORD-00121"/>
    <x v="491"/>
    <x v="7"/>
    <x v="2"/>
    <x v="1"/>
    <x v="4"/>
    <x v="0"/>
    <x v="0"/>
    <n v="2"/>
    <n v="51116"/>
    <n v="102232"/>
    <n v="0"/>
    <n v="0"/>
    <n v="102232"/>
    <n v="51764.02"/>
    <n v="50467.98"/>
    <s v="Jan"/>
    <n v="2026"/>
    <n v="1"/>
  </r>
  <r>
    <s v="ORD-00225"/>
    <x v="492"/>
    <x v="9"/>
    <x v="0"/>
    <x v="1"/>
    <x v="3"/>
    <x v="1"/>
    <x v="0"/>
    <n v="1"/>
    <n v="45837"/>
    <n v="45837"/>
    <n v="0"/>
    <n v="0"/>
    <n v="45837"/>
    <n v="25813.34"/>
    <n v="20023.66"/>
    <s v="Jan"/>
    <n v="2026"/>
    <n v="1"/>
  </r>
  <r>
    <s v="ORD-00675"/>
    <x v="492"/>
    <x v="2"/>
    <x v="2"/>
    <x v="0"/>
    <x v="3"/>
    <x v="0"/>
    <x v="0"/>
    <n v="2"/>
    <n v="42667"/>
    <n v="85334"/>
    <n v="0"/>
    <n v="0"/>
    <n v="85334"/>
    <n v="42826.68"/>
    <n v="42507.32"/>
    <s v="Jan"/>
    <n v="2026"/>
    <n v="1"/>
  </r>
  <r>
    <s v="ORD-01039"/>
    <x v="493"/>
    <x v="0"/>
    <x v="0"/>
    <x v="3"/>
    <x v="4"/>
    <x v="0"/>
    <x v="0"/>
    <n v="2"/>
    <n v="15343"/>
    <n v="30686"/>
    <n v="3068.6"/>
    <n v="0.1"/>
    <n v="27617.4"/>
    <n v="20688.36"/>
    <n v="6929.0400000000009"/>
    <s v="Jan"/>
    <n v="2026"/>
    <n v="1"/>
  </r>
  <r>
    <s v="ORD-00446"/>
    <x v="493"/>
    <x v="8"/>
    <x v="2"/>
    <x v="0"/>
    <x v="3"/>
    <x v="1"/>
    <x v="0"/>
    <n v="3"/>
    <n v="38665"/>
    <n v="115995"/>
    <n v="11599.5"/>
    <n v="0.1"/>
    <n v="104395.5"/>
    <n v="74051.05"/>
    <n v="30344.449999999997"/>
    <s v="Jan"/>
    <n v="2026"/>
    <n v="1"/>
  </r>
  <r>
    <s v="ORD-00164"/>
    <x v="494"/>
    <x v="0"/>
    <x v="0"/>
    <x v="2"/>
    <x v="4"/>
    <x v="0"/>
    <x v="0"/>
    <n v="5"/>
    <n v="14278"/>
    <n v="71390"/>
    <n v="7139"/>
    <n v="0.1"/>
    <n v="64251"/>
    <n v="38370.83"/>
    <n v="25880.17"/>
    <s v="Jan"/>
    <n v="2026"/>
    <n v="1"/>
  </r>
  <r>
    <s v="ORD-00520"/>
    <x v="494"/>
    <x v="3"/>
    <x v="0"/>
    <x v="0"/>
    <x v="0"/>
    <x v="1"/>
    <x v="0"/>
    <n v="1"/>
    <n v="11370"/>
    <n v="11370"/>
    <n v="0"/>
    <n v="0"/>
    <n v="11370"/>
    <n v="6851.83"/>
    <n v="4518.17"/>
    <s v="Jan"/>
    <n v="2026"/>
    <n v="1"/>
  </r>
  <r>
    <s v="ORD-01165"/>
    <x v="495"/>
    <x v="4"/>
    <x v="2"/>
    <x v="2"/>
    <x v="0"/>
    <x v="1"/>
    <x v="0"/>
    <n v="3"/>
    <n v="24188"/>
    <n v="72564"/>
    <n v="0"/>
    <n v="0"/>
    <n v="72564"/>
    <n v="37529.43"/>
    <n v="35034.57"/>
    <s v="Jan"/>
    <n v="2026"/>
    <n v="1"/>
  </r>
  <r>
    <s v="ORD-00470"/>
    <x v="496"/>
    <x v="1"/>
    <x v="1"/>
    <x v="0"/>
    <x v="4"/>
    <x v="0"/>
    <x v="0"/>
    <n v="1"/>
    <n v="60686"/>
    <n v="60686"/>
    <n v="0"/>
    <n v="0"/>
    <n v="60686"/>
    <n v="35188.01"/>
    <n v="25497.989999999998"/>
    <s v="Jan"/>
    <n v="2026"/>
    <n v="1"/>
  </r>
  <r>
    <s v="ORD-00383"/>
    <x v="496"/>
    <x v="7"/>
    <x v="2"/>
    <x v="0"/>
    <x v="4"/>
    <x v="1"/>
    <x v="0"/>
    <n v="1"/>
    <n v="51286"/>
    <n v="51286"/>
    <n v="0"/>
    <n v="0"/>
    <n v="51286"/>
    <n v="27813.13"/>
    <n v="23472.87"/>
    <s v="Jan"/>
    <n v="2026"/>
    <n v="1"/>
  </r>
  <r>
    <s v="ORD-00827"/>
    <x v="497"/>
    <x v="3"/>
    <x v="0"/>
    <x v="2"/>
    <x v="2"/>
    <x v="0"/>
    <x v="0"/>
    <n v="1"/>
    <n v="12651"/>
    <n v="12651"/>
    <n v="0"/>
    <n v="0"/>
    <n v="12651"/>
    <n v="7343.34"/>
    <n v="5307.66"/>
    <s v="Jan"/>
    <n v="2026"/>
    <n v="1"/>
  </r>
  <r>
    <s v="ORD-01036"/>
    <x v="498"/>
    <x v="8"/>
    <x v="2"/>
    <x v="0"/>
    <x v="2"/>
    <x v="1"/>
    <x v="0"/>
    <n v="1"/>
    <n v="35445"/>
    <n v="35445"/>
    <n v="0"/>
    <n v="0"/>
    <n v="35445"/>
    <n v="17665.05"/>
    <n v="17779.95"/>
    <s v="Jan"/>
    <n v="2026"/>
    <n v="1"/>
  </r>
  <r>
    <s v="ORD-01120"/>
    <x v="499"/>
    <x v="9"/>
    <x v="0"/>
    <x v="1"/>
    <x v="2"/>
    <x v="1"/>
    <x v="0"/>
    <n v="1"/>
    <n v="42828"/>
    <n v="42828"/>
    <n v="0"/>
    <n v="0"/>
    <n v="42828"/>
    <n v="22974.9"/>
    <n v="19853.099999999999"/>
    <s v="Jan"/>
    <n v="2026"/>
    <n v="1"/>
  </r>
  <r>
    <s v="ORD-00936"/>
    <x v="499"/>
    <x v="0"/>
    <x v="0"/>
    <x v="2"/>
    <x v="4"/>
    <x v="1"/>
    <x v="0"/>
    <n v="2"/>
    <n v="15992"/>
    <n v="31984"/>
    <n v="0"/>
    <n v="0"/>
    <n v="31984"/>
    <n v="18993.060000000001"/>
    <n v="12990.939999999999"/>
    <s v="Jan"/>
    <n v="2026"/>
    <n v="1"/>
  </r>
  <r>
    <s v="ORD-00603"/>
    <x v="499"/>
    <x v="5"/>
    <x v="2"/>
    <x v="0"/>
    <x v="0"/>
    <x v="1"/>
    <x v="0"/>
    <n v="2"/>
    <n v="17906"/>
    <n v="35812"/>
    <n v="0"/>
    <n v="0"/>
    <n v="35812"/>
    <n v="24077.21"/>
    <n v="11734.79"/>
    <s v="Jan"/>
    <n v="2026"/>
    <n v="1"/>
  </r>
  <r>
    <s v="ORD-00712"/>
    <x v="499"/>
    <x v="3"/>
    <x v="0"/>
    <x v="3"/>
    <x v="3"/>
    <x v="1"/>
    <x v="0"/>
    <n v="3"/>
    <n v="11343"/>
    <n v="34029"/>
    <n v="1701.45"/>
    <n v="0.05"/>
    <n v="32327.55"/>
    <n v="20456.189999999999"/>
    <n v="11871.36"/>
    <s v="Jan"/>
    <n v="2026"/>
    <n v="1"/>
  </r>
  <r>
    <s v="ORD-00273"/>
    <x v="499"/>
    <x v="7"/>
    <x v="2"/>
    <x v="3"/>
    <x v="0"/>
    <x v="1"/>
    <x v="0"/>
    <n v="3"/>
    <n v="51419"/>
    <n v="154257"/>
    <n v="0"/>
    <n v="0"/>
    <n v="154257"/>
    <n v="102708.78"/>
    <n v="51548.22"/>
    <s v="Jan"/>
    <n v="2026"/>
    <n v="1"/>
  </r>
  <r>
    <s v="ORD-00399"/>
    <x v="500"/>
    <x v="9"/>
    <x v="0"/>
    <x v="2"/>
    <x v="2"/>
    <x v="0"/>
    <x v="0"/>
    <n v="1"/>
    <n v="43658"/>
    <n v="43658"/>
    <n v="0"/>
    <n v="0"/>
    <n v="43658"/>
    <n v="24063.919999999998"/>
    <n v="19594.080000000002"/>
    <s v="Jan"/>
    <n v="2026"/>
    <n v="1"/>
  </r>
  <r>
    <s v="ORD-00619"/>
    <x v="500"/>
    <x v="5"/>
    <x v="2"/>
    <x v="0"/>
    <x v="4"/>
    <x v="1"/>
    <x v="0"/>
    <n v="1"/>
    <n v="16983"/>
    <n v="16983"/>
    <n v="0"/>
    <n v="0"/>
    <n v="16983"/>
    <n v="11457.98"/>
    <n v="5525.02"/>
    <s v="Jan"/>
    <n v="2026"/>
    <n v="1"/>
  </r>
  <r>
    <s v="ORD-00940"/>
    <x v="500"/>
    <x v="8"/>
    <x v="2"/>
    <x v="0"/>
    <x v="2"/>
    <x v="1"/>
    <x v="0"/>
    <n v="5"/>
    <n v="36297"/>
    <n v="181485"/>
    <n v="0"/>
    <n v="0"/>
    <n v="181485"/>
    <n v="111627.95"/>
    <n v="69857.05"/>
    <s v="Jan"/>
    <n v="2026"/>
    <n v="1"/>
  </r>
  <r>
    <s v="ORD-00361"/>
    <x v="501"/>
    <x v="6"/>
    <x v="1"/>
    <x v="1"/>
    <x v="4"/>
    <x v="1"/>
    <x v="0"/>
    <n v="1"/>
    <n v="27892"/>
    <n v="27892"/>
    <n v="0"/>
    <n v="0"/>
    <n v="27892"/>
    <n v="17373.45"/>
    <n v="10518.55"/>
    <s v="Jan"/>
    <n v="2026"/>
    <n v="1"/>
  </r>
  <r>
    <s v="ORD-00884"/>
    <x v="502"/>
    <x v="0"/>
    <x v="0"/>
    <x v="2"/>
    <x v="4"/>
    <x v="1"/>
    <x v="0"/>
    <n v="2"/>
    <n v="15440"/>
    <n v="30880"/>
    <n v="0"/>
    <n v="0"/>
    <n v="30880"/>
    <n v="19365.73"/>
    <n v="11514.27"/>
    <s v="Feb"/>
    <n v="2026"/>
    <n v="2"/>
  </r>
  <r>
    <s v="ORD-00580"/>
    <x v="502"/>
    <x v="8"/>
    <x v="2"/>
    <x v="2"/>
    <x v="4"/>
    <x v="0"/>
    <x v="1"/>
    <n v="3"/>
    <n v="37710"/>
    <n v="113130"/>
    <n v="11313"/>
    <n v="0.1"/>
    <n v="101817"/>
    <n v="68711.12"/>
    <n v="33105.880000000005"/>
    <s v="Feb"/>
    <n v="2026"/>
    <n v="2"/>
  </r>
  <r>
    <s v="ORD-00070"/>
    <x v="503"/>
    <x v="9"/>
    <x v="0"/>
    <x v="0"/>
    <x v="4"/>
    <x v="0"/>
    <x v="1"/>
    <n v="3"/>
    <n v="42010"/>
    <n v="126030"/>
    <n v="6301.5"/>
    <n v="0.05"/>
    <n v="119728.5"/>
    <n v="62311.360000000001"/>
    <n v="57417.14"/>
    <s v="Feb"/>
    <n v="2026"/>
    <n v="2"/>
  </r>
  <r>
    <s v="ORD-00590"/>
    <x v="503"/>
    <x v="8"/>
    <x v="2"/>
    <x v="1"/>
    <x v="4"/>
    <x v="1"/>
    <x v="0"/>
    <n v="1"/>
    <n v="38433"/>
    <n v="38433"/>
    <n v="5764.95"/>
    <n v="0.15"/>
    <n v="32668.05"/>
    <n v="22469.15"/>
    <n v="10198.899999999998"/>
    <s v="Feb"/>
    <n v="2026"/>
    <n v="2"/>
  </r>
  <r>
    <s v="ORD-00493"/>
    <x v="503"/>
    <x v="2"/>
    <x v="2"/>
    <x v="2"/>
    <x v="1"/>
    <x v="1"/>
    <x v="0"/>
    <n v="2"/>
    <n v="45263"/>
    <n v="90526"/>
    <n v="0"/>
    <n v="0"/>
    <n v="90526"/>
    <n v="47863.17"/>
    <n v="42662.83"/>
    <s v="Feb"/>
    <n v="2026"/>
    <n v="2"/>
  </r>
  <r>
    <s v="ORD-00170"/>
    <x v="503"/>
    <x v="5"/>
    <x v="2"/>
    <x v="0"/>
    <x v="4"/>
    <x v="1"/>
    <x v="1"/>
    <n v="4"/>
    <n v="19259"/>
    <n v="77036"/>
    <n v="11555.4"/>
    <n v="0.15"/>
    <n v="65480.6"/>
    <n v="44271.06"/>
    <n v="21209.54"/>
    <s v="Feb"/>
    <n v="2026"/>
    <n v="2"/>
  </r>
  <r>
    <s v="ORD-00158"/>
    <x v="504"/>
    <x v="3"/>
    <x v="0"/>
    <x v="3"/>
    <x v="1"/>
    <x v="1"/>
    <x v="0"/>
    <n v="3"/>
    <n v="12124"/>
    <n v="36372"/>
    <n v="0"/>
    <n v="0"/>
    <n v="36372"/>
    <n v="21618.13"/>
    <n v="14753.869999999999"/>
    <s v="Feb"/>
    <n v="2026"/>
    <n v="2"/>
  </r>
  <r>
    <s v="ORD-00583"/>
    <x v="504"/>
    <x v="5"/>
    <x v="2"/>
    <x v="3"/>
    <x v="3"/>
    <x v="0"/>
    <x v="1"/>
    <n v="2"/>
    <n v="17304"/>
    <n v="34608"/>
    <n v="3460.8"/>
    <n v="0.1"/>
    <n v="31147.200000000001"/>
    <n v="22838.52"/>
    <n v="8308.68"/>
    <s v="Feb"/>
    <n v="2026"/>
    <n v="2"/>
  </r>
  <r>
    <s v="ORD-00106"/>
    <x v="504"/>
    <x v="9"/>
    <x v="0"/>
    <x v="2"/>
    <x v="3"/>
    <x v="0"/>
    <x v="0"/>
    <n v="2"/>
    <n v="47749"/>
    <n v="95498"/>
    <n v="0"/>
    <n v="0"/>
    <n v="95498"/>
    <n v="48937.63"/>
    <n v="46560.37"/>
    <s v="Feb"/>
    <n v="2026"/>
    <n v="2"/>
  </r>
  <r>
    <s v="ORD-00363"/>
    <x v="505"/>
    <x v="2"/>
    <x v="2"/>
    <x v="2"/>
    <x v="2"/>
    <x v="1"/>
    <x v="1"/>
    <n v="1"/>
    <n v="39857"/>
    <n v="39857"/>
    <n v="1992.85"/>
    <n v="0.05"/>
    <n v="37864.15"/>
    <n v="22198.22"/>
    <n v="15665.93"/>
    <s v="Feb"/>
    <n v="2026"/>
    <n v="2"/>
  </r>
  <r>
    <s v="ORD-00917"/>
    <x v="505"/>
    <x v="9"/>
    <x v="0"/>
    <x v="0"/>
    <x v="2"/>
    <x v="0"/>
    <x v="1"/>
    <n v="3"/>
    <n v="46839"/>
    <n v="140517"/>
    <n v="7025.85"/>
    <n v="0.05"/>
    <n v="133491.15"/>
    <n v="80848.92"/>
    <n v="52642.229999999996"/>
    <s v="Feb"/>
    <n v="2026"/>
    <n v="2"/>
  </r>
  <r>
    <s v="ORD-00010"/>
    <x v="506"/>
    <x v="0"/>
    <x v="0"/>
    <x v="3"/>
    <x v="1"/>
    <x v="1"/>
    <x v="1"/>
    <n v="2"/>
    <n v="16161"/>
    <n v="32322"/>
    <n v="3232.2"/>
    <n v="0.1"/>
    <n v="29089.8"/>
    <n v="21294.37"/>
    <n v="7795.43"/>
    <s v="Feb"/>
    <n v="2026"/>
    <n v="2"/>
  </r>
  <r>
    <s v="ORD-00574"/>
    <x v="507"/>
    <x v="9"/>
    <x v="0"/>
    <x v="1"/>
    <x v="0"/>
    <x v="1"/>
    <x v="1"/>
    <n v="3"/>
    <n v="46780"/>
    <n v="140340"/>
    <n v="21051"/>
    <n v="0.15"/>
    <n v="119289"/>
    <n v="82438.06"/>
    <n v="36850.94"/>
    <s v="Feb"/>
    <n v="2026"/>
    <n v="2"/>
  </r>
  <r>
    <s v="ORD-00552"/>
    <x v="507"/>
    <x v="6"/>
    <x v="1"/>
    <x v="0"/>
    <x v="3"/>
    <x v="1"/>
    <x v="0"/>
    <n v="2"/>
    <n v="29405"/>
    <n v="58810"/>
    <n v="0"/>
    <n v="0"/>
    <n v="58810"/>
    <n v="34414.980000000003"/>
    <n v="24395.019999999997"/>
    <s v="Feb"/>
    <n v="2026"/>
    <n v="2"/>
  </r>
  <r>
    <s v="ORD-01159"/>
    <x v="508"/>
    <x v="2"/>
    <x v="2"/>
    <x v="0"/>
    <x v="0"/>
    <x v="0"/>
    <x v="0"/>
    <n v="1"/>
    <n v="42155"/>
    <n v="42155"/>
    <n v="4215.5"/>
    <n v="0.1"/>
    <n v="37939.5"/>
    <n v="26360.43"/>
    <n v="11579.07"/>
    <s v="Feb"/>
    <n v="2026"/>
    <n v="2"/>
  </r>
  <r>
    <s v="ORD-00309"/>
    <x v="509"/>
    <x v="6"/>
    <x v="1"/>
    <x v="1"/>
    <x v="1"/>
    <x v="0"/>
    <x v="1"/>
    <n v="1"/>
    <n v="28754"/>
    <n v="28754"/>
    <n v="2875.4"/>
    <n v="0.1"/>
    <n v="25878.6"/>
    <n v="18552.45"/>
    <n v="7326.1499999999978"/>
    <s v="Feb"/>
    <n v="2026"/>
    <n v="2"/>
  </r>
  <r>
    <s v="ORD-00957"/>
    <x v="510"/>
    <x v="9"/>
    <x v="0"/>
    <x v="1"/>
    <x v="3"/>
    <x v="0"/>
    <x v="1"/>
    <n v="2"/>
    <n v="47044"/>
    <n v="94088"/>
    <n v="14113.2"/>
    <n v="0.15"/>
    <n v="79974.8"/>
    <n v="61306.84"/>
    <n v="18667.960000000006"/>
    <s v="Feb"/>
    <n v="2026"/>
    <n v="2"/>
  </r>
  <r>
    <s v="ORD-00047"/>
    <x v="511"/>
    <x v="9"/>
    <x v="0"/>
    <x v="0"/>
    <x v="4"/>
    <x v="0"/>
    <x v="1"/>
    <n v="2"/>
    <n v="46705"/>
    <n v="93410"/>
    <n v="4670.5"/>
    <n v="0.05"/>
    <n v="88739.5"/>
    <n v="48885.93"/>
    <n v="39853.57"/>
    <s v="Feb"/>
    <n v="2026"/>
    <n v="2"/>
  </r>
  <r>
    <s v="ORD-00388"/>
    <x v="511"/>
    <x v="2"/>
    <x v="2"/>
    <x v="1"/>
    <x v="3"/>
    <x v="1"/>
    <x v="0"/>
    <n v="1"/>
    <n v="40517"/>
    <n v="40517"/>
    <n v="0"/>
    <n v="0"/>
    <n v="40517"/>
    <n v="26631.84"/>
    <n v="13885.16"/>
    <s v="Feb"/>
    <n v="2026"/>
    <n v="2"/>
  </r>
  <r>
    <s v="ORD-00041"/>
    <x v="512"/>
    <x v="9"/>
    <x v="0"/>
    <x v="2"/>
    <x v="2"/>
    <x v="0"/>
    <x v="1"/>
    <n v="1"/>
    <n v="46061"/>
    <n v="46061"/>
    <n v="2303.0500000000002"/>
    <n v="0.05"/>
    <n v="43757.95"/>
    <n v="24352.29"/>
    <n v="19405.659999999996"/>
    <s v="Feb"/>
    <n v="2026"/>
    <n v="2"/>
  </r>
  <r>
    <s v="ORD-00760"/>
    <x v="512"/>
    <x v="7"/>
    <x v="2"/>
    <x v="0"/>
    <x v="1"/>
    <x v="1"/>
    <x v="1"/>
    <n v="3"/>
    <n v="50166"/>
    <n v="150498"/>
    <n v="7524.9"/>
    <n v="0.05"/>
    <n v="142973.1"/>
    <n v="97227.5"/>
    <n v="45745.600000000006"/>
    <s v="Feb"/>
    <n v="2026"/>
    <n v="2"/>
  </r>
  <r>
    <s v="ORD-01076"/>
    <x v="513"/>
    <x v="8"/>
    <x v="2"/>
    <x v="2"/>
    <x v="2"/>
    <x v="1"/>
    <x v="0"/>
    <n v="1"/>
    <n v="35507"/>
    <n v="35507"/>
    <n v="0"/>
    <n v="0"/>
    <n v="35507"/>
    <n v="17851.23"/>
    <n v="17655.77"/>
    <s v="Feb"/>
    <n v="2026"/>
    <n v="2"/>
  </r>
  <r>
    <s v="ORD-00929"/>
    <x v="513"/>
    <x v="4"/>
    <x v="2"/>
    <x v="1"/>
    <x v="3"/>
    <x v="1"/>
    <x v="0"/>
    <n v="3"/>
    <n v="26289"/>
    <n v="78867"/>
    <n v="0"/>
    <n v="0"/>
    <n v="78867"/>
    <n v="53067.86"/>
    <n v="25799.14"/>
    <s v="Feb"/>
    <n v="2026"/>
    <n v="2"/>
  </r>
  <r>
    <s v="ORD-00857"/>
    <x v="514"/>
    <x v="3"/>
    <x v="0"/>
    <x v="2"/>
    <x v="4"/>
    <x v="0"/>
    <x v="0"/>
    <n v="2"/>
    <n v="12855"/>
    <n v="25710"/>
    <n v="0"/>
    <n v="0"/>
    <n v="25710"/>
    <n v="15422.37"/>
    <n v="10287.629999999999"/>
    <s v="Feb"/>
    <n v="2026"/>
    <n v="2"/>
  </r>
  <r>
    <s v="ORD-00091"/>
    <x v="515"/>
    <x v="7"/>
    <x v="2"/>
    <x v="2"/>
    <x v="2"/>
    <x v="0"/>
    <x v="1"/>
    <n v="4"/>
    <n v="52241"/>
    <n v="208964"/>
    <n v="41792.800000000003"/>
    <n v="0.2"/>
    <n v="167171.20000000001"/>
    <n v="102696.62"/>
    <n v="64474.580000000016"/>
    <s v="Feb"/>
    <n v="2026"/>
    <n v="2"/>
  </r>
  <r>
    <s v="ORD-01180"/>
    <x v="516"/>
    <x v="3"/>
    <x v="0"/>
    <x v="1"/>
    <x v="0"/>
    <x v="1"/>
    <x v="1"/>
    <n v="2"/>
    <n v="12529"/>
    <n v="25058"/>
    <n v="1252.9000000000001"/>
    <n v="0.05"/>
    <n v="23805.1"/>
    <n v="13093.43"/>
    <n v="10711.669999999998"/>
    <s v="Feb"/>
    <n v="2026"/>
    <n v="2"/>
  </r>
  <r>
    <s v="ORD-00500"/>
    <x v="517"/>
    <x v="4"/>
    <x v="2"/>
    <x v="2"/>
    <x v="2"/>
    <x v="1"/>
    <x v="1"/>
    <n v="5"/>
    <n v="24125"/>
    <n v="120625"/>
    <n v="18093.75"/>
    <n v="0.15"/>
    <n v="102531.25"/>
    <n v="59266.09"/>
    <n v="43265.16"/>
    <s v="Feb"/>
    <n v="2026"/>
    <n v="2"/>
  </r>
  <r>
    <s v="ORD-00610"/>
    <x v="518"/>
    <x v="2"/>
    <x v="2"/>
    <x v="1"/>
    <x v="4"/>
    <x v="0"/>
    <x v="1"/>
    <n v="4"/>
    <n v="39123"/>
    <n v="156492"/>
    <n v="23473.8"/>
    <n v="0.15"/>
    <n v="133018.20000000001"/>
    <n v="105092.72"/>
    <n v="27925.48000000001"/>
    <s v="Feb"/>
    <n v="2026"/>
    <n v="2"/>
  </r>
  <r>
    <s v="ORD-00759"/>
    <x v="518"/>
    <x v="0"/>
    <x v="0"/>
    <x v="3"/>
    <x v="3"/>
    <x v="1"/>
    <x v="1"/>
    <n v="5"/>
    <n v="14590"/>
    <n v="72950"/>
    <n v="10942.5"/>
    <n v="0.15"/>
    <n v="62007.5"/>
    <n v="47378.06"/>
    <n v="14629.440000000002"/>
    <s v="Feb"/>
    <n v="2026"/>
    <n v="2"/>
  </r>
  <r>
    <s v="ORD-00270"/>
    <x v="518"/>
    <x v="4"/>
    <x v="2"/>
    <x v="3"/>
    <x v="0"/>
    <x v="1"/>
    <x v="1"/>
    <n v="1"/>
    <n v="25042"/>
    <n v="25042"/>
    <n v="2504.1999999999998"/>
    <n v="0.1"/>
    <n v="22537.8"/>
    <n v="16580.84"/>
    <n v="5956.9599999999991"/>
    <s v="Feb"/>
    <n v="2026"/>
    <n v="2"/>
  </r>
  <r>
    <s v="ORD-00338"/>
    <x v="519"/>
    <x v="2"/>
    <x v="2"/>
    <x v="3"/>
    <x v="3"/>
    <x v="0"/>
    <x v="1"/>
    <n v="1"/>
    <n v="44545"/>
    <n v="44545"/>
    <n v="2227.25"/>
    <n v="0.05"/>
    <n v="42317.75"/>
    <n v="29131.88"/>
    <n v="13185.869999999999"/>
    <s v="Feb"/>
    <n v="2026"/>
    <n v="2"/>
  </r>
  <r>
    <s v="ORD-00327"/>
    <x v="520"/>
    <x v="5"/>
    <x v="2"/>
    <x v="0"/>
    <x v="4"/>
    <x v="1"/>
    <x v="0"/>
    <n v="3"/>
    <n v="19073"/>
    <n v="57219"/>
    <n v="0"/>
    <n v="0"/>
    <n v="57219"/>
    <n v="35821.949999999997"/>
    <n v="21397.050000000003"/>
    <s v="Mar"/>
    <n v="2026"/>
    <n v="3"/>
  </r>
  <r>
    <s v="ORD-00068"/>
    <x v="521"/>
    <x v="6"/>
    <x v="1"/>
    <x v="3"/>
    <x v="1"/>
    <x v="1"/>
    <x v="2"/>
    <n v="2"/>
    <n v="31482"/>
    <n v="62964"/>
    <n v="12592.8"/>
    <n v="0.2"/>
    <n v="50371.199999999997"/>
    <n v="33740.74"/>
    <n v="16630.46"/>
    <s v="Mar"/>
    <n v="2026"/>
    <n v="3"/>
  </r>
  <r>
    <s v="ORD-00367"/>
    <x v="521"/>
    <x v="3"/>
    <x v="0"/>
    <x v="2"/>
    <x v="4"/>
    <x v="1"/>
    <x v="0"/>
    <n v="1"/>
    <n v="11305"/>
    <n v="11305"/>
    <n v="0"/>
    <n v="0"/>
    <n v="11305"/>
    <n v="6557.03"/>
    <n v="4747.97"/>
    <s v="Mar"/>
    <n v="2026"/>
    <n v="3"/>
  </r>
  <r>
    <s v="ORD-00828"/>
    <x v="522"/>
    <x v="5"/>
    <x v="2"/>
    <x v="1"/>
    <x v="2"/>
    <x v="0"/>
    <x v="2"/>
    <n v="1"/>
    <n v="18654"/>
    <n v="18654"/>
    <n v="1865.4"/>
    <n v="0.1"/>
    <n v="16788.599999999999"/>
    <n v="9722.65"/>
    <n v="7065.9499999999989"/>
    <s v="Mar"/>
    <n v="2026"/>
    <n v="3"/>
  </r>
  <r>
    <s v="ORD-00643"/>
    <x v="522"/>
    <x v="7"/>
    <x v="2"/>
    <x v="2"/>
    <x v="2"/>
    <x v="1"/>
    <x v="2"/>
    <n v="1"/>
    <n v="47077"/>
    <n v="47077"/>
    <n v="9415.4"/>
    <n v="0.2"/>
    <n v="37661.599999999999"/>
    <n v="27168.11"/>
    <n v="10493.489999999998"/>
    <s v="Mar"/>
    <n v="2026"/>
    <n v="3"/>
  </r>
  <r>
    <s v="ORD-01024"/>
    <x v="522"/>
    <x v="3"/>
    <x v="0"/>
    <x v="0"/>
    <x v="0"/>
    <x v="1"/>
    <x v="0"/>
    <n v="1"/>
    <n v="12588"/>
    <n v="12588"/>
    <n v="0"/>
    <n v="0"/>
    <n v="12588"/>
    <n v="7156.3"/>
    <n v="5431.7"/>
    <s v="Mar"/>
    <n v="2026"/>
    <n v="3"/>
  </r>
  <r>
    <s v="ORD-00109"/>
    <x v="523"/>
    <x v="7"/>
    <x v="2"/>
    <x v="1"/>
    <x v="4"/>
    <x v="1"/>
    <x v="0"/>
    <n v="2"/>
    <n v="51917"/>
    <n v="103834"/>
    <n v="0"/>
    <n v="0"/>
    <n v="103834"/>
    <n v="62586.51"/>
    <n v="41247.49"/>
    <s v="Mar"/>
    <n v="2026"/>
    <n v="3"/>
  </r>
  <r>
    <s v="ORD-00454"/>
    <x v="523"/>
    <x v="0"/>
    <x v="0"/>
    <x v="2"/>
    <x v="4"/>
    <x v="0"/>
    <x v="2"/>
    <n v="1"/>
    <n v="14606"/>
    <n v="14606"/>
    <n v="730.3"/>
    <n v="0.05"/>
    <n v="13875.7"/>
    <n v="9338.0400000000009"/>
    <n v="4537.66"/>
    <s v="Mar"/>
    <n v="2026"/>
    <n v="3"/>
  </r>
  <r>
    <s v="ORD-00542"/>
    <x v="523"/>
    <x v="2"/>
    <x v="2"/>
    <x v="0"/>
    <x v="1"/>
    <x v="1"/>
    <x v="2"/>
    <n v="3"/>
    <n v="44612"/>
    <n v="133836"/>
    <n v="20075.400000000001"/>
    <n v="0.15"/>
    <n v="113760.6"/>
    <n v="70759.850000000006"/>
    <n v="43000.75"/>
    <s v="Mar"/>
    <n v="2026"/>
    <n v="3"/>
  </r>
  <r>
    <s v="ORD-00130"/>
    <x v="524"/>
    <x v="7"/>
    <x v="2"/>
    <x v="0"/>
    <x v="4"/>
    <x v="1"/>
    <x v="2"/>
    <n v="1"/>
    <n v="51927"/>
    <n v="51927"/>
    <n v="7789.05"/>
    <n v="0.15"/>
    <n v="44137.95"/>
    <n v="33534.639999999999"/>
    <n v="10603.309999999998"/>
    <s v="Mar"/>
    <n v="2026"/>
    <n v="3"/>
  </r>
  <r>
    <s v="ORD-00606"/>
    <x v="525"/>
    <x v="8"/>
    <x v="2"/>
    <x v="2"/>
    <x v="0"/>
    <x v="0"/>
    <x v="0"/>
    <n v="2"/>
    <n v="40831"/>
    <n v="81662"/>
    <n v="0"/>
    <n v="0"/>
    <n v="81662"/>
    <n v="52445.04"/>
    <n v="29216.959999999999"/>
    <s v="Mar"/>
    <n v="2026"/>
    <n v="3"/>
  </r>
  <r>
    <s v="ORD-00530"/>
    <x v="526"/>
    <x v="9"/>
    <x v="0"/>
    <x v="0"/>
    <x v="4"/>
    <x v="0"/>
    <x v="2"/>
    <n v="3"/>
    <n v="47695"/>
    <n v="143085"/>
    <n v="7154.25"/>
    <n v="0.05"/>
    <n v="135930.75"/>
    <n v="89361.84"/>
    <n v="46568.91"/>
    <s v="Mar"/>
    <n v="2026"/>
    <n v="3"/>
  </r>
  <r>
    <s v="ORD-00232"/>
    <x v="526"/>
    <x v="4"/>
    <x v="2"/>
    <x v="0"/>
    <x v="1"/>
    <x v="1"/>
    <x v="0"/>
    <n v="1"/>
    <n v="23280"/>
    <n v="23280"/>
    <n v="0"/>
    <n v="0"/>
    <n v="23280"/>
    <n v="14007.15"/>
    <n v="9272.85"/>
    <s v="Mar"/>
    <n v="2026"/>
    <n v="3"/>
  </r>
  <r>
    <s v="ORD-00594"/>
    <x v="526"/>
    <x v="5"/>
    <x v="2"/>
    <x v="0"/>
    <x v="4"/>
    <x v="1"/>
    <x v="2"/>
    <n v="1"/>
    <n v="17823"/>
    <n v="17823"/>
    <n v="1782.3"/>
    <n v="0.1"/>
    <n v="16040.7"/>
    <n v="9020.0499999999993"/>
    <n v="7020.6500000000015"/>
    <s v="Mar"/>
    <n v="2026"/>
    <n v="3"/>
  </r>
  <r>
    <s v="ORD-00771"/>
    <x v="526"/>
    <x v="3"/>
    <x v="0"/>
    <x v="3"/>
    <x v="1"/>
    <x v="0"/>
    <x v="0"/>
    <n v="3"/>
    <n v="11163"/>
    <n v="33489"/>
    <n v="0"/>
    <n v="0"/>
    <n v="33489"/>
    <n v="18471.28"/>
    <n v="15017.720000000001"/>
    <s v="Mar"/>
    <n v="2026"/>
    <n v="3"/>
  </r>
  <r>
    <s v="ORD-00928"/>
    <x v="527"/>
    <x v="9"/>
    <x v="0"/>
    <x v="1"/>
    <x v="3"/>
    <x v="1"/>
    <x v="0"/>
    <n v="1"/>
    <n v="45121"/>
    <n v="45121"/>
    <n v="0"/>
    <n v="0"/>
    <n v="45121"/>
    <n v="23551.94"/>
    <n v="21569.06"/>
    <s v="Mar"/>
    <n v="2026"/>
    <n v="3"/>
  </r>
  <r>
    <s v="ORD-00784"/>
    <x v="527"/>
    <x v="5"/>
    <x v="2"/>
    <x v="1"/>
    <x v="2"/>
    <x v="0"/>
    <x v="0"/>
    <n v="1"/>
    <n v="19313"/>
    <n v="19313"/>
    <n v="0"/>
    <n v="0"/>
    <n v="19313"/>
    <n v="11036.67"/>
    <n v="8276.33"/>
    <s v="Mar"/>
    <n v="2026"/>
    <n v="3"/>
  </r>
  <r>
    <s v="ORD-00214"/>
    <x v="528"/>
    <x v="9"/>
    <x v="0"/>
    <x v="2"/>
    <x v="0"/>
    <x v="0"/>
    <x v="0"/>
    <n v="2"/>
    <n v="45840"/>
    <n v="91680"/>
    <n v="0"/>
    <n v="0"/>
    <n v="91680"/>
    <n v="57536.85"/>
    <n v="34143.15"/>
    <s v="Mar"/>
    <n v="2026"/>
    <n v="3"/>
  </r>
  <r>
    <s v="ORD-00332"/>
    <x v="529"/>
    <x v="2"/>
    <x v="2"/>
    <x v="2"/>
    <x v="4"/>
    <x v="1"/>
    <x v="2"/>
    <n v="3"/>
    <n v="40866"/>
    <n v="122598"/>
    <n v="18389.7"/>
    <n v="0.15"/>
    <n v="104208.3"/>
    <n v="68555.259999999995"/>
    <n v="35653.040000000008"/>
    <s v="Mar"/>
    <n v="2026"/>
    <n v="3"/>
  </r>
  <r>
    <s v="ORD-00360"/>
    <x v="529"/>
    <x v="5"/>
    <x v="2"/>
    <x v="1"/>
    <x v="4"/>
    <x v="1"/>
    <x v="0"/>
    <n v="2"/>
    <n v="16578"/>
    <n v="33156"/>
    <n v="0"/>
    <n v="0"/>
    <n v="33156"/>
    <n v="17808.919999999998"/>
    <n v="15347.080000000002"/>
    <s v="Mar"/>
    <n v="2026"/>
    <n v="3"/>
  </r>
  <r>
    <s v="ORD-00655"/>
    <x v="530"/>
    <x v="1"/>
    <x v="1"/>
    <x v="2"/>
    <x v="3"/>
    <x v="1"/>
    <x v="0"/>
    <n v="2"/>
    <n v="66593"/>
    <n v="133186"/>
    <n v="0"/>
    <n v="0"/>
    <n v="133186"/>
    <n v="89666.83"/>
    <n v="43519.17"/>
    <s v="Mar"/>
    <n v="2026"/>
    <n v="3"/>
  </r>
  <r>
    <s v="ORD-00995"/>
    <x v="531"/>
    <x v="4"/>
    <x v="2"/>
    <x v="0"/>
    <x v="4"/>
    <x v="1"/>
    <x v="2"/>
    <n v="1"/>
    <n v="24272"/>
    <n v="24272"/>
    <n v="3640.8"/>
    <n v="0.15"/>
    <n v="20631.2"/>
    <n v="13746.36"/>
    <n v="6884.84"/>
    <s v="Mar"/>
    <n v="2026"/>
    <n v="3"/>
  </r>
  <r>
    <s v="ORD-00097"/>
    <x v="531"/>
    <x v="9"/>
    <x v="0"/>
    <x v="0"/>
    <x v="1"/>
    <x v="1"/>
    <x v="2"/>
    <n v="2"/>
    <n v="45351"/>
    <n v="90702"/>
    <n v="13605.3"/>
    <n v="0.15"/>
    <n v="77096.7"/>
    <n v="47639.360000000001"/>
    <n v="29457.339999999997"/>
    <s v="Mar"/>
    <n v="2026"/>
    <n v="3"/>
  </r>
  <r>
    <s v="ORD-01101"/>
    <x v="531"/>
    <x v="6"/>
    <x v="1"/>
    <x v="2"/>
    <x v="4"/>
    <x v="0"/>
    <x v="0"/>
    <n v="1"/>
    <n v="31634"/>
    <n v="31634"/>
    <n v="0"/>
    <n v="0"/>
    <n v="31634"/>
    <n v="16199.1"/>
    <n v="15434.9"/>
    <s v="Mar"/>
    <n v="2026"/>
    <n v="3"/>
  </r>
  <r>
    <s v="ORD-00972"/>
    <x v="531"/>
    <x v="9"/>
    <x v="0"/>
    <x v="2"/>
    <x v="0"/>
    <x v="1"/>
    <x v="2"/>
    <n v="2"/>
    <n v="45857"/>
    <n v="91714"/>
    <n v="4585.7"/>
    <n v="0.05"/>
    <n v="87128.3"/>
    <n v="53604.51"/>
    <n v="33523.79"/>
    <s v="Mar"/>
    <n v="2026"/>
    <n v="3"/>
  </r>
  <r>
    <s v="ORD-00592"/>
    <x v="532"/>
    <x v="9"/>
    <x v="0"/>
    <x v="3"/>
    <x v="2"/>
    <x v="1"/>
    <x v="0"/>
    <n v="3"/>
    <n v="43441"/>
    <n v="130323"/>
    <n v="0"/>
    <n v="0"/>
    <n v="130323"/>
    <n v="75125.77"/>
    <n v="55197.229999999996"/>
    <s v="Mar"/>
    <n v="2026"/>
    <n v="3"/>
  </r>
  <r>
    <s v="ORD-00012"/>
    <x v="532"/>
    <x v="1"/>
    <x v="1"/>
    <x v="1"/>
    <x v="3"/>
    <x v="1"/>
    <x v="2"/>
    <n v="3"/>
    <n v="69283"/>
    <n v="207849"/>
    <n v="20784.900000000001"/>
    <n v="0.1"/>
    <n v="187064.1"/>
    <n v="107477.01"/>
    <n v="79587.090000000011"/>
    <s v="Mar"/>
    <n v="2026"/>
    <n v="3"/>
  </r>
  <r>
    <s v="ORD-00677"/>
    <x v="532"/>
    <x v="8"/>
    <x v="2"/>
    <x v="2"/>
    <x v="4"/>
    <x v="1"/>
    <x v="0"/>
    <n v="4"/>
    <n v="36947"/>
    <n v="147788"/>
    <n v="0"/>
    <n v="0"/>
    <n v="147788"/>
    <n v="98440.07"/>
    <n v="49347.929999999993"/>
    <s v="Mar"/>
    <n v="2026"/>
    <n v="3"/>
  </r>
  <r>
    <s v="ORD-00815"/>
    <x v="532"/>
    <x v="7"/>
    <x v="2"/>
    <x v="3"/>
    <x v="0"/>
    <x v="1"/>
    <x v="0"/>
    <n v="5"/>
    <n v="52730"/>
    <n v="263650"/>
    <n v="0"/>
    <n v="0"/>
    <n v="263650"/>
    <n v="167041.31"/>
    <n v="96608.69"/>
    <s v="Mar"/>
    <n v="2026"/>
    <n v="3"/>
  </r>
  <r>
    <s v="ORD-01154"/>
    <x v="533"/>
    <x v="0"/>
    <x v="0"/>
    <x v="2"/>
    <x v="3"/>
    <x v="1"/>
    <x v="0"/>
    <n v="4"/>
    <n v="15527"/>
    <n v="62108"/>
    <n v="0"/>
    <n v="0"/>
    <n v="62108"/>
    <n v="31134.880000000001"/>
    <n v="30973.119999999999"/>
    <s v="Mar"/>
    <n v="2026"/>
    <n v="3"/>
  </r>
  <r>
    <s v="ORD-01030"/>
    <x v="533"/>
    <x v="3"/>
    <x v="0"/>
    <x v="1"/>
    <x v="1"/>
    <x v="1"/>
    <x v="2"/>
    <n v="5"/>
    <n v="12569"/>
    <n v="62845"/>
    <n v="6284.5"/>
    <n v="0.1"/>
    <n v="56560.5"/>
    <n v="37291.54"/>
    <n v="19268.96"/>
    <s v="Mar"/>
    <n v="2026"/>
    <n v="3"/>
  </r>
  <r>
    <s v="ORD-00686"/>
    <x v="534"/>
    <x v="5"/>
    <x v="2"/>
    <x v="0"/>
    <x v="3"/>
    <x v="1"/>
    <x v="0"/>
    <n v="2"/>
    <n v="19278"/>
    <n v="38556"/>
    <n v="0"/>
    <n v="0"/>
    <n v="38556"/>
    <n v="25062.73"/>
    <n v="13493.27"/>
    <s v="Mar"/>
    <n v="2026"/>
    <n v="3"/>
  </r>
  <r>
    <s v="ORD-00945"/>
    <x v="535"/>
    <x v="3"/>
    <x v="0"/>
    <x v="1"/>
    <x v="2"/>
    <x v="1"/>
    <x v="2"/>
    <n v="2"/>
    <n v="12223"/>
    <n v="24446"/>
    <n v="4889.2"/>
    <n v="0.2"/>
    <n v="19556.8"/>
    <n v="16424.68"/>
    <n v="3132.119999999999"/>
    <s v="Mar"/>
    <n v="2026"/>
    <n v="3"/>
  </r>
  <r>
    <s v="ORD-00858"/>
    <x v="535"/>
    <x v="2"/>
    <x v="2"/>
    <x v="3"/>
    <x v="4"/>
    <x v="0"/>
    <x v="0"/>
    <n v="1"/>
    <n v="42368"/>
    <n v="42368"/>
    <n v="0"/>
    <n v="0"/>
    <n v="42368"/>
    <n v="20368.57"/>
    <n v="21999.43"/>
    <s v="Mar"/>
    <n v="2026"/>
    <n v="3"/>
  </r>
  <r>
    <s v="ORD-01122"/>
    <x v="535"/>
    <x v="9"/>
    <x v="0"/>
    <x v="3"/>
    <x v="3"/>
    <x v="0"/>
    <x v="0"/>
    <n v="1"/>
    <n v="44967"/>
    <n v="44967"/>
    <n v="0"/>
    <n v="0"/>
    <n v="44967"/>
    <n v="24692.11"/>
    <n v="20274.89"/>
    <s v="Mar"/>
    <n v="2026"/>
    <n v="3"/>
  </r>
  <r>
    <s v="ORD-00816"/>
    <x v="536"/>
    <x v="0"/>
    <x v="0"/>
    <x v="1"/>
    <x v="2"/>
    <x v="0"/>
    <x v="2"/>
    <n v="1"/>
    <n v="14506"/>
    <n v="14506"/>
    <n v="2175.9"/>
    <n v="0.15"/>
    <n v="12330.1"/>
    <n v="9166.1299999999992"/>
    <n v="3163.9700000000012"/>
    <s v="Mar"/>
    <n v="2026"/>
    <n v="3"/>
  </r>
  <r>
    <s v="ORD-00964"/>
    <x v="536"/>
    <x v="1"/>
    <x v="1"/>
    <x v="2"/>
    <x v="0"/>
    <x v="0"/>
    <x v="0"/>
    <n v="2"/>
    <n v="68652"/>
    <n v="137304"/>
    <n v="0"/>
    <n v="0"/>
    <n v="137304"/>
    <n v="90544.94"/>
    <n v="46759.06"/>
    <s v="Mar"/>
    <n v="2026"/>
    <n v="3"/>
  </r>
  <r>
    <s v="ORD-00489"/>
    <x v="536"/>
    <x v="9"/>
    <x v="0"/>
    <x v="2"/>
    <x v="4"/>
    <x v="0"/>
    <x v="2"/>
    <n v="2"/>
    <n v="42614"/>
    <n v="85228"/>
    <n v="17045.599999999999"/>
    <n v="0.2"/>
    <n v="68182.399999999994"/>
    <n v="48629.11"/>
    <n v="19553.289999999994"/>
    <s v="Mar"/>
    <n v="2026"/>
    <n v="3"/>
  </r>
  <r>
    <s v="ORD-00835"/>
    <x v="536"/>
    <x v="5"/>
    <x v="2"/>
    <x v="0"/>
    <x v="2"/>
    <x v="1"/>
    <x v="0"/>
    <n v="1"/>
    <n v="18837"/>
    <n v="18837"/>
    <n v="0"/>
    <n v="0"/>
    <n v="18837"/>
    <n v="11162.1"/>
    <n v="7674.9"/>
    <s v="Mar"/>
    <n v="2026"/>
    <n v="3"/>
  </r>
  <r>
    <s v="ORD-00238"/>
    <x v="537"/>
    <x v="7"/>
    <x v="2"/>
    <x v="0"/>
    <x v="4"/>
    <x v="1"/>
    <x v="0"/>
    <n v="2"/>
    <n v="51276"/>
    <n v="102552"/>
    <n v="0"/>
    <n v="0"/>
    <n v="102552"/>
    <n v="54802.68"/>
    <n v="47749.32"/>
    <s v="Mar"/>
    <n v="2026"/>
    <n v="3"/>
  </r>
  <r>
    <s v="ORD-00196"/>
    <x v="537"/>
    <x v="3"/>
    <x v="0"/>
    <x v="1"/>
    <x v="0"/>
    <x v="1"/>
    <x v="2"/>
    <n v="1"/>
    <n v="12684"/>
    <n v="12684"/>
    <n v="2536.8000000000002"/>
    <n v="0.2"/>
    <n v="10147.200000000001"/>
    <n v="7932.72"/>
    <n v="2214.4800000000005"/>
    <s v="Mar"/>
    <n v="2026"/>
    <n v="3"/>
  </r>
  <r>
    <s v="ORD-00216"/>
    <x v="537"/>
    <x v="0"/>
    <x v="0"/>
    <x v="0"/>
    <x v="3"/>
    <x v="0"/>
    <x v="0"/>
    <n v="3"/>
    <n v="15084"/>
    <n v="45252"/>
    <n v="0"/>
    <n v="0"/>
    <n v="45252"/>
    <n v="28816.36"/>
    <n v="16435.64"/>
    <s v="Mar"/>
    <n v="2026"/>
    <n v="3"/>
  </r>
  <r>
    <s v="ORD-00060"/>
    <x v="537"/>
    <x v="6"/>
    <x v="1"/>
    <x v="2"/>
    <x v="4"/>
    <x v="0"/>
    <x v="0"/>
    <n v="2"/>
    <n v="29895"/>
    <n v="59790"/>
    <n v="0"/>
    <n v="0"/>
    <n v="59790"/>
    <n v="31480.05"/>
    <n v="28309.95"/>
    <s v="Mar"/>
    <n v="2026"/>
    <n v="3"/>
  </r>
  <r>
    <s v="ORD-01148"/>
    <x v="538"/>
    <x v="7"/>
    <x v="2"/>
    <x v="0"/>
    <x v="4"/>
    <x v="1"/>
    <x v="2"/>
    <n v="3"/>
    <n v="52610"/>
    <n v="157830"/>
    <n v="31566"/>
    <n v="0.2"/>
    <n v="126264"/>
    <n v="84358.44"/>
    <n v="41905.56"/>
    <s v="Mar"/>
    <n v="2026"/>
    <n v="3"/>
  </r>
  <r>
    <s v="ORD-01062"/>
    <x v="538"/>
    <x v="2"/>
    <x v="2"/>
    <x v="2"/>
    <x v="1"/>
    <x v="1"/>
    <x v="2"/>
    <n v="1"/>
    <n v="41089"/>
    <n v="41089"/>
    <n v="6163.35"/>
    <n v="0.15"/>
    <n v="34925.65"/>
    <n v="20721.599999999999"/>
    <n v="14204.050000000003"/>
    <s v="Mar"/>
    <n v="2026"/>
    <n v="3"/>
  </r>
  <r>
    <s v="ORD-01022"/>
    <x v="539"/>
    <x v="7"/>
    <x v="2"/>
    <x v="0"/>
    <x v="3"/>
    <x v="0"/>
    <x v="2"/>
    <n v="2"/>
    <n v="52004"/>
    <n v="104008"/>
    <n v="5200.3999999999996"/>
    <n v="0.05"/>
    <n v="98807.6"/>
    <n v="64690.8"/>
    <n v="34116.800000000003"/>
    <s v="Mar"/>
    <n v="2026"/>
    <n v="3"/>
  </r>
  <r>
    <s v="ORD-01013"/>
    <x v="540"/>
    <x v="3"/>
    <x v="0"/>
    <x v="0"/>
    <x v="4"/>
    <x v="1"/>
    <x v="2"/>
    <n v="2"/>
    <n v="12437"/>
    <n v="24874"/>
    <n v="2487.4"/>
    <n v="0.1"/>
    <n v="22386.6"/>
    <n v="13047.65"/>
    <n v="9338.9499999999989"/>
    <s v="Mar"/>
    <n v="2026"/>
    <n v="3"/>
  </r>
  <r>
    <s v="ORD-00794"/>
    <x v="540"/>
    <x v="7"/>
    <x v="2"/>
    <x v="0"/>
    <x v="0"/>
    <x v="0"/>
    <x v="0"/>
    <n v="2"/>
    <n v="46636"/>
    <n v="93272"/>
    <n v="0"/>
    <n v="0"/>
    <n v="93272"/>
    <n v="47658.559999999998"/>
    <n v="45613.440000000002"/>
    <s v="Mar"/>
    <n v="2026"/>
    <n v="3"/>
  </r>
  <r>
    <s v="ORD-00211"/>
    <x v="541"/>
    <x v="4"/>
    <x v="2"/>
    <x v="1"/>
    <x v="0"/>
    <x v="0"/>
    <x v="2"/>
    <n v="1"/>
    <n v="25893"/>
    <n v="25893"/>
    <n v="2589.3000000000002"/>
    <n v="0.1"/>
    <n v="23303.7"/>
    <n v="15481.19"/>
    <n v="7822.51"/>
    <s v="Apr"/>
    <n v="2026"/>
    <n v="4"/>
  </r>
  <r>
    <s v="ORD-00953"/>
    <x v="542"/>
    <x v="0"/>
    <x v="0"/>
    <x v="2"/>
    <x v="4"/>
    <x v="0"/>
    <x v="2"/>
    <n v="1"/>
    <n v="14567"/>
    <n v="14567"/>
    <n v="1456.7"/>
    <n v="0.1"/>
    <n v="13110.3"/>
    <n v="7758.04"/>
    <n v="5352.2599999999993"/>
    <s v="Apr"/>
    <n v="2026"/>
    <n v="4"/>
  </r>
  <r>
    <s v="ORD-00548"/>
    <x v="542"/>
    <x v="2"/>
    <x v="2"/>
    <x v="2"/>
    <x v="4"/>
    <x v="0"/>
    <x v="0"/>
    <n v="2"/>
    <n v="39294"/>
    <n v="78588"/>
    <n v="0"/>
    <n v="0"/>
    <n v="78588"/>
    <n v="47753.599999999999"/>
    <n v="30834.400000000001"/>
    <s v="Apr"/>
    <n v="2026"/>
    <n v="4"/>
  </r>
  <r>
    <s v="ORD-00711"/>
    <x v="542"/>
    <x v="5"/>
    <x v="2"/>
    <x v="0"/>
    <x v="4"/>
    <x v="0"/>
    <x v="0"/>
    <n v="2"/>
    <n v="18163"/>
    <n v="36326"/>
    <n v="0"/>
    <n v="0"/>
    <n v="36326"/>
    <n v="24190.09"/>
    <n v="12135.91"/>
    <s v="Apr"/>
    <n v="2026"/>
    <n v="4"/>
  </r>
  <r>
    <s v="ORD-00315"/>
    <x v="542"/>
    <x v="2"/>
    <x v="2"/>
    <x v="0"/>
    <x v="2"/>
    <x v="0"/>
    <x v="0"/>
    <n v="2"/>
    <n v="40494"/>
    <n v="80988"/>
    <n v="0"/>
    <n v="0"/>
    <n v="80988"/>
    <n v="42539.31"/>
    <n v="38448.69"/>
    <s v="Apr"/>
    <n v="2026"/>
    <n v="4"/>
  </r>
  <r>
    <s v="ORD-00529"/>
    <x v="543"/>
    <x v="5"/>
    <x v="2"/>
    <x v="1"/>
    <x v="3"/>
    <x v="1"/>
    <x v="0"/>
    <n v="1"/>
    <n v="17244"/>
    <n v="17244"/>
    <n v="0"/>
    <n v="0"/>
    <n v="17244"/>
    <n v="9263.7900000000009"/>
    <n v="7980.2099999999991"/>
    <s v="Apr"/>
    <n v="2026"/>
    <n v="4"/>
  </r>
  <r>
    <s v="ORD-00481"/>
    <x v="543"/>
    <x v="4"/>
    <x v="2"/>
    <x v="3"/>
    <x v="3"/>
    <x v="1"/>
    <x v="0"/>
    <n v="2"/>
    <n v="23752"/>
    <n v="47504"/>
    <n v="0"/>
    <n v="0"/>
    <n v="47504"/>
    <n v="23343.49"/>
    <n v="24160.51"/>
    <s v="Apr"/>
    <n v="2026"/>
    <n v="4"/>
  </r>
  <r>
    <s v="ORD-01162"/>
    <x v="544"/>
    <x v="2"/>
    <x v="2"/>
    <x v="3"/>
    <x v="1"/>
    <x v="0"/>
    <x v="0"/>
    <n v="2"/>
    <n v="38857"/>
    <n v="77714"/>
    <n v="0"/>
    <n v="0"/>
    <n v="77714"/>
    <n v="45909.96"/>
    <n v="31804.04"/>
    <s v="Apr"/>
    <n v="2026"/>
    <n v="4"/>
  </r>
  <r>
    <s v="ORD-00861"/>
    <x v="544"/>
    <x v="8"/>
    <x v="2"/>
    <x v="2"/>
    <x v="3"/>
    <x v="0"/>
    <x v="2"/>
    <n v="1"/>
    <n v="37977"/>
    <n v="37977"/>
    <n v="1898.85"/>
    <n v="0.05"/>
    <n v="36078.15"/>
    <n v="20771.41"/>
    <n v="15306.740000000002"/>
    <s v="Apr"/>
    <n v="2026"/>
    <n v="4"/>
  </r>
  <r>
    <s v="ORD-00395"/>
    <x v="545"/>
    <x v="9"/>
    <x v="0"/>
    <x v="0"/>
    <x v="0"/>
    <x v="0"/>
    <x v="0"/>
    <n v="2"/>
    <n v="46446"/>
    <n v="92892"/>
    <n v="0"/>
    <n v="0"/>
    <n v="92892"/>
    <n v="52896.44"/>
    <n v="39995.56"/>
    <s v="Apr"/>
    <n v="2026"/>
    <n v="4"/>
  </r>
  <r>
    <s v="ORD-00541"/>
    <x v="546"/>
    <x v="6"/>
    <x v="1"/>
    <x v="1"/>
    <x v="4"/>
    <x v="0"/>
    <x v="2"/>
    <n v="1"/>
    <n v="29532"/>
    <n v="29532"/>
    <n v="4429.8"/>
    <n v="0.15"/>
    <n v="25102.2"/>
    <n v="18016.03"/>
    <n v="7086.1700000000019"/>
    <s v="Apr"/>
    <n v="2026"/>
    <n v="4"/>
  </r>
  <r>
    <s v="ORD-01088"/>
    <x v="546"/>
    <x v="8"/>
    <x v="2"/>
    <x v="2"/>
    <x v="3"/>
    <x v="1"/>
    <x v="2"/>
    <n v="1"/>
    <n v="37086"/>
    <n v="37086"/>
    <n v="5562.9"/>
    <n v="0.15"/>
    <n v="31523.1"/>
    <n v="22237.81"/>
    <n v="9285.2899999999972"/>
    <s v="Apr"/>
    <n v="2026"/>
    <n v="4"/>
  </r>
  <r>
    <s v="ORD-00278"/>
    <x v="547"/>
    <x v="6"/>
    <x v="1"/>
    <x v="1"/>
    <x v="4"/>
    <x v="1"/>
    <x v="0"/>
    <n v="1"/>
    <n v="29744"/>
    <n v="29744"/>
    <n v="0"/>
    <n v="0"/>
    <n v="29744"/>
    <n v="15744.44"/>
    <n v="13999.56"/>
    <s v="Apr"/>
    <n v="2026"/>
    <n v="4"/>
  </r>
  <r>
    <s v="ORD-00845"/>
    <x v="547"/>
    <x v="4"/>
    <x v="2"/>
    <x v="0"/>
    <x v="3"/>
    <x v="0"/>
    <x v="0"/>
    <n v="3"/>
    <n v="23165"/>
    <n v="69495"/>
    <n v="0"/>
    <n v="0"/>
    <n v="69495"/>
    <n v="33840.120000000003"/>
    <n v="35654.879999999997"/>
    <s v="Apr"/>
    <n v="2026"/>
    <n v="4"/>
  </r>
  <r>
    <s v="ORD-00474"/>
    <x v="548"/>
    <x v="9"/>
    <x v="0"/>
    <x v="2"/>
    <x v="4"/>
    <x v="1"/>
    <x v="0"/>
    <n v="1"/>
    <n v="46622"/>
    <n v="46622"/>
    <n v="0"/>
    <n v="0"/>
    <n v="46622"/>
    <n v="31464.62"/>
    <n v="15157.380000000001"/>
    <s v="Apr"/>
    <n v="2026"/>
    <n v="4"/>
  </r>
  <r>
    <s v="ORD-00925"/>
    <x v="549"/>
    <x v="8"/>
    <x v="2"/>
    <x v="1"/>
    <x v="1"/>
    <x v="1"/>
    <x v="0"/>
    <n v="3"/>
    <n v="40988"/>
    <n v="122964"/>
    <n v="0"/>
    <n v="0"/>
    <n v="122964"/>
    <n v="76489.59"/>
    <n v="46474.41"/>
    <s v="Apr"/>
    <n v="2026"/>
    <n v="4"/>
  </r>
  <r>
    <s v="ORD-00651"/>
    <x v="549"/>
    <x v="4"/>
    <x v="2"/>
    <x v="2"/>
    <x v="2"/>
    <x v="1"/>
    <x v="2"/>
    <n v="5"/>
    <n v="26699"/>
    <n v="133495"/>
    <n v="26699"/>
    <n v="0.2"/>
    <n v="106796"/>
    <n v="72775.59"/>
    <n v="34020.410000000003"/>
    <s v="Apr"/>
    <n v="2026"/>
    <n v="4"/>
  </r>
  <r>
    <s v="ORD-00323"/>
    <x v="549"/>
    <x v="1"/>
    <x v="1"/>
    <x v="1"/>
    <x v="3"/>
    <x v="0"/>
    <x v="0"/>
    <n v="1"/>
    <n v="63156"/>
    <n v="63156"/>
    <n v="9473.4"/>
    <n v="0.15"/>
    <n v="53682.6"/>
    <n v="32187.040000000001"/>
    <n v="21495.559999999998"/>
    <s v="Apr"/>
    <n v="2026"/>
    <n v="4"/>
  </r>
  <r>
    <s v="ORD-00031"/>
    <x v="550"/>
    <x v="1"/>
    <x v="1"/>
    <x v="1"/>
    <x v="4"/>
    <x v="0"/>
    <x v="0"/>
    <n v="2"/>
    <n v="66934"/>
    <n v="133868"/>
    <n v="0"/>
    <n v="0"/>
    <n v="133868"/>
    <n v="72908.009999999995"/>
    <n v="60959.990000000005"/>
    <s v="Apr"/>
    <n v="2026"/>
    <n v="4"/>
  </r>
  <r>
    <s v="ORD-00934"/>
    <x v="551"/>
    <x v="5"/>
    <x v="2"/>
    <x v="0"/>
    <x v="3"/>
    <x v="1"/>
    <x v="2"/>
    <n v="5"/>
    <n v="19133"/>
    <n v="95665"/>
    <n v="14349.75"/>
    <n v="0.15"/>
    <n v="81315.25"/>
    <n v="47890.7"/>
    <n v="33424.550000000003"/>
    <s v="Apr"/>
    <n v="2026"/>
    <n v="4"/>
  </r>
  <r>
    <s v="ORD-00289"/>
    <x v="552"/>
    <x v="2"/>
    <x v="2"/>
    <x v="1"/>
    <x v="3"/>
    <x v="0"/>
    <x v="0"/>
    <n v="2"/>
    <n v="40678"/>
    <n v="81356"/>
    <n v="0"/>
    <n v="0"/>
    <n v="81356"/>
    <n v="40981.360000000001"/>
    <n v="40374.639999999999"/>
    <s v="Apr"/>
    <n v="2026"/>
    <n v="4"/>
  </r>
  <r>
    <s v="ORD-00154"/>
    <x v="553"/>
    <x v="9"/>
    <x v="0"/>
    <x v="3"/>
    <x v="4"/>
    <x v="0"/>
    <x v="0"/>
    <n v="2"/>
    <n v="46064"/>
    <n v="92128"/>
    <n v="0"/>
    <n v="0"/>
    <n v="92128"/>
    <n v="60595.519999999997"/>
    <n v="31532.480000000003"/>
    <s v="Apr"/>
    <n v="2026"/>
    <n v="4"/>
  </r>
  <r>
    <s v="ORD-00736"/>
    <x v="553"/>
    <x v="5"/>
    <x v="2"/>
    <x v="3"/>
    <x v="4"/>
    <x v="0"/>
    <x v="2"/>
    <n v="4"/>
    <n v="17808"/>
    <n v="71232"/>
    <n v="3561.6"/>
    <n v="0.05"/>
    <n v="67670.399999999994"/>
    <n v="47555.25"/>
    <n v="20115.149999999994"/>
    <s v="Apr"/>
    <n v="2026"/>
    <n v="4"/>
  </r>
  <r>
    <s v="ORD-00997"/>
    <x v="554"/>
    <x v="1"/>
    <x v="1"/>
    <x v="0"/>
    <x v="3"/>
    <x v="0"/>
    <x v="0"/>
    <n v="2"/>
    <n v="68885"/>
    <n v="137770"/>
    <n v="0"/>
    <n v="0"/>
    <n v="137770"/>
    <n v="77502.87"/>
    <n v="60267.130000000005"/>
    <s v="Apr"/>
    <n v="2026"/>
    <n v="4"/>
  </r>
  <r>
    <s v="ORD-00299"/>
    <x v="554"/>
    <x v="9"/>
    <x v="0"/>
    <x v="1"/>
    <x v="1"/>
    <x v="1"/>
    <x v="0"/>
    <n v="2"/>
    <n v="42266"/>
    <n v="84532"/>
    <n v="0"/>
    <n v="0"/>
    <n v="84532"/>
    <n v="43638.52"/>
    <n v="40893.480000000003"/>
    <s v="Apr"/>
    <n v="2026"/>
    <n v="4"/>
  </r>
  <r>
    <s v="ORD-00636"/>
    <x v="554"/>
    <x v="9"/>
    <x v="0"/>
    <x v="1"/>
    <x v="4"/>
    <x v="0"/>
    <x v="2"/>
    <n v="3"/>
    <n v="44337"/>
    <n v="133011"/>
    <n v="26602.2"/>
    <n v="0.2"/>
    <n v="106408.8"/>
    <n v="77601.75"/>
    <n v="28807.050000000003"/>
    <s v="Apr"/>
    <n v="2026"/>
    <n v="4"/>
  </r>
  <r>
    <s v="ORD-00034"/>
    <x v="555"/>
    <x v="4"/>
    <x v="2"/>
    <x v="0"/>
    <x v="1"/>
    <x v="1"/>
    <x v="2"/>
    <n v="1"/>
    <n v="26458"/>
    <n v="26458"/>
    <n v="3968.7"/>
    <n v="0.15"/>
    <n v="22489.3"/>
    <n v="13298.37"/>
    <n v="9190.9299999999985"/>
    <s v="Apr"/>
    <n v="2026"/>
    <n v="4"/>
  </r>
  <r>
    <s v="ORD-00709"/>
    <x v="556"/>
    <x v="9"/>
    <x v="0"/>
    <x v="0"/>
    <x v="4"/>
    <x v="1"/>
    <x v="0"/>
    <n v="2"/>
    <n v="43692"/>
    <n v="87384"/>
    <n v="0"/>
    <n v="0"/>
    <n v="87384"/>
    <n v="59258.81"/>
    <n v="28125.190000000002"/>
    <s v="Apr"/>
    <n v="2026"/>
    <n v="4"/>
  </r>
  <r>
    <s v="ORD-00823"/>
    <x v="557"/>
    <x v="7"/>
    <x v="2"/>
    <x v="2"/>
    <x v="4"/>
    <x v="0"/>
    <x v="0"/>
    <n v="4"/>
    <n v="50371"/>
    <n v="201484"/>
    <n v="0"/>
    <n v="0"/>
    <n v="201484"/>
    <n v="97005.39"/>
    <n v="104478.61"/>
    <s v="Apr"/>
    <n v="2026"/>
    <n v="4"/>
  </r>
  <r>
    <s v="ORD-00748"/>
    <x v="558"/>
    <x v="5"/>
    <x v="2"/>
    <x v="2"/>
    <x v="0"/>
    <x v="1"/>
    <x v="2"/>
    <n v="2"/>
    <n v="17239"/>
    <n v="34478"/>
    <n v="3447.8"/>
    <n v="0.1"/>
    <n v="31030.2"/>
    <n v="16827.509999999998"/>
    <n v="14202.690000000002"/>
    <s v="Apr"/>
    <n v="2026"/>
    <n v="4"/>
  </r>
  <r>
    <s v="ORD-00731"/>
    <x v="559"/>
    <x v="8"/>
    <x v="2"/>
    <x v="1"/>
    <x v="2"/>
    <x v="1"/>
    <x v="0"/>
    <n v="2"/>
    <n v="36305"/>
    <n v="72610"/>
    <n v="0"/>
    <n v="0"/>
    <n v="72610"/>
    <n v="46067.27"/>
    <n v="26542.730000000003"/>
    <s v="Apr"/>
    <n v="2026"/>
    <n v="4"/>
  </r>
  <r>
    <s v="ORD-00620"/>
    <x v="560"/>
    <x v="4"/>
    <x v="2"/>
    <x v="1"/>
    <x v="1"/>
    <x v="1"/>
    <x v="0"/>
    <n v="4"/>
    <n v="24654"/>
    <n v="98616"/>
    <n v="0"/>
    <n v="0"/>
    <n v="98616"/>
    <n v="54733.84"/>
    <n v="43882.16"/>
    <s v="Apr"/>
    <n v="2026"/>
    <n v="4"/>
  </r>
  <r>
    <s v="ORD-00897"/>
    <x v="561"/>
    <x v="6"/>
    <x v="1"/>
    <x v="3"/>
    <x v="2"/>
    <x v="0"/>
    <x v="2"/>
    <n v="1"/>
    <n v="30228"/>
    <n v="30228"/>
    <n v="3022.8"/>
    <n v="0.1"/>
    <n v="27205.200000000001"/>
    <n v="15319.2"/>
    <n v="11886"/>
    <s v="Apr"/>
    <n v="2026"/>
    <n v="4"/>
  </r>
  <r>
    <s v="ORD-00386"/>
    <x v="561"/>
    <x v="4"/>
    <x v="2"/>
    <x v="1"/>
    <x v="0"/>
    <x v="0"/>
    <x v="2"/>
    <n v="3"/>
    <n v="23432"/>
    <n v="70296"/>
    <n v="14059.2"/>
    <n v="0.2"/>
    <n v="56236.800000000003"/>
    <n v="44290.15"/>
    <n v="11946.650000000001"/>
    <s v="Apr"/>
    <n v="2026"/>
    <n v="4"/>
  </r>
  <r>
    <s v="ORD-01175"/>
    <x v="562"/>
    <x v="0"/>
    <x v="0"/>
    <x v="2"/>
    <x v="4"/>
    <x v="1"/>
    <x v="0"/>
    <n v="1"/>
    <n v="14113"/>
    <n v="14113"/>
    <n v="0"/>
    <n v="0"/>
    <n v="14113"/>
    <n v="6967.17"/>
    <n v="7145.83"/>
    <s v="Apr"/>
    <n v="2026"/>
    <n v="4"/>
  </r>
  <r>
    <s v="ORD-00774"/>
    <x v="563"/>
    <x v="0"/>
    <x v="0"/>
    <x v="0"/>
    <x v="0"/>
    <x v="1"/>
    <x v="0"/>
    <n v="1"/>
    <n v="13827"/>
    <n v="13827"/>
    <n v="0"/>
    <n v="0"/>
    <n v="13827"/>
    <n v="7492.21"/>
    <n v="6334.79"/>
    <s v="Apr"/>
    <n v="2026"/>
    <n v="4"/>
  </r>
  <r>
    <s v="ORD-00428"/>
    <x v="563"/>
    <x v="2"/>
    <x v="2"/>
    <x v="3"/>
    <x v="0"/>
    <x v="1"/>
    <x v="0"/>
    <n v="1"/>
    <n v="41173"/>
    <n v="41173"/>
    <n v="4117.3"/>
    <n v="0.1"/>
    <n v="37055.699999999997"/>
    <n v="20419.46"/>
    <n v="16636.239999999998"/>
    <s v="Apr"/>
    <n v="2026"/>
    <n v="4"/>
  </r>
  <r>
    <s v="ORD-00373"/>
    <x v="564"/>
    <x v="9"/>
    <x v="0"/>
    <x v="2"/>
    <x v="0"/>
    <x v="1"/>
    <x v="0"/>
    <n v="3"/>
    <n v="46314"/>
    <n v="138942"/>
    <n v="0"/>
    <n v="0"/>
    <n v="138942"/>
    <n v="80602.460000000006"/>
    <n v="58339.539999999994"/>
    <s v="May"/>
    <n v="2026"/>
    <n v="5"/>
  </r>
  <r>
    <s v="ORD-00585"/>
    <x v="565"/>
    <x v="2"/>
    <x v="2"/>
    <x v="3"/>
    <x v="3"/>
    <x v="0"/>
    <x v="0"/>
    <n v="3"/>
    <n v="45176"/>
    <n v="135528"/>
    <n v="0"/>
    <n v="0"/>
    <n v="135528"/>
    <n v="66980.94"/>
    <n v="68547.06"/>
    <s v="May"/>
    <n v="2026"/>
    <n v="5"/>
  </r>
  <r>
    <s v="ORD-00539"/>
    <x v="565"/>
    <x v="2"/>
    <x v="2"/>
    <x v="2"/>
    <x v="2"/>
    <x v="1"/>
    <x v="0"/>
    <n v="3"/>
    <n v="41994"/>
    <n v="125982"/>
    <n v="0"/>
    <n v="0"/>
    <n v="125982"/>
    <n v="70285.759999999995"/>
    <n v="55696.240000000005"/>
    <s v="May"/>
    <n v="2026"/>
    <n v="5"/>
  </r>
  <r>
    <s v="ORD-00291"/>
    <x v="566"/>
    <x v="3"/>
    <x v="0"/>
    <x v="0"/>
    <x v="4"/>
    <x v="1"/>
    <x v="0"/>
    <n v="1"/>
    <n v="12841"/>
    <n v="12841"/>
    <n v="0"/>
    <n v="0"/>
    <n v="12841"/>
    <n v="6360.93"/>
    <n v="6480.07"/>
    <s v="May"/>
    <n v="2026"/>
    <n v="5"/>
  </r>
  <r>
    <s v="ORD-00977"/>
    <x v="566"/>
    <x v="7"/>
    <x v="2"/>
    <x v="3"/>
    <x v="4"/>
    <x v="1"/>
    <x v="0"/>
    <n v="1"/>
    <n v="53986"/>
    <n v="53986"/>
    <n v="0"/>
    <n v="0"/>
    <n v="53986"/>
    <n v="29010.05"/>
    <n v="24975.95"/>
    <s v="May"/>
    <n v="2026"/>
    <n v="5"/>
  </r>
  <r>
    <s v="ORD-00266"/>
    <x v="566"/>
    <x v="2"/>
    <x v="2"/>
    <x v="2"/>
    <x v="4"/>
    <x v="0"/>
    <x v="0"/>
    <n v="2"/>
    <n v="45282"/>
    <n v="90564"/>
    <n v="0"/>
    <n v="0"/>
    <n v="90564"/>
    <n v="48046.85"/>
    <n v="42517.15"/>
    <s v="May"/>
    <n v="2026"/>
    <n v="5"/>
  </r>
  <r>
    <s v="ORD-00149"/>
    <x v="567"/>
    <x v="0"/>
    <x v="0"/>
    <x v="0"/>
    <x v="0"/>
    <x v="0"/>
    <x v="0"/>
    <n v="1"/>
    <n v="14015"/>
    <n v="14015"/>
    <n v="0"/>
    <n v="0"/>
    <n v="14015"/>
    <n v="6850.99"/>
    <n v="7164.01"/>
    <s v="May"/>
    <n v="2026"/>
    <n v="5"/>
  </r>
  <r>
    <s v="ORD-00020"/>
    <x v="568"/>
    <x v="3"/>
    <x v="0"/>
    <x v="1"/>
    <x v="3"/>
    <x v="0"/>
    <x v="0"/>
    <n v="2"/>
    <n v="11960"/>
    <n v="23920"/>
    <n v="0"/>
    <n v="0"/>
    <n v="23920"/>
    <n v="13055.62"/>
    <n v="10864.38"/>
    <s v="May"/>
    <n v="2026"/>
    <n v="5"/>
  </r>
  <r>
    <s v="ORD-00595"/>
    <x v="569"/>
    <x v="9"/>
    <x v="0"/>
    <x v="3"/>
    <x v="4"/>
    <x v="1"/>
    <x v="0"/>
    <n v="1"/>
    <n v="46960"/>
    <n v="46960"/>
    <n v="0"/>
    <n v="0"/>
    <n v="46960"/>
    <n v="30313.439999999999"/>
    <n v="16646.560000000001"/>
    <s v="May"/>
    <n v="2026"/>
    <n v="5"/>
  </r>
  <r>
    <s v="ORD-00001"/>
    <x v="570"/>
    <x v="1"/>
    <x v="1"/>
    <x v="2"/>
    <x v="4"/>
    <x v="0"/>
    <x v="0"/>
    <n v="2"/>
    <n v="65741"/>
    <n v="131482"/>
    <n v="0"/>
    <n v="0"/>
    <n v="131482"/>
    <n v="77410.789999999994"/>
    <n v="54071.210000000006"/>
    <s v="May"/>
    <n v="2026"/>
    <n v="5"/>
  </r>
  <r>
    <s v="ORD-00339"/>
    <x v="570"/>
    <x v="8"/>
    <x v="2"/>
    <x v="0"/>
    <x v="3"/>
    <x v="1"/>
    <x v="0"/>
    <n v="2"/>
    <n v="36180"/>
    <n v="72360"/>
    <n v="0"/>
    <n v="0"/>
    <n v="72360"/>
    <n v="46186.080000000002"/>
    <n v="26173.919999999998"/>
    <s v="May"/>
    <n v="2026"/>
    <n v="5"/>
  </r>
  <r>
    <s v="ORD-00174"/>
    <x v="571"/>
    <x v="3"/>
    <x v="0"/>
    <x v="0"/>
    <x v="2"/>
    <x v="0"/>
    <x v="0"/>
    <n v="2"/>
    <n v="11125"/>
    <n v="22250"/>
    <n v="0"/>
    <n v="0"/>
    <n v="22250"/>
    <n v="12023.53"/>
    <n v="10226.469999999999"/>
    <s v="May"/>
    <n v="2026"/>
    <n v="5"/>
  </r>
  <r>
    <s v="ORD-00114"/>
    <x v="571"/>
    <x v="1"/>
    <x v="1"/>
    <x v="0"/>
    <x v="3"/>
    <x v="0"/>
    <x v="0"/>
    <n v="1"/>
    <n v="60237"/>
    <n v="60237"/>
    <n v="0"/>
    <n v="0"/>
    <n v="60237"/>
    <n v="39974.199999999997"/>
    <n v="20262.800000000003"/>
    <s v="May"/>
    <n v="2026"/>
    <n v="5"/>
  </r>
  <r>
    <s v="ORD-00814"/>
    <x v="572"/>
    <x v="1"/>
    <x v="1"/>
    <x v="2"/>
    <x v="3"/>
    <x v="0"/>
    <x v="0"/>
    <n v="1"/>
    <n v="60040"/>
    <n v="60040"/>
    <n v="0"/>
    <n v="0"/>
    <n v="60040"/>
    <n v="34626.379999999997"/>
    <n v="25413.620000000003"/>
    <s v="May"/>
    <n v="2026"/>
    <n v="5"/>
  </r>
  <r>
    <s v="ORD-01058"/>
    <x v="573"/>
    <x v="2"/>
    <x v="2"/>
    <x v="0"/>
    <x v="1"/>
    <x v="0"/>
    <x v="0"/>
    <n v="1"/>
    <n v="39123"/>
    <n v="39123"/>
    <n v="3912.3"/>
    <n v="0.1"/>
    <n v="35210.699999999997"/>
    <n v="21541.31"/>
    <n v="13669.389999999996"/>
    <s v="May"/>
    <n v="2026"/>
    <n v="5"/>
  </r>
  <r>
    <s v="ORD-00412"/>
    <x v="574"/>
    <x v="4"/>
    <x v="2"/>
    <x v="1"/>
    <x v="4"/>
    <x v="1"/>
    <x v="0"/>
    <n v="2"/>
    <n v="25952"/>
    <n v="51904"/>
    <n v="0"/>
    <n v="0"/>
    <n v="51904"/>
    <n v="34658.53"/>
    <n v="17245.47"/>
    <s v="May"/>
    <n v="2026"/>
    <n v="5"/>
  </r>
  <r>
    <s v="ORD-00314"/>
    <x v="574"/>
    <x v="1"/>
    <x v="1"/>
    <x v="0"/>
    <x v="4"/>
    <x v="0"/>
    <x v="0"/>
    <n v="1"/>
    <n v="69983"/>
    <n v="69983"/>
    <n v="0"/>
    <n v="0"/>
    <n v="69983"/>
    <n v="45445.38"/>
    <n v="24537.620000000003"/>
    <s v="May"/>
    <n v="2026"/>
    <n v="5"/>
  </r>
  <r>
    <s v="ORD-00512"/>
    <x v="575"/>
    <x v="9"/>
    <x v="0"/>
    <x v="3"/>
    <x v="1"/>
    <x v="0"/>
    <x v="0"/>
    <n v="1"/>
    <n v="48404"/>
    <n v="48404"/>
    <n v="0"/>
    <n v="0"/>
    <n v="48404"/>
    <n v="27228.98"/>
    <n v="21175.02"/>
    <s v="May"/>
    <n v="2026"/>
    <n v="5"/>
  </r>
  <r>
    <s v="ORD-00108"/>
    <x v="576"/>
    <x v="4"/>
    <x v="2"/>
    <x v="1"/>
    <x v="0"/>
    <x v="0"/>
    <x v="0"/>
    <n v="4"/>
    <n v="24256"/>
    <n v="97024"/>
    <n v="0"/>
    <n v="0"/>
    <n v="97024"/>
    <n v="62469"/>
    <n v="34555"/>
    <s v="May"/>
    <n v="2026"/>
    <n v="5"/>
  </r>
  <r>
    <s v="ORD-00831"/>
    <x v="577"/>
    <x v="4"/>
    <x v="2"/>
    <x v="0"/>
    <x v="4"/>
    <x v="1"/>
    <x v="0"/>
    <n v="2"/>
    <n v="25436"/>
    <n v="50872"/>
    <n v="0"/>
    <n v="0"/>
    <n v="50872"/>
    <n v="27110.68"/>
    <n v="23761.32"/>
    <s v="May"/>
    <n v="2026"/>
    <n v="5"/>
  </r>
  <r>
    <s v="ORD-00008"/>
    <x v="577"/>
    <x v="5"/>
    <x v="2"/>
    <x v="3"/>
    <x v="3"/>
    <x v="0"/>
    <x v="0"/>
    <n v="3"/>
    <n v="17348"/>
    <n v="52044"/>
    <n v="0"/>
    <n v="0"/>
    <n v="52044"/>
    <n v="29417.16"/>
    <n v="22626.84"/>
    <s v="May"/>
    <n v="2026"/>
    <n v="5"/>
  </r>
  <r>
    <s v="ORD-00179"/>
    <x v="577"/>
    <x v="4"/>
    <x v="2"/>
    <x v="2"/>
    <x v="3"/>
    <x v="0"/>
    <x v="0"/>
    <n v="3"/>
    <n v="23928"/>
    <n v="71784"/>
    <n v="0"/>
    <n v="0"/>
    <n v="71784"/>
    <n v="45673.99"/>
    <n v="26110.010000000002"/>
    <s v="May"/>
    <n v="2026"/>
    <n v="5"/>
  </r>
  <r>
    <s v="ORD-00413"/>
    <x v="578"/>
    <x v="9"/>
    <x v="0"/>
    <x v="0"/>
    <x v="0"/>
    <x v="0"/>
    <x v="0"/>
    <n v="2"/>
    <n v="46068"/>
    <n v="92136"/>
    <n v="0"/>
    <n v="0"/>
    <n v="92136"/>
    <n v="60761.8"/>
    <n v="31374.199999999997"/>
    <s v="May"/>
    <n v="2026"/>
    <n v="5"/>
  </r>
  <r>
    <s v="ORD-00769"/>
    <x v="578"/>
    <x v="5"/>
    <x v="2"/>
    <x v="3"/>
    <x v="2"/>
    <x v="0"/>
    <x v="0"/>
    <n v="2"/>
    <n v="17406"/>
    <n v="34812"/>
    <n v="0"/>
    <n v="0"/>
    <n v="34812"/>
    <n v="20192.57"/>
    <n v="14619.43"/>
    <s v="May"/>
    <n v="2026"/>
    <n v="5"/>
  </r>
  <r>
    <s v="ORD-00883"/>
    <x v="579"/>
    <x v="8"/>
    <x v="2"/>
    <x v="1"/>
    <x v="2"/>
    <x v="1"/>
    <x v="0"/>
    <n v="1"/>
    <n v="39779"/>
    <n v="39779"/>
    <n v="0"/>
    <n v="0"/>
    <n v="39779"/>
    <n v="21345.55"/>
    <n v="18433.45"/>
    <s v="May"/>
    <n v="2026"/>
    <n v="5"/>
  </r>
  <r>
    <s v="ORD-00463"/>
    <x v="579"/>
    <x v="2"/>
    <x v="2"/>
    <x v="1"/>
    <x v="0"/>
    <x v="0"/>
    <x v="0"/>
    <n v="2"/>
    <n v="40678"/>
    <n v="81356"/>
    <n v="0"/>
    <n v="0"/>
    <n v="81356"/>
    <n v="44886.73"/>
    <n v="36469.269999999997"/>
    <s v="May"/>
    <n v="2026"/>
    <n v="5"/>
  </r>
  <r>
    <s v="ORD-00704"/>
    <x v="580"/>
    <x v="6"/>
    <x v="1"/>
    <x v="1"/>
    <x v="0"/>
    <x v="1"/>
    <x v="0"/>
    <n v="4"/>
    <n v="28542"/>
    <n v="114168"/>
    <n v="0"/>
    <n v="0"/>
    <n v="114168"/>
    <n v="56803.55"/>
    <n v="57364.45"/>
    <s v="May"/>
    <n v="2026"/>
    <n v="5"/>
  </r>
  <r>
    <s v="ORD-00310"/>
    <x v="580"/>
    <x v="3"/>
    <x v="0"/>
    <x v="0"/>
    <x v="4"/>
    <x v="1"/>
    <x v="0"/>
    <n v="2"/>
    <n v="11197"/>
    <n v="22394"/>
    <n v="0"/>
    <n v="0"/>
    <n v="22394"/>
    <n v="15182.04"/>
    <n v="7211.9599999999991"/>
    <s v="May"/>
    <n v="2026"/>
    <n v="5"/>
  </r>
  <r>
    <s v="ORD-00531"/>
    <x v="580"/>
    <x v="0"/>
    <x v="0"/>
    <x v="1"/>
    <x v="4"/>
    <x v="1"/>
    <x v="0"/>
    <n v="2"/>
    <n v="14096"/>
    <n v="28192"/>
    <n v="0"/>
    <n v="0"/>
    <n v="28192"/>
    <n v="16820.900000000001"/>
    <n v="11371.099999999999"/>
    <s v="May"/>
    <n v="2026"/>
    <n v="5"/>
  </r>
  <r>
    <s v="ORD-00209"/>
    <x v="581"/>
    <x v="1"/>
    <x v="1"/>
    <x v="1"/>
    <x v="2"/>
    <x v="0"/>
    <x v="0"/>
    <n v="3"/>
    <n v="59960"/>
    <n v="179880"/>
    <n v="0"/>
    <n v="0"/>
    <n v="179880"/>
    <n v="95447.98"/>
    <n v="84432.02"/>
    <s v="May"/>
    <n v="2026"/>
    <n v="5"/>
  </r>
  <r>
    <s v="ORD-00234"/>
    <x v="582"/>
    <x v="5"/>
    <x v="2"/>
    <x v="3"/>
    <x v="2"/>
    <x v="1"/>
    <x v="0"/>
    <n v="1"/>
    <n v="18241"/>
    <n v="18241"/>
    <n v="912.05"/>
    <n v="0.05"/>
    <n v="17328.95"/>
    <n v="11498.2"/>
    <n v="5830.75"/>
    <s v="May"/>
    <n v="2026"/>
    <n v="5"/>
  </r>
  <r>
    <s v="ORD-00066"/>
    <x v="582"/>
    <x v="1"/>
    <x v="1"/>
    <x v="1"/>
    <x v="4"/>
    <x v="1"/>
    <x v="0"/>
    <n v="5"/>
    <n v="69779"/>
    <n v="348895"/>
    <n v="0"/>
    <n v="0"/>
    <n v="348895"/>
    <n v="175126.88"/>
    <n v="173768.12"/>
    <s v="May"/>
    <n v="2026"/>
    <n v="5"/>
  </r>
  <r>
    <s v="ORD-00726"/>
    <x v="583"/>
    <x v="9"/>
    <x v="0"/>
    <x v="0"/>
    <x v="4"/>
    <x v="0"/>
    <x v="0"/>
    <n v="4"/>
    <n v="41588"/>
    <n v="166352"/>
    <n v="0"/>
    <n v="0"/>
    <n v="166352"/>
    <n v="99948.63"/>
    <n v="66403.37"/>
    <s v="May"/>
    <n v="2026"/>
    <n v="5"/>
  </r>
  <r>
    <s v="ORD-00188"/>
    <x v="583"/>
    <x v="2"/>
    <x v="2"/>
    <x v="0"/>
    <x v="3"/>
    <x v="0"/>
    <x v="0"/>
    <n v="3"/>
    <n v="43301"/>
    <n v="129903"/>
    <n v="0"/>
    <n v="0"/>
    <n v="129903"/>
    <n v="79361.66"/>
    <n v="50541.34"/>
    <s v="May"/>
    <n v="2026"/>
    <n v="5"/>
  </r>
  <r>
    <s v="ORD-00564"/>
    <x v="583"/>
    <x v="3"/>
    <x v="0"/>
    <x v="0"/>
    <x v="0"/>
    <x v="1"/>
    <x v="0"/>
    <n v="4"/>
    <n v="11685"/>
    <n v="46740"/>
    <n v="0"/>
    <n v="0"/>
    <n v="46740"/>
    <n v="23397.16"/>
    <n v="23342.84"/>
    <s v="May"/>
    <n v="2026"/>
    <n v="5"/>
  </r>
  <r>
    <s v="ORD-00524"/>
    <x v="584"/>
    <x v="5"/>
    <x v="2"/>
    <x v="0"/>
    <x v="4"/>
    <x v="0"/>
    <x v="0"/>
    <n v="1"/>
    <n v="18269"/>
    <n v="18269"/>
    <n v="0"/>
    <n v="0"/>
    <n v="18269"/>
    <n v="10331.27"/>
    <n v="7937.73"/>
    <s v="Jun"/>
    <n v="2026"/>
    <n v="6"/>
  </r>
  <r>
    <s v="ORD-01086"/>
    <x v="584"/>
    <x v="9"/>
    <x v="0"/>
    <x v="0"/>
    <x v="2"/>
    <x v="0"/>
    <x v="3"/>
    <n v="3"/>
    <n v="43157"/>
    <n v="129471"/>
    <n v="12947.1"/>
    <n v="0.1"/>
    <n v="116523.9"/>
    <n v="73013.16"/>
    <n v="43510.739999999991"/>
    <s v="Jun"/>
    <n v="2026"/>
    <n v="6"/>
  </r>
  <r>
    <s v="ORD-00671"/>
    <x v="584"/>
    <x v="2"/>
    <x v="2"/>
    <x v="2"/>
    <x v="0"/>
    <x v="1"/>
    <x v="0"/>
    <n v="1"/>
    <n v="41722"/>
    <n v="41722"/>
    <n v="0"/>
    <n v="0"/>
    <n v="41722"/>
    <n v="24175.74"/>
    <n v="17546.259999999998"/>
    <s v="Jun"/>
    <n v="2026"/>
    <n v="6"/>
  </r>
  <r>
    <s v="ORD-00161"/>
    <x v="585"/>
    <x v="5"/>
    <x v="2"/>
    <x v="0"/>
    <x v="1"/>
    <x v="1"/>
    <x v="0"/>
    <n v="2"/>
    <n v="16861"/>
    <n v="33722"/>
    <n v="0"/>
    <n v="0"/>
    <n v="33722"/>
    <n v="18783.96"/>
    <n v="14938.04"/>
    <s v="Jun"/>
    <n v="2026"/>
    <n v="6"/>
  </r>
  <r>
    <s v="ORD-00312"/>
    <x v="585"/>
    <x v="1"/>
    <x v="1"/>
    <x v="0"/>
    <x v="3"/>
    <x v="1"/>
    <x v="0"/>
    <n v="2"/>
    <n v="66506"/>
    <n v="133012"/>
    <n v="0"/>
    <n v="0"/>
    <n v="133012"/>
    <n v="75274.759999999995"/>
    <n v="57737.240000000005"/>
    <s v="Jun"/>
    <n v="2026"/>
    <n v="6"/>
  </r>
  <r>
    <s v="ORD-01160"/>
    <x v="586"/>
    <x v="9"/>
    <x v="0"/>
    <x v="3"/>
    <x v="3"/>
    <x v="1"/>
    <x v="3"/>
    <n v="2"/>
    <n v="42899"/>
    <n v="85798"/>
    <n v="8579.7999999999993"/>
    <n v="0.1"/>
    <n v="77218.2"/>
    <n v="44436.42"/>
    <n v="32781.78"/>
    <s v="Jun"/>
    <n v="2026"/>
    <n v="6"/>
  </r>
  <r>
    <s v="ORD-00430"/>
    <x v="586"/>
    <x v="7"/>
    <x v="2"/>
    <x v="0"/>
    <x v="4"/>
    <x v="1"/>
    <x v="0"/>
    <n v="2"/>
    <n v="49218"/>
    <n v="98436"/>
    <n v="0"/>
    <n v="0"/>
    <n v="98436"/>
    <n v="59563.19"/>
    <n v="38872.81"/>
    <s v="Jun"/>
    <n v="2026"/>
    <n v="6"/>
  </r>
  <r>
    <s v="ORD-00491"/>
    <x v="587"/>
    <x v="1"/>
    <x v="1"/>
    <x v="1"/>
    <x v="4"/>
    <x v="0"/>
    <x v="3"/>
    <n v="1"/>
    <n v="69406"/>
    <n v="69406"/>
    <n v="3470.3"/>
    <n v="0.05"/>
    <n v="65935.7"/>
    <n v="38229.72"/>
    <n v="27705.979999999996"/>
    <s v="Jun"/>
    <n v="2026"/>
    <n v="6"/>
  </r>
  <r>
    <s v="ORD-00850"/>
    <x v="588"/>
    <x v="9"/>
    <x v="0"/>
    <x v="2"/>
    <x v="4"/>
    <x v="0"/>
    <x v="0"/>
    <n v="1"/>
    <n v="45376"/>
    <n v="45376"/>
    <n v="0"/>
    <n v="0"/>
    <n v="45376"/>
    <n v="24710.87"/>
    <n v="20665.13"/>
    <s v="Jun"/>
    <n v="2026"/>
    <n v="6"/>
  </r>
  <r>
    <s v="ORD-00435"/>
    <x v="589"/>
    <x v="2"/>
    <x v="2"/>
    <x v="1"/>
    <x v="0"/>
    <x v="0"/>
    <x v="3"/>
    <n v="2"/>
    <n v="40686"/>
    <n v="81372"/>
    <n v="8137.2"/>
    <n v="0.1"/>
    <n v="73234.8"/>
    <n v="49519.38"/>
    <n v="23715.420000000006"/>
    <s v="Jun"/>
    <n v="2026"/>
    <n v="6"/>
  </r>
  <r>
    <s v="ORD-00113"/>
    <x v="590"/>
    <x v="2"/>
    <x v="2"/>
    <x v="1"/>
    <x v="1"/>
    <x v="0"/>
    <x v="0"/>
    <n v="1"/>
    <n v="41259"/>
    <n v="41259"/>
    <n v="0"/>
    <n v="0"/>
    <n v="41259"/>
    <n v="21675.25"/>
    <n v="19583.75"/>
    <s v="Jun"/>
    <n v="2026"/>
    <n v="6"/>
  </r>
  <r>
    <s v="ORD-01181"/>
    <x v="591"/>
    <x v="1"/>
    <x v="1"/>
    <x v="0"/>
    <x v="0"/>
    <x v="0"/>
    <x v="3"/>
    <n v="2"/>
    <n v="68363"/>
    <n v="136726"/>
    <n v="13672.6"/>
    <n v="0.1"/>
    <n v="123053.4"/>
    <n v="76868.52"/>
    <n v="46184.87999999999"/>
    <s v="Jun"/>
    <n v="2026"/>
    <n v="6"/>
  </r>
  <r>
    <s v="ORD-01114"/>
    <x v="592"/>
    <x v="9"/>
    <x v="0"/>
    <x v="0"/>
    <x v="4"/>
    <x v="1"/>
    <x v="3"/>
    <n v="1"/>
    <n v="46876"/>
    <n v="46876"/>
    <n v="2343.8000000000002"/>
    <n v="0.05"/>
    <n v="44532.2"/>
    <n v="25715.16"/>
    <n v="18817.039999999997"/>
    <s v="Jun"/>
    <n v="2026"/>
    <n v="6"/>
  </r>
  <r>
    <s v="ORD-00475"/>
    <x v="593"/>
    <x v="4"/>
    <x v="2"/>
    <x v="1"/>
    <x v="0"/>
    <x v="0"/>
    <x v="0"/>
    <n v="1"/>
    <n v="26929"/>
    <n v="26929"/>
    <n v="0"/>
    <n v="0"/>
    <n v="26929"/>
    <n v="15290.99"/>
    <n v="11638.01"/>
    <s v="Jun"/>
    <n v="2026"/>
    <n v="6"/>
  </r>
  <r>
    <s v="ORD-00371"/>
    <x v="594"/>
    <x v="2"/>
    <x v="2"/>
    <x v="0"/>
    <x v="1"/>
    <x v="0"/>
    <x v="0"/>
    <n v="3"/>
    <n v="43782"/>
    <n v="131346"/>
    <n v="0"/>
    <n v="0"/>
    <n v="131346"/>
    <n v="80323.759999999995"/>
    <n v="51022.240000000005"/>
    <s v="Jun"/>
    <n v="2026"/>
    <n v="6"/>
  </r>
  <r>
    <s v="ORD-00335"/>
    <x v="595"/>
    <x v="0"/>
    <x v="0"/>
    <x v="2"/>
    <x v="4"/>
    <x v="0"/>
    <x v="0"/>
    <n v="2"/>
    <n v="14892"/>
    <n v="29784"/>
    <n v="0"/>
    <n v="0"/>
    <n v="29784"/>
    <n v="18647.72"/>
    <n v="11136.279999999999"/>
    <s v="Jun"/>
    <n v="2026"/>
    <n v="6"/>
  </r>
  <r>
    <s v="ORD-00190"/>
    <x v="595"/>
    <x v="3"/>
    <x v="0"/>
    <x v="1"/>
    <x v="4"/>
    <x v="0"/>
    <x v="3"/>
    <n v="1"/>
    <n v="11879"/>
    <n v="11879"/>
    <n v="593.95000000000005"/>
    <n v="0.05"/>
    <n v="11285.05"/>
    <n v="5825.23"/>
    <n v="5459.82"/>
    <s v="Jun"/>
    <n v="2026"/>
    <n v="6"/>
  </r>
  <r>
    <s v="ORD-00043"/>
    <x v="596"/>
    <x v="2"/>
    <x v="2"/>
    <x v="0"/>
    <x v="4"/>
    <x v="0"/>
    <x v="3"/>
    <n v="5"/>
    <n v="42151"/>
    <n v="210755"/>
    <n v="31613.25"/>
    <n v="0.15"/>
    <n v="179141.75"/>
    <n v="137387.64000000001"/>
    <n v="41754.109999999986"/>
    <s v="Jun"/>
    <n v="2026"/>
    <n v="6"/>
  </r>
  <r>
    <s v="ORD-00755"/>
    <x v="596"/>
    <x v="4"/>
    <x v="2"/>
    <x v="1"/>
    <x v="4"/>
    <x v="0"/>
    <x v="0"/>
    <n v="2"/>
    <n v="24439"/>
    <n v="48878"/>
    <n v="0"/>
    <n v="0"/>
    <n v="48878"/>
    <n v="23858.29"/>
    <n v="25019.71"/>
    <s v="Jun"/>
    <n v="2026"/>
    <n v="6"/>
  </r>
  <r>
    <s v="ORD-00713"/>
    <x v="597"/>
    <x v="5"/>
    <x v="2"/>
    <x v="3"/>
    <x v="3"/>
    <x v="1"/>
    <x v="0"/>
    <n v="1"/>
    <n v="18986"/>
    <n v="18986"/>
    <n v="0"/>
    <n v="0"/>
    <n v="18986"/>
    <n v="12403.28"/>
    <n v="6582.7199999999993"/>
    <s v="Jun"/>
    <n v="2026"/>
    <n v="6"/>
  </r>
  <r>
    <s v="ORD-00607"/>
    <x v="598"/>
    <x v="4"/>
    <x v="2"/>
    <x v="0"/>
    <x v="4"/>
    <x v="0"/>
    <x v="3"/>
    <n v="3"/>
    <n v="24292"/>
    <n v="72876"/>
    <n v="7287.6"/>
    <n v="0.1"/>
    <n v="65588.399999999994"/>
    <n v="40275.980000000003"/>
    <n v="25312.419999999991"/>
    <s v="Jun"/>
    <n v="2026"/>
    <n v="6"/>
  </r>
  <r>
    <s v="ORD-00624"/>
    <x v="598"/>
    <x v="6"/>
    <x v="1"/>
    <x v="1"/>
    <x v="1"/>
    <x v="1"/>
    <x v="3"/>
    <n v="1"/>
    <n v="30382"/>
    <n v="30382"/>
    <n v="6076.4"/>
    <n v="0.2"/>
    <n v="24305.599999999999"/>
    <n v="20122.47"/>
    <n v="4183.1299999999974"/>
    <s v="Jun"/>
    <n v="2026"/>
    <n v="6"/>
  </r>
  <r>
    <s v="ORD-00622"/>
    <x v="598"/>
    <x v="9"/>
    <x v="0"/>
    <x v="1"/>
    <x v="4"/>
    <x v="1"/>
    <x v="0"/>
    <n v="3"/>
    <n v="42605"/>
    <n v="127815"/>
    <n v="0"/>
    <n v="0"/>
    <n v="127815"/>
    <n v="70389.64"/>
    <n v="57425.36"/>
    <s v="Jun"/>
    <n v="2026"/>
    <n v="6"/>
  </r>
  <r>
    <s v="ORD-00750"/>
    <x v="599"/>
    <x v="7"/>
    <x v="2"/>
    <x v="3"/>
    <x v="4"/>
    <x v="1"/>
    <x v="0"/>
    <n v="1"/>
    <n v="48805"/>
    <n v="48805"/>
    <n v="0"/>
    <n v="0"/>
    <n v="48805"/>
    <n v="29111.22"/>
    <n v="19693.78"/>
    <s v="Jun"/>
    <n v="2026"/>
    <n v="6"/>
  </r>
  <r>
    <s v="ORD-00279"/>
    <x v="600"/>
    <x v="6"/>
    <x v="1"/>
    <x v="0"/>
    <x v="0"/>
    <x v="0"/>
    <x v="0"/>
    <n v="4"/>
    <n v="31233"/>
    <n v="124932"/>
    <n v="0"/>
    <n v="0"/>
    <n v="124932"/>
    <n v="60139.22"/>
    <n v="64792.78"/>
    <s v="Jun"/>
    <n v="2026"/>
    <n v="6"/>
  </r>
  <r>
    <s v="ORD-00974"/>
    <x v="601"/>
    <x v="0"/>
    <x v="0"/>
    <x v="1"/>
    <x v="4"/>
    <x v="1"/>
    <x v="0"/>
    <n v="1"/>
    <n v="15979"/>
    <n v="15979"/>
    <n v="2396.85"/>
    <n v="0.15"/>
    <n v="13582.15"/>
    <n v="10790.34"/>
    <n v="2791.8099999999995"/>
    <s v="Jun"/>
    <n v="2026"/>
    <n v="6"/>
  </r>
  <r>
    <s v="ORD-01015"/>
    <x v="602"/>
    <x v="5"/>
    <x v="2"/>
    <x v="1"/>
    <x v="3"/>
    <x v="1"/>
    <x v="0"/>
    <n v="1"/>
    <n v="16671"/>
    <n v="16671"/>
    <n v="0"/>
    <n v="0"/>
    <n v="16671"/>
    <n v="8751.07"/>
    <n v="7919.93"/>
    <s v="Jun"/>
    <n v="2026"/>
    <n v="6"/>
  </r>
  <r>
    <s v="ORD-00522"/>
    <x v="603"/>
    <x v="0"/>
    <x v="0"/>
    <x v="0"/>
    <x v="0"/>
    <x v="1"/>
    <x v="0"/>
    <n v="3"/>
    <n v="14512"/>
    <n v="43536"/>
    <n v="0"/>
    <n v="0"/>
    <n v="43536"/>
    <n v="29283.13"/>
    <n v="14252.869999999999"/>
    <s v="Jun"/>
    <n v="2026"/>
    <n v="6"/>
  </r>
  <r>
    <s v="ORD-00951"/>
    <x v="604"/>
    <x v="0"/>
    <x v="0"/>
    <x v="0"/>
    <x v="4"/>
    <x v="0"/>
    <x v="0"/>
    <n v="2"/>
    <n v="14344"/>
    <n v="28688"/>
    <n v="0"/>
    <n v="0"/>
    <n v="28688"/>
    <n v="14696.39"/>
    <n v="13991.61"/>
    <s v="Jun"/>
    <n v="2026"/>
    <n v="6"/>
  </r>
  <r>
    <s v="ORD-00761"/>
    <x v="605"/>
    <x v="0"/>
    <x v="0"/>
    <x v="0"/>
    <x v="4"/>
    <x v="1"/>
    <x v="0"/>
    <n v="2"/>
    <n v="14099"/>
    <n v="28198"/>
    <n v="0"/>
    <n v="0"/>
    <n v="28198"/>
    <n v="17845.14"/>
    <n v="10352.86"/>
    <s v="Jun"/>
    <n v="2026"/>
    <n v="6"/>
  </r>
  <r>
    <s v="ORD-00351"/>
    <x v="606"/>
    <x v="3"/>
    <x v="0"/>
    <x v="1"/>
    <x v="4"/>
    <x v="0"/>
    <x v="3"/>
    <n v="2"/>
    <n v="11082"/>
    <n v="22164"/>
    <n v="2216.4"/>
    <n v="0.1"/>
    <n v="19947.599999999999"/>
    <n v="10822.36"/>
    <n v="9125.239999999998"/>
    <s v="Jun"/>
    <n v="2026"/>
    <n v="6"/>
  </r>
  <r>
    <s v="ORD-00451"/>
    <x v="607"/>
    <x v="4"/>
    <x v="2"/>
    <x v="2"/>
    <x v="2"/>
    <x v="1"/>
    <x v="0"/>
    <n v="4"/>
    <n v="23096"/>
    <n v="92384"/>
    <n v="0"/>
    <n v="0"/>
    <n v="92384"/>
    <n v="57062.61"/>
    <n v="35321.39"/>
    <s v="Jul"/>
    <n v="2026"/>
    <n v="7"/>
  </r>
  <r>
    <s v="ORD-01197"/>
    <x v="608"/>
    <x v="5"/>
    <x v="2"/>
    <x v="0"/>
    <x v="3"/>
    <x v="1"/>
    <x v="0"/>
    <n v="1"/>
    <n v="18534"/>
    <n v="18534"/>
    <n v="926.7"/>
    <n v="0.05"/>
    <n v="17607.3"/>
    <n v="9351.48"/>
    <n v="8255.82"/>
    <s v="Jul"/>
    <n v="2026"/>
    <n v="7"/>
  </r>
  <r>
    <s v="ORD-00208"/>
    <x v="608"/>
    <x v="3"/>
    <x v="0"/>
    <x v="0"/>
    <x v="4"/>
    <x v="1"/>
    <x v="3"/>
    <n v="1"/>
    <n v="12215"/>
    <n v="12215"/>
    <n v="1221.5"/>
    <n v="0.1"/>
    <n v="10993.5"/>
    <n v="8157.32"/>
    <n v="2836.1800000000003"/>
    <s v="Jul"/>
    <n v="2026"/>
    <n v="7"/>
  </r>
  <r>
    <s v="ORD-00960"/>
    <x v="609"/>
    <x v="8"/>
    <x v="2"/>
    <x v="3"/>
    <x v="3"/>
    <x v="0"/>
    <x v="0"/>
    <n v="1"/>
    <n v="37851"/>
    <n v="37851"/>
    <n v="0"/>
    <n v="0"/>
    <n v="37851"/>
    <n v="24681.65"/>
    <n v="13169.349999999999"/>
    <s v="Jul"/>
    <n v="2026"/>
    <n v="7"/>
  </r>
  <r>
    <s v="ORD-00768"/>
    <x v="610"/>
    <x v="0"/>
    <x v="0"/>
    <x v="1"/>
    <x v="4"/>
    <x v="1"/>
    <x v="0"/>
    <n v="3"/>
    <n v="15695"/>
    <n v="47085"/>
    <n v="0"/>
    <n v="0"/>
    <n v="47085"/>
    <n v="23665.86"/>
    <n v="23419.14"/>
    <s v="Jul"/>
    <n v="2026"/>
    <n v="7"/>
  </r>
  <r>
    <s v="ORD-00674"/>
    <x v="611"/>
    <x v="3"/>
    <x v="0"/>
    <x v="0"/>
    <x v="2"/>
    <x v="0"/>
    <x v="3"/>
    <n v="2"/>
    <n v="11222"/>
    <n v="22444"/>
    <n v="1122.2"/>
    <n v="0.05"/>
    <n v="21321.8"/>
    <n v="14029.65"/>
    <n v="7292.15"/>
    <s v="Jul"/>
    <n v="2026"/>
    <n v="7"/>
  </r>
  <r>
    <s v="ORD-00584"/>
    <x v="611"/>
    <x v="9"/>
    <x v="0"/>
    <x v="2"/>
    <x v="0"/>
    <x v="1"/>
    <x v="3"/>
    <n v="1"/>
    <n v="42837"/>
    <n v="42837"/>
    <n v="6425.55"/>
    <n v="0.15"/>
    <n v="36411.449999999997"/>
    <n v="24860.02"/>
    <n v="11551.429999999997"/>
    <s v="Jul"/>
    <n v="2026"/>
    <n v="7"/>
  </r>
  <r>
    <s v="ORD-00719"/>
    <x v="612"/>
    <x v="2"/>
    <x v="2"/>
    <x v="2"/>
    <x v="2"/>
    <x v="1"/>
    <x v="3"/>
    <n v="4"/>
    <n v="40126"/>
    <n v="160504"/>
    <n v="16050.4"/>
    <n v="0.1"/>
    <n v="144453.6"/>
    <n v="102823.13"/>
    <n v="41630.47"/>
    <s v="Jul"/>
    <n v="2026"/>
    <n v="7"/>
  </r>
  <r>
    <s v="ORD-00402"/>
    <x v="612"/>
    <x v="3"/>
    <x v="0"/>
    <x v="0"/>
    <x v="4"/>
    <x v="0"/>
    <x v="3"/>
    <n v="1"/>
    <n v="11502"/>
    <n v="11502"/>
    <n v="1725.3"/>
    <n v="0.15"/>
    <n v="9776.7000000000007"/>
    <n v="5706.33"/>
    <n v="4070.3700000000008"/>
    <s v="Jul"/>
    <n v="2026"/>
    <n v="7"/>
  </r>
  <r>
    <s v="ORD-00275"/>
    <x v="613"/>
    <x v="4"/>
    <x v="2"/>
    <x v="0"/>
    <x v="1"/>
    <x v="1"/>
    <x v="0"/>
    <n v="2"/>
    <n v="26392"/>
    <n v="52784"/>
    <n v="0"/>
    <n v="0"/>
    <n v="52784"/>
    <n v="34677.56"/>
    <n v="18106.440000000002"/>
    <s v="Jul"/>
    <n v="2026"/>
    <n v="7"/>
  </r>
  <r>
    <s v="ORD-01110"/>
    <x v="613"/>
    <x v="9"/>
    <x v="0"/>
    <x v="0"/>
    <x v="2"/>
    <x v="0"/>
    <x v="3"/>
    <n v="1"/>
    <n v="46286"/>
    <n v="46286"/>
    <n v="6942.9"/>
    <n v="0.15"/>
    <n v="39343.1"/>
    <n v="30546.53"/>
    <n v="8796.57"/>
    <s v="Jul"/>
    <n v="2026"/>
    <n v="7"/>
  </r>
  <r>
    <s v="ORD-01187"/>
    <x v="613"/>
    <x v="8"/>
    <x v="2"/>
    <x v="3"/>
    <x v="3"/>
    <x v="0"/>
    <x v="3"/>
    <n v="3"/>
    <n v="40171"/>
    <n v="120513"/>
    <n v="18076.95"/>
    <n v="0.15"/>
    <n v="102436.05"/>
    <n v="68981.63"/>
    <n v="33454.42"/>
    <s v="Jul"/>
    <n v="2026"/>
    <n v="7"/>
  </r>
  <r>
    <s v="ORD-01134"/>
    <x v="613"/>
    <x v="0"/>
    <x v="0"/>
    <x v="1"/>
    <x v="4"/>
    <x v="0"/>
    <x v="0"/>
    <n v="1"/>
    <n v="14377"/>
    <n v="14377"/>
    <n v="0"/>
    <n v="0"/>
    <n v="14377"/>
    <n v="8539.09"/>
    <n v="5837.91"/>
    <s v="Jul"/>
    <n v="2026"/>
    <n v="7"/>
  </r>
  <r>
    <s v="ORD-01016"/>
    <x v="614"/>
    <x v="9"/>
    <x v="0"/>
    <x v="2"/>
    <x v="4"/>
    <x v="1"/>
    <x v="0"/>
    <n v="1"/>
    <n v="41561"/>
    <n v="41561"/>
    <n v="0"/>
    <n v="0"/>
    <n v="41561"/>
    <n v="22141"/>
    <n v="19420"/>
    <s v="Jul"/>
    <n v="2026"/>
    <n v="7"/>
  </r>
  <r>
    <s v="ORD-00803"/>
    <x v="615"/>
    <x v="6"/>
    <x v="1"/>
    <x v="3"/>
    <x v="2"/>
    <x v="1"/>
    <x v="3"/>
    <n v="3"/>
    <n v="29007"/>
    <n v="87021"/>
    <n v="4351.05"/>
    <n v="0.05"/>
    <n v="82669.95"/>
    <n v="48317.56"/>
    <n v="34352.39"/>
    <s v="Jul"/>
    <n v="2026"/>
    <n v="7"/>
  </r>
  <r>
    <s v="ORD-00521"/>
    <x v="616"/>
    <x v="3"/>
    <x v="0"/>
    <x v="1"/>
    <x v="2"/>
    <x v="0"/>
    <x v="0"/>
    <n v="1"/>
    <n v="12610"/>
    <n v="12610"/>
    <n v="1261"/>
    <n v="0.1"/>
    <n v="11349"/>
    <n v="7318.51"/>
    <n v="4030.49"/>
    <s v="Jul"/>
    <n v="2026"/>
    <n v="7"/>
  </r>
  <r>
    <s v="ORD-00926"/>
    <x v="616"/>
    <x v="5"/>
    <x v="2"/>
    <x v="2"/>
    <x v="4"/>
    <x v="0"/>
    <x v="3"/>
    <n v="1"/>
    <n v="18079"/>
    <n v="18079"/>
    <n v="3615.8"/>
    <n v="0.2"/>
    <n v="14463.2"/>
    <n v="11709.77"/>
    <n v="2753.4300000000003"/>
    <s v="Jul"/>
    <n v="2026"/>
    <n v="7"/>
  </r>
  <r>
    <s v="ORD-01133"/>
    <x v="617"/>
    <x v="7"/>
    <x v="2"/>
    <x v="2"/>
    <x v="0"/>
    <x v="1"/>
    <x v="3"/>
    <n v="2"/>
    <n v="50623"/>
    <n v="101246"/>
    <n v="15186.9"/>
    <n v="0.15"/>
    <n v="86059.1"/>
    <n v="51845.73"/>
    <n v="34213.370000000003"/>
    <s v="Jul"/>
    <n v="2026"/>
    <n v="7"/>
  </r>
  <r>
    <s v="ORD-00259"/>
    <x v="618"/>
    <x v="9"/>
    <x v="0"/>
    <x v="0"/>
    <x v="2"/>
    <x v="1"/>
    <x v="0"/>
    <n v="3"/>
    <n v="43644"/>
    <n v="130932"/>
    <n v="0"/>
    <n v="0"/>
    <n v="130932"/>
    <n v="67410.17"/>
    <n v="63521.83"/>
    <s v="Jul"/>
    <n v="2026"/>
    <n v="7"/>
  </r>
  <r>
    <s v="ORD-00517"/>
    <x v="619"/>
    <x v="0"/>
    <x v="0"/>
    <x v="3"/>
    <x v="4"/>
    <x v="0"/>
    <x v="3"/>
    <n v="2"/>
    <n v="14154"/>
    <n v="28308"/>
    <n v="5661.6"/>
    <n v="0.2"/>
    <n v="22646.400000000001"/>
    <n v="14623.31"/>
    <n v="8023.090000000002"/>
    <s v="Jul"/>
    <n v="2026"/>
    <n v="7"/>
  </r>
  <r>
    <s v="ORD-00482"/>
    <x v="619"/>
    <x v="9"/>
    <x v="0"/>
    <x v="3"/>
    <x v="4"/>
    <x v="1"/>
    <x v="3"/>
    <n v="1"/>
    <n v="45297"/>
    <n v="45297"/>
    <n v="9059.4"/>
    <n v="0.2"/>
    <n v="36237.599999999999"/>
    <n v="30754.62"/>
    <n v="5482.98"/>
    <s v="Jul"/>
    <n v="2026"/>
    <n v="7"/>
  </r>
  <r>
    <s v="ORD-00176"/>
    <x v="619"/>
    <x v="2"/>
    <x v="2"/>
    <x v="1"/>
    <x v="3"/>
    <x v="1"/>
    <x v="3"/>
    <n v="3"/>
    <n v="43969"/>
    <n v="131907"/>
    <n v="26381.4"/>
    <n v="0.2"/>
    <n v="105525.6"/>
    <n v="69699.06"/>
    <n v="35826.540000000008"/>
    <s v="Jul"/>
    <n v="2026"/>
    <n v="7"/>
  </r>
  <r>
    <s v="ORD-00092"/>
    <x v="620"/>
    <x v="3"/>
    <x v="0"/>
    <x v="0"/>
    <x v="2"/>
    <x v="0"/>
    <x v="3"/>
    <n v="1"/>
    <n v="11542"/>
    <n v="11542"/>
    <n v="1154.2"/>
    <n v="0.1"/>
    <n v="10387.799999999999"/>
    <n v="7632.16"/>
    <n v="2755.6399999999994"/>
    <s v="Jul"/>
    <n v="2026"/>
    <n v="7"/>
  </r>
  <r>
    <s v="ORD-00483"/>
    <x v="621"/>
    <x v="7"/>
    <x v="2"/>
    <x v="3"/>
    <x v="4"/>
    <x v="0"/>
    <x v="0"/>
    <n v="3"/>
    <n v="51515"/>
    <n v="154545"/>
    <n v="0"/>
    <n v="0"/>
    <n v="154545"/>
    <n v="95628.22"/>
    <n v="58916.78"/>
    <s v="Jul"/>
    <n v="2026"/>
    <n v="7"/>
  </r>
  <r>
    <s v="ORD-01001"/>
    <x v="621"/>
    <x v="9"/>
    <x v="0"/>
    <x v="1"/>
    <x v="4"/>
    <x v="0"/>
    <x v="3"/>
    <n v="2"/>
    <n v="41463"/>
    <n v="82926"/>
    <n v="8292.6"/>
    <n v="0.1"/>
    <n v="74633.399999999994"/>
    <n v="55410.26"/>
    <n v="19223.139999999992"/>
    <s v="Jul"/>
    <n v="2026"/>
    <n v="7"/>
  </r>
  <r>
    <s v="ORD-00973"/>
    <x v="621"/>
    <x v="6"/>
    <x v="1"/>
    <x v="2"/>
    <x v="2"/>
    <x v="1"/>
    <x v="0"/>
    <n v="3"/>
    <n v="28340"/>
    <n v="85020"/>
    <n v="0"/>
    <n v="0"/>
    <n v="85020"/>
    <n v="53366.78"/>
    <n v="31653.22"/>
    <s v="Jul"/>
    <n v="2026"/>
    <n v="7"/>
  </r>
  <r>
    <s v="ORD-00440"/>
    <x v="622"/>
    <x v="2"/>
    <x v="2"/>
    <x v="0"/>
    <x v="0"/>
    <x v="1"/>
    <x v="3"/>
    <n v="2"/>
    <n v="41620"/>
    <n v="83240"/>
    <n v="12486"/>
    <n v="0.15"/>
    <n v="70754"/>
    <n v="44865.46"/>
    <n v="25888.54"/>
    <s v="Jul"/>
    <n v="2026"/>
    <n v="7"/>
  </r>
  <r>
    <s v="ORD-01093"/>
    <x v="622"/>
    <x v="9"/>
    <x v="0"/>
    <x v="0"/>
    <x v="2"/>
    <x v="0"/>
    <x v="3"/>
    <n v="2"/>
    <n v="47218"/>
    <n v="94436"/>
    <n v="9443.6"/>
    <n v="0.1"/>
    <n v="84992.4"/>
    <n v="63516.78"/>
    <n v="21475.619999999995"/>
    <s v="Jul"/>
    <n v="2026"/>
    <n v="7"/>
  </r>
  <r>
    <s v="ORD-00316"/>
    <x v="623"/>
    <x v="7"/>
    <x v="2"/>
    <x v="1"/>
    <x v="2"/>
    <x v="0"/>
    <x v="3"/>
    <n v="1"/>
    <n v="50847"/>
    <n v="50847"/>
    <n v="2542.35"/>
    <n v="0.05"/>
    <n v="48304.65"/>
    <n v="24864.15"/>
    <n v="23440.5"/>
    <s v="Jul"/>
    <n v="2026"/>
    <n v="7"/>
  </r>
  <r>
    <s v="ORD-01102"/>
    <x v="623"/>
    <x v="3"/>
    <x v="0"/>
    <x v="0"/>
    <x v="2"/>
    <x v="1"/>
    <x v="0"/>
    <n v="1"/>
    <n v="11374"/>
    <n v="11374"/>
    <n v="0"/>
    <n v="0"/>
    <n v="11374"/>
    <n v="7288.33"/>
    <n v="4085.67"/>
    <s v="Jul"/>
    <n v="2026"/>
    <n v="7"/>
  </r>
  <r>
    <s v="ORD-00865"/>
    <x v="623"/>
    <x v="7"/>
    <x v="2"/>
    <x v="3"/>
    <x v="4"/>
    <x v="1"/>
    <x v="0"/>
    <n v="2"/>
    <n v="48689"/>
    <n v="97378"/>
    <n v="0"/>
    <n v="0"/>
    <n v="97378"/>
    <n v="57281.4"/>
    <n v="40096.6"/>
    <s v="Jul"/>
    <n v="2026"/>
    <n v="7"/>
  </r>
  <r>
    <s v="ORD-01164"/>
    <x v="624"/>
    <x v="2"/>
    <x v="2"/>
    <x v="1"/>
    <x v="0"/>
    <x v="0"/>
    <x v="3"/>
    <n v="1"/>
    <n v="43631"/>
    <n v="43631"/>
    <n v="6544.65"/>
    <n v="0.15"/>
    <n v="37086.35"/>
    <n v="24493.26"/>
    <n v="12593.09"/>
    <s v="Jul"/>
    <n v="2026"/>
    <n v="7"/>
  </r>
  <r>
    <s v="ORD-00871"/>
    <x v="624"/>
    <x v="6"/>
    <x v="1"/>
    <x v="2"/>
    <x v="4"/>
    <x v="0"/>
    <x v="3"/>
    <n v="1"/>
    <n v="30144"/>
    <n v="30144"/>
    <n v="6028.8"/>
    <n v="0.2"/>
    <n v="24115.200000000001"/>
    <n v="16694.09"/>
    <n v="7421.1100000000006"/>
    <s v="Jul"/>
    <n v="2026"/>
    <n v="7"/>
  </r>
  <r>
    <s v="ORD-01152"/>
    <x v="625"/>
    <x v="1"/>
    <x v="1"/>
    <x v="0"/>
    <x v="0"/>
    <x v="0"/>
    <x v="3"/>
    <n v="1"/>
    <n v="63975"/>
    <n v="63975"/>
    <n v="6397.5"/>
    <n v="0.1"/>
    <n v="57577.5"/>
    <n v="43091"/>
    <n v="14486.5"/>
    <s v="Jul"/>
    <n v="2026"/>
    <n v="7"/>
  </r>
  <r>
    <s v="ORD-00881"/>
    <x v="625"/>
    <x v="5"/>
    <x v="2"/>
    <x v="2"/>
    <x v="4"/>
    <x v="0"/>
    <x v="0"/>
    <n v="2"/>
    <n v="18929"/>
    <n v="37858"/>
    <n v="1892.9"/>
    <n v="0.05"/>
    <n v="35965.1"/>
    <n v="23480.6"/>
    <n v="12484.5"/>
    <s v="Jul"/>
    <n v="2026"/>
    <n v="7"/>
  </r>
  <r>
    <s v="ORD-01050"/>
    <x v="625"/>
    <x v="7"/>
    <x v="2"/>
    <x v="1"/>
    <x v="1"/>
    <x v="1"/>
    <x v="0"/>
    <n v="1"/>
    <n v="46271"/>
    <n v="46271"/>
    <n v="0"/>
    <n v="0"/>
    <n v="46271"/>
    <n v="26522.02"/>
    <n v="19748.98"/>
    <s v="Jul"/>
    <n v="2026"/>
    <n v="7"/>
  </r>
  <r>
    <s v="ORD-00976"/>
    <x v="626"/>
    <x v="1"/>
    <x v="1"/>
    <x v="1"/>
    <x v="1"/>
    <x v="1"/>
    <x v="3"/>
    <n v="1"/>
    <n v="62220"/>
    <n v="62220"/>
    <n v="6222"/>
    <n v="0.1"/>
    <n v="55998"/>
    <n v="40722.559999999998"/>
    <n v="15275.440000000002"/>
    <s v="Jul"/>
    <n v="2026"/>
    <n v="7"/>
  </r>
  <r>
    <s v="ORD-00954"/>
    <x v="627"/>
    <x v="2"/>
    <x v="2"/>
    <x v="3"/>
    <x v="4"/>
    <x v="0"/>
    <x v="0"/>
    <n v="1"/>
    <n v="43659"/>
    <n v="43659"/>
    <n v="0"/>
    <n v="0"/>
    <n v="43659"/>
    <n v="29322.46"/>
    <n v="14336.54"/>
    <s v="Aug"/>
    <n v="2026"/>
    <n v="8"/>
  </r>
  <r>
    <s v="ORD-00453"/>
    <x v="628"/>
    <x v="8"/>
    <x v="2"/>
    <x v="0"/>
    <x v="4"/>
    <x v="1"/>
    <x v="0"/>
    <n v="3"/>
    <n v="40980"/>
    <n v="122940"/>
    <n v="0"/>
    <n v="0"/>
    <n v="122940"/>
    <n v="68132.7"/>
    <n v="54807.3"/>
    <s v="Aug"/>
    <n v="2026"/>
    <n v="8"/>
  </r>
  <r>
    <s v="ORD-00728"/>
    <x v="629"/>
    <x v="1"/>
    <x v="1"/>
    <x v="1"/>
    <x v="4"/>
    <x v="0"/>
    <x v="0"/>
    <n v="2"/>
    <n v="64451"/>
    <n v="128902"/>
    <n v="0"/>
    <n v="0"/>
    <n v="128902"/>
    <n v="74320"/>
    <n v="54582"/>
    <s v="Aug"/>
    <n v="2026"/>
    <n v="8"/>
  </r>
  <r>
    <s v="ORD-00924"/>
    <x v="629"/>
    <x v="4"/>
    <x v="2"/>
    <x v="0"/>
    <x v="3"/>
    <x v="1"/>
    <x v="0"/>
    <n v="1"/>
    <n v="25875"/>
    <n v="25875"/>
    <n v="0"/>
    <n v="0"/>
    <n v="25875"/>
    <n v="17162.48"/>
    <n v="8712.52"/>
    <s v="Aug"/>
    <n v="2026"/>
    <n v="8"/>
  </r>
  <r>
    <s v="ORD-00819"/>
    <x v="630"/>
    <x v="1"/>
    <x v="1"/>
    <x v="0"/>
    <x v="0"/>
    <x v="1"/>
    <x v="0"/>
    <n v="1"/>
    <n v="59887"/>
    <n v="59887"/>
    <n v="0"/>
    <n v="0"/>
    <n v="59887"/>
    <n v="30256.94"/>
    <n v="29630.06"/>
    <s v="Aug"/>
    <n v="2026"/>
    <n v="8"/>
  </r>
  <r>
    <s v="ORD-00434"/>
    <x v="630"/>
    <x v="9"/>
    <x v="0"/>
    <x v="2"/>
    <x v="2"/>
    <x v="1"/>
    <x v="0"/>
    <n v="4"/>
    <n v="43791"/>
    <n v="175164"/>
    <n v="0"/>
    <n v="0"/>
    <n v="175164"/>
    <n v="110889.89"/>
    <n v="64274.11"/>
    <s v="Aug"/>
    <n v="2026"/>
    <n v="8"/>
  </r>
  <r>
    <s v="ORD-01145"/>
    <x v="631"/>
    <x v="1"/>
    <x v="1"/>
    <x v="0"/>
    <x v="1"/>
    <x v="0"/>
    <x v="0"/>
    <n v="1"/>
    <n v="70176"/>
    <n v="70176"/>
    <n v="3508.8"/>
    <n v="0.05"/>
    <n v="66667.199999999997"/>
    <n v="45505.62"/>
    <n v="21161.579999999994"/>
    <s v="Aug"/>
    <n v="2026"/>
    <n v="8"/>
  </r>
  <r>
    <s v="ORD-00809"/>
    <x v="632"/>
    <x v="3"/>
    <x v="0"/>
    <x v="1"/>
    <x v="4"/>
    <x v="1"/>
    <x v="0"/>
    <n v="1"/>
    <n v="11417"/>
    <n v="11417"/>
    <n v="0"/>
    <n v="0"/>
    <n v="11417"/>
    <n v="5876.49"/>
    <n v="5540.51"/>
    <s v="Aug"/>
    <n v="2026"/>
    <n v="8"/>
  </r>
  <r>
    <s v="ORD-01184"/>
    <x v="633"/>
    <x v="2"/>
    <x v="2"/>
    <x v="1"/>
    <x v="0"/>
    <x v="0"/>
    <x v="0"/>
    <n v="5"/>
    <n v="42657"/>
    <n v="213285"/>
    <n v="0"/>
    <n v="0"/>
    <n v="213285"/>
    <n v="116836.8"/>
    <n v="96448.2"/>
    <s v="Aug"/>
    <n v="2026"/>
    <n v="8"/>
  </r>
  <r>
    <s v="ORD-00908"/>
    <x v="633"/>
    <x v="9"/>
    <x v="0"/>
    <x v="0"/>
    <x v="4"/>
    <x v="0"/>
    <x v="0"/>
    <n v="1"/>
    <n v="44728"/>
    <n v="44728"/>
    <n v="0"/>
    <n v="0"/>
    <n v="44728"/>
    <n v="23763.49"/>
    <n v="20964.509999999998"/>
    <s v="Aug"/>
    <n v="2026"/>
    <n v="8"/>
  </r>
  <r>
    <s v="ORD-00143"/>
    <x v="633"/>
    <x v="1"/>
    <x v="1"/>
    <x v="0"/>
    <x v="4"/>
    <x v="1"/>
    <x v="0"/>
    <n v="1"/>
    <n v="65512"/>
    <n v="65512"/>
    <n v="0"/>
    <n v="0"/>
    <n v="65512"/>
    <n v="40365.300000000003"/>
    <n v="25146.699999999997"/>
    <s v="Aug"/>
    <n v="2026"/>
    <n v="8"/>
  </r>
  <r>
    <s v="ORD-00449"/>
    <x v="634"/>
    <x v="5"/>
    <x v="2"/>
    <x v="2"/>
    <x v="4"/>
    <x v="1"/>
    <x v="0"/>
    <n v="1"/>
    <n v="17825"/>
    <n v="17825"/>
    <n v="0"/>
    <n v="0"/>
    <n v="17825"/>
    <n v="9478.59"/>
    <n v="8346.41"/>
    <s v="Aug"/>
    <n v="2026"/>
    <n v="8"/>
  </r>
  <r>
    <s v="ORD-00882"/>
    <x v="635"/>
    <x v="6"/>
    <x v="1"/>
    <x v="3"/>
    <x v="4"/>
    <x v="0"/>
    <x v="0"/>
    <n v="1"/>
    <n v="29451"/>
    <n v="29451"/>
    <n v="2945.1"/>
    <n v="0.1"/>
    <n v="26505.9"/>
    <n v="14545.9"/>
    <n v="11960.000000000002"/>
    <s v="Aug"/>
    <n v="2026"/>
    <n v="8"/>
  </r>
  <r>
    <s v="ORD-01192"/>
    <x v="635"/>
    <x v="9"/>
    <x v="0"/>
    <x v="0"/>
    <x v="3"/>
    <x v="1"/>
    <x v="0"/>
    <n v="3"/>
    <n v="47039"/>
    <n v="141117"/>
    <n v="0"/>
    <n v="0"/>
    <n v="141117"/>
    <n v="74848.62"/>
    <n v="66268.38"/>
    <s v="Aug"/>
    <n v="2026"/>
    <n v="8"/>
  </r>
  <r>
    <s v="ORD-00171"/>
    <x v="635"/>
    <x v="9"/>
    <x v="0"/>
    <x v="0"/>
    <x v="2"/>
    <x v="0"/>
    <x v="0"/>
    <n v="1"/>
    <n v="46086"/>
    <n v="46086"/>
    <n v="0"/>
    <n v="0"/>
    <n v="46086"/>
    <n v="27294.83"/>
    <n v="18791.169999999998"/>
    <s v="Aug"/>
    <n v="2026"/>
    <n v="8"/>
  </r>
  <r>
    <s v="ORD-00222"/>
    <x v="635"/>
    <x v="9"/>
    <x v="0"/>
    <x v="2"/>
    <x v="0"/>
    <x v="0"/>
    <x v="0"/>
    <n v="2"/>
    <n v="42554"/>
    <n v="85108"/>
    <n v="0"/>
    <n v="0"/>
    <n v="85108"/>
    <n v="43903.02"/>
    <n v="41204.980000000003"/>
    <s v="Aug"/>
    <n v="2026"/>
    <n v="8"/>
  </r>
  <r>
    <s v="ORD-00045"/>
    <x v="636"/>
    <x v="0"/>
    <x v="0"/>
    <x v="0"/>
    <x v="4"/>
    <x v="1"/>
    <x v="0"/>
    <n v="2"/>
    <n v="15224"/>
    <n v="30448"/>
    <n v="0"/>
    <n v="0"/>
    <n v="30448"/>
    <n v="18552.61"/>
    <n v="11895.39"/>
    <s v="Aug"/>
    <n v="2026"/>
    <n v="8"/>
  </r>
  <r>
    <s v="ORD-00014"/>
    <x v="636"/>
    <x v="1"/>
    <x v="1"/>
    <x v="1"/>
    <x v="0"/>
    <x v="1"/>
    <x v="0"/>
    <n v="2"/>
    <n v="66876"/>
    <n v="133752"/>
    <n v="13375.2"/>
    <n v="0.1"/>
    <n v="120376.8"/>
    <n v="90274.57"/>
    <n v="30102.229999999996"/>
    <s v="Aug"/>
    <n v="2026"/>
    <n v="8"/>
  </r>
  <r>
    <s v="ORD-01063"/>
    <x v="637"/>
    <x v="5"/>
    <x v="2"/>
    <x v="1"/>
    <x v="4"/>
    <x v="0"/>
    <x v="0"/>
    <n v="1"/>
    <n v="16600"/>
    <n v="16600"/>
    <n v="0"/>
    <n v="0"/>
    <n v="16600"/>
    <n v="10664.82"/>
    <n v="5935.18"/>
    <s v="Aug"/>
    <n v="2026"/>
    <n v="8"/>
  </r>
  <r>
    <s v="ORD-00376"/>
    <x v="637"/>
    <x v="0"/>
    <x v="0"/>
    <x v="0"/>
    <x v="2"/>
    <x v="0"/>
    <x v="0"/>
    <n v="1"/>
    <n v="16102"/>
    <n v="16102"/>
    <n v="0"/>
    <n v="0"/>
    <n v="16102"/>
    <n v="8012.85"/>
    <n v="8089.15"/>
    <s v="Aug"/>
    <n v="2026"/>
    <n v="8"/>
  </r>
  <r>
    <s v="ORD-00212"/>
    <x v="637"/>
    <x v="5"/>
    <x v="2"/>
    <x v="0"/>
    <x v="2"/>
    <x v="0"/>
    <x v="0"/>
    <n v="1"/>
    <n v="18916"/>
    <n v="18916"/>
    <n v="0"/>
    <n v="0"/>
    <n v="18916"/>
    <n v="12528.15"/>
    <n v="6387.85"/>
    <s v="Aug"/>
    <n v="2026"/>
    <n v="8"/>
  </r>
  <r>
    <s v="ORD-00348"/>
    <x v="638"/>
    <x v="2"/>
    <x v="2"/>
    <x v="2"/>
    <x v="3"/>
    <x v="0"/>
    <x v="0"/>
    <n v="1"/>
    <n v="44166"/>
    <n v="44166"/>
    <n v="4416.6000000000004"/>
    <n v="0.1"/>
    <n v="39749.4"/>
    <n v="25836.23"/>
    <n v="13913.170000000002"/>
    <s v="Aug"/>
    <n v="2026"/>
    <n v="8"/>
  </r>
  <r>
    <s v="ORD-01040"/>
    <x v="638"/>
    <x v="4"/>
    <x v="2"/>
    <x v="1"/>
    <x v="3"/>
    <x v="1"/>
    <x v="0"/>
    <n v="1"/>
    <n v="26220"/>
    <n v="26220"/>
    <n v="0"/>
    <n v="0"/>
    <n v="26220"/>
    <n v="13927.96"/>
    <n v="12292.04"/>
    <s v="Aug"/>
    <n v="2026"/>
    <n v="8"/>
  </r>
  <r>
    <s v="ORD-00027"/>
    <x v="638"/>
    <x v="3"/>
    <x v="0"/>
    <x v="2"/>
    <x v="4"/>
    <x v="0"/>
    <x v="0"/>
    <n v="1"/>
    <n v="11291"/>
    <n v="11291"/>
    <n v="0"/>
    <n v="0"/>
    <n v="11291"/>
    <n v="6444.43"/>
    <n v="4846.57"/>
    <s v="Aug"/>
    <n v="2026"/>
    <n v="8"/>
  </r>
  <r>
    <s v="ORD-01124"/>
    <x v="638"/>
    <x v="3"/>
    <x v="0"/>
    <x v="1"/>
    <x v="2"/>
    <x v="1"/>
    <x v="0"/>
    <n v="2"/>
    <n v="11355"/>
    <n v="22710"/>
    <n v="0"/>
    <n v="0"/>
    <n v="22710"/>
    <n v="14356.33"/>
    <n v="8353.67"/>
    <s v="Aug"/>
    <n v="2026"/>
    <n v="8"/>
  </r>
  <r>
    <s v="ORD-00029"/>
    <x v="638"/>
    <x v="6"/>
    <x v="1"/>
    <x v="1"/>
    <x v="4"/>
    <x v="0"/>
    <x v="0"/>
    <n v="2"/>
    <n v="31652"/>
    <n v="63304"/>
    <n v="0"/>
    <n v="0"/>
    <n v="63304"/>
    <n v="37796.97"/>
    <n v="25507.03"/>
    <s v="Aug"/>
    <n v="2026"/>
    <n v="8"/>
  </r>
  <r>
    <s v="ORD-00842"/>
    <x v="638"/>
    <x v="0"/>
    <x v="0"/>
    <x v="0"/>
    <x v="1"/>
    <x v="0"/>
    <x v="0"/>
    <n v="1"/>
    <n v="14282"/>
    <n v="14282"/>
    <n v="0"/>
    <n v="0"/>
    <n v="14282"/>
    <n v="9290.92"/>
    <n v="4991.08"/>
    <s v="Aug"/>
    <n v="2026"/>
    <n v="8"/>
  </r>
  <r>
    <s v="ORD-00516"/>
    <x v="639"/>
    <x v="1"/>
    <x v="1"/>
    <x v="2"/>
    <x v="3"/>
    <x v="0"/>
    <x v="0"/>
    <n v="2"/>
    <n v="64832"/>
    <n v="129664"/>
    <n v="0"/>
    <n v="0"/>
    <n v="129664"/>
    <n v="85779.51"/>
    <n v="43884.490000000005"/>
    <s v="Aug"/>
    <n v="2026"/>
    <n v="8"/>
  </r>
  <r>
    <s v="ORD-00235"/>
    <x v="640"/>
    <x v="9"/>
    <x v="0"/>
    <x v="0"/>
    <x v="0"/>
    <x v="1"/>
    <x v="0"/>
    <n v="1"/>
    <n v="44183"/>
    <n v="44183"/>
    <n v="0"/>
    <n v="0"/>
    <n v="44183"/>
    <n v="24273.81"/>
    <n v="19909.189999999999"/>
    <s v="Aug"/>
    <n v="2026"/>
    <n v="8"/>
  </r>
  <r>
    <s v="ORD-00101"/>
    <x v="641"/>
    <x v="7"/>
    <x v="2"/>
    <x v="0"/>
    <x v="3"/>
    <x v="1"/>
    <x v="0"/>
    <n v="1"/>
    <n v="49125"/>
    <n v="49125"/>
    <n v="0"/>
    <n v="0"/>
    <n v="49125"/>
    <n v="27234.240000000002"/>
    <n v="21890.76"/>
    <s v="Aug"/>
    <n v="2026"/>
    <n v="8"/>
  </r>
  <r>
    <s v="ORD-00267"/>
    <x v="642"/>
    <x v="1"/>
    <x v="1"/>
    <x v="2"/>
    <x v="4"/>
    <x v="1"/>
    <x v="0"/>
    <n v="1"/>
    <n v="68042"/>
    <n v="68042"/>
    <n v="0"/>
    <n v="0"/>
    <n v="68042"/>
    <n v="42870.080000000002"/>
    <n v="25171.919999999998"/>
    <s v="Aug"/>
    <n v="2026"/>
    <n v="8"/>
  </r>
  <r>
    <s v="ORD-01149"/>
    <x v="643"/>
    <x v="0"/>
    <x v="0"/>
    <x v="0"/>
    <x v="1"/>
    <x v="1"/>
    <x v="0"/>
    <n v="1"/>
    <n v="15797"/>
    <n v="15797"/>
    <n v="0"/>
    <n v="0"/>
    <n v="15797"/>
    <n v="9726.1"/>
    <n v="6070.9"/>
    <s v="Aug"/>
    <n v="2026"/>
    <n v="8"/>
  </r>
  <r>
    <s v="ORD-00896"/>
    <x v="644"/>
    <x v="7"/>
    <x v="2"/>
    <x v="0"/>
    <x v="1"/>
    <x v="1"/>
    <x v="0"/>
    <n v="3"/>
    <n v="46819"/>
    <n v="140457"/>
    <n v="0"/>
    <n v="0"/>
    <n v="140457"/>
    <n v="68861.41"/>
    <n v="71595.59"/>
    <s v="Aug"/>
    <n v="2026"/>
    <n v="8"/>
  </r>
  <r>
    <s v="ORD-00501"/>
    <x v="645"/>
    <x v="4"/>
    <x v="2"/>
    <x v="1"/>
    <x v="4"/>
    <x v="1"/>
    <x v="0"/>
    <n v="1"/>
    <n v="26934"/>
    <n v="26934"/>
    <n v="0"/>
    <n v="0"/>
    <n v="26934"/>
    <n v="16983.759999999998"/>
    <n v="9950.2400000000016"/>
    <s v="Aug"/>
    <n v="2026"/>
    <n v="8"/>
  </r>
  <r>
    <s v="ORD-00867"/>
    <x v="646"/>
    <x v="0"/>
    <x v="0"/>
    <x v="3"/>
    <x v="4"/>
    <x v="1"/>
    <x v="0"/>
    <n v="2"/>
    <n v="15156"/>
    <n v="30312"/>
    <n v="0"/>
    <n v="0"/>
    <n v="30312"/>
    <n v="20019.53"/>
    <n v="10292.470000000001"/>
    <s v="Aug"/>
    <n v="2026"/>
    <n v="8"/>
  </r>
  <r>
    <s v="ORD-00390"/>
    <x v="647"/>
    <x v="0"/>
    <x v="0"/>
    <x v="1"/>
    <x v="1"/>
    <x v="0"/>
    <x v="0"/>
    <n v="1"/>
    <n v="14243"/>
    <n v="14243"/>
    <n v="0"/>
    <n v="0"/>
    <n v="14243"/>
    <n v="7011.62"/>
    <n v="7231.38"/>
    <s v="Aug"/>
    <n v="2026"/>
    <n v="8"/>
  </r>
  <r>
    <s v="ORD-00497"/>
    <x v="648"/>
    <x v="9"/>
    <x v="0"/>
    <x v="1"/>
    <x v="2"/>
    <x v="1"/>
    <x v="0"/>
    <n v="2"/>
    <n v="45573"/>
    <n v="91146"/>
    <n v="4557.3"/>
    <n v="0.05"/>
    <n v="86588.7"/>
    <n v="46983.05"/>
    <n v="39605.649999999994"/>
    <s v="Aug"/>
    <n v="2026"/>
    <n v="8"/>
  </r>
  <r>
    <s v="ORD-00503"/>
    <x v="649"/>
    <x v="5"/>
    <x v="2"/>
    <x v="0"/>
    <x v="4"/>
    <x v="0"/>
    <x v="0"/>
    <n v="1"/>
    <n v="16642"/>
    <n v="16642"/>
    <n v="0"/>
    <n v="0"/>
    <n v="16642"/>
    <n v="8910.61"/>
    <n v="7731.3899999999994"/>
    <s v="Aug"/>
    <n v="2026"/>
    <n v="8"/>
  </r>
  <r>
    <s v="ORD-00287"/>
    <x v="649"/>
    <x v="5"/>
    <x v="2"/>
    <x v="3"/>
    <x v="4"/>
    <x v="0"/>
    <x v="0"/>
    <n v="1"/>
    <n v="17594"/>
    <n v="17594"/>
    <n v="0"/>
    <n v="0"/>
    <n v="17594"/>
    <n v="11332.99"/>
    <n v="6261.01"/>
    <s v="Aug"/>
    <n v="2026"/>
    <n v="8"/>
  </r>
  <r>
    <s v="ORD-01200"/>
    <x v="650"/>
    <x v="0"/>
    <x v="0"/>
    <x v="2"/>
    <x v="4"/>
    <x v="0"/>
    <x v="0"/>
    <n v="2"/>
    <n v="16091"/>
    <n v="32182"/>
    <n v="0"/>
    <n v="0"/>
    <n v="32182"/>
    <n v="17582.25"/>
    <n v="14599.75"/>
    <s v="Aug"/>
    <n v="2026"/>
    <n v="8"/>
  </r>
  <r>
    <s v="ORD-00135"/>
    <x v="650"/>
    <x v="2"/>
    <x v="2"/>
    <x v="1"/>
    <x v="2"/>
    <x v="0"/>
    <x v="0"/>
    <n v="1"/>
    <n v="42645"/>
    <n v="42645"/>
    <n v="4264.5"/>
    <n v="0.1"/>
    <n v="38380.5"/>
    <n v="27694.85"/>
    <n v="10685.650000000001"/>
    <s v="Aug"/>
    <n v="2026"/>
    <n v="8"/>
  </r>
  <r>
    <s v="ORD-01194"/>
    <x v="651"/>
    <x v="2"/>
    <x v="2"/>
    <x v="3"/>
    <x v="4"/>
    <x v="0"/>
    <x v="0"/>
    <n v="3"/>
    <n v="43298"/>
    <n v="129894"/>
    <n v="19484.099999999999"/>
    <n v="0.15"/>
    <n v="110409.9"/>
    <n v="62731.63"/>
    <n v="47678.27"/>
    <s v="Sep"/>
    <n v="2026"/>
    <n v="9"/>
  </r>
  <r>
    <s v="ORD-00025"/>
    <x v="652"/>
    <x v="0"/>
    <x v="0"/>
    <x v="2"/>
    <x v="4"/>
    <x v="0"/>
    <x v="0"/>
    <n v="2"/>
    <n v="15318"/>
    <n v="30636"/>
    <n v="0"/>
    <n v="0"/>
    <n v="30636"/>
    <n v="17846.18"/>
    <n v="12789.82"/>
    <s v="Sep"/>
    <n v="2026"/>
    <n v="9"/>
  </r>
  <r>
    <s v="ORD-01071"/>
    <x v="652"/>
    <x v="5"/>
    <x v="2"/>
    <x v="3"/>
    <x v="2"/>
    <x v="1"/>
    <x v="0"/>
    <n v="2"/>
    <n v="16853"/>
    <n v="33706"/>
    <n v="3370.6"/>
    <n v="0.1"/>
    <n v="30335.4"/>
    <n v="20874.439999999999"/>
    <n v="9460.9600000000028"/>
    <s v="Sep"/>
    <n v="2026"/>
    <n v="9"/>
  </r>
  <r>
    <s v="ORD-00405"/>
    <x v="653"/>
    <x v="8"/>
    <x v="2"/>
    <x v="2"/>
    <x v="4"/>
    <x v="1"/>
    <x v="0"/>
    <n v="3"/>
    <n v="40748"/>
    <n v="122244"/>
    <n v="0"/>
    <n v="0"/>
    <n v="122244"/>
    <n v="73283.55"/>
    <n v="48960.45"/>
    <s v="Sep"/>
    <n v="2026"/>
    <n v="9"/>
  </r>
  <r>
    <s v="ORD-01017"/>
    <x v="654"/>
    <x v="1"/>
    <x v="1"/>
    <x v="2"/>
    <x v="4"/>
    <x v="0"/>
    <x v="0"/>
    <n v="1"/>
    <n v="63094"/>
    <n v="63094"/>
    <n v="0"/>
    <n v="0"/>
    <n v="63094"/>
    <n v="32004.46"/>
    <n v="31089.54"/>
    <s v="Sep"/>
    <n v="2026"/>
    <n v="9"/>
  </r>
  <r>
    <s v="ORD-00258"/>
    <x v="654"/>
    <x v="8"/>
    <x v="2"/>
    <x v="1"/>
    <x v="0"/>
    <x v="1"/>
    <x v="0"/>
    <n v="1"/>
    <n v="35901"/>
    <n v="35901"/>
    <n v="0"/>
    <n v="0"/>
    <n v="35901"/>
    <n v="20711.560000000001"/>
    <n v="15189.439999999999"/>
    <s v="Sep"/>
    <n v="2026"/>
    <n v="9"/>
  </r>
  <r>
    <s v="ORD-01080"/>
    <x v="654"/>
    <x v="4"/>
    <x v="2"/>
    <x v="0"/>
    <x v="4"/>
    <x v="1"/>
    <x v="0"/>
    <n v="4"/>
    <n v="24893"/>
    <n v="99572"/>
    <n v="0"/>
    <n v="0"/>
    <n v="99572"/>
    <n v="62465.22"/>
    <n v="37106.78"/>
    <s v="Sep"/>
    <n v="2026"/>
    <n v="9"/>
  </r>
  <r>
    <s v="ORD-01109"/>
    <x v="655"/>
    <x v="2"/>
    <x v="2"/>
    <x v="2"/>
    <x v="4"/>
    <x v="0"/>
    <x v="0"/>
    <n v="2"/>
    <n v="41969"/>
    <n v="83938"/>
    <n v="0"/>
    <n v="0"/>
    <n v="83938"/>
    <n v="40681.17"/>
    <n v="43256.83"/>
    <s v="Sep"/>
    <n v="2026"/>
    <n v="9"/>
  </r>
  <r>
    <s v="ORD-00163"/>
    <x v="655"/>
    <x v="4"/>
    <x v="2"/>
    <x v="1"/>
    <x v="2"/>
    <x v="1"/>
    <x v="0"/>
    <n v="4"/>
    <n v="25711"/>
    <n v="102844"/>
    <n v="0"/>
    <n v="0"/>
    <n v="102844"/>
    <n v="55439.12"/>
    <n v="47404.88"/>
    <s v="Sep"/>
    <n v="2026"/>
    <n v="9"/>
  </r>
  <r>
    <s v="ORD-01105"/>
    <x v="656"/>
    <x v="4"/>
    <x v="2"/>
    <x v="0"/>
    <x v="0"/>
    <x v="1"/>
    <x v="0"/>
    <n v="2"/>
    <n v="24925"/>
    <n v="49850"/>
    <n v="4985"/>
    <n v="0.1"/>
    <n v="44865"/>
    <n v="28154.28"/>
    <n v="16710.72"/>
    <s v="Sep"/>
    <n v="2026"/>
    <n v="9"/>
  </r>
  <r>
    <s v="ORD-00860"/>
    <x v="656"/>
    <x v="0"/>
    <x v="0"/>
    <x v="2"/>
    <x v="3"/>
    <x v="1"/>
    <x v="0"/>
    <n v="2"/>
    <n v="14414"/>
    <n v="28828"/>
    <n v="0"/>
    <n v="0"/>
    <n v="28828"/>
    <n v="14405.57"/>
    <n v="14422.43"/>
    <s v="Sep"/>
    <n v="2026"/>
    <n v="9"/>
  </r>
  <r>
    <s v="ORD-00611"/>
    <x v="657"/>
    <x v="7"/>
    <x v="2"/>
    <x v="1"/>
    <x v="4"/>
    <x v="0"/>
    <x v="0"/>
    <n v="1"/>
    <n v="47218"/>
    <n v="47218"/>
    <n v="0"/>
    <n v="0"/>
    <n v="47218"/>
    <n v="26701.85"/>
    <n v="20516.150000000001"/>
    <s v="Sep"/>
    <n v="2026"/>
    <n v="9"/>
  </r>
  <r>
    <s v="ORD-00600"/>
    <x v="657"/>
    <x v="6"/>
    <x v="1"/>
    <x v="1"/>
    <x v="1"/>
    <x v="1"/>
    <x v="0"/>
    <n v="2"/>
    <n v="30531"/>
    <n v="61062"/>
    <n v="0"/>
    <n v="0"/>
    <n v="61062"/>
    <n v="32817.67"/>
    <n v="28244.33"/>
    <s v="Sep"/>
    <n v="2026"/>
    <n v="9"/>
  </r>
  <r>
    <s v="ORD-01193"/>
    <x v="657"/>
    <x v="8"/>
    <x v="2"/>
    <x v="1"/>
    <x v="2"/>
    <x v="1"/>
    <x v="0"/>
    <n v="3"/>
    <n v="36671"/>
    <n v="110013"/>
    <n v="0"/>
    <n v="0"/>
    <n v="110013"/>
    <n v="53909.54"/>
    <n v="56103.46"/>
    <s v="Sep"/>
    <n v="2026"/>
    <n v="9"/>
  </r>
  <r>
    <s v="ORD-00843"/>
    <x v="658"/>
    <x v="0"/>
    <x v="0"/>
    <x v="3"/>
    <x v="4"/>
    <x v="1"/>
    <x v="0"/>
    <n v="1"/>
    <n v="15927"/>
    <n v="15927"/>
    <n v="0"/>
    <n v="0"/>
    <n v="15927"/>
    <n v="8991.9699999999993"/>
    <n v="6935.0300000000007"/>
    <s v="Sep"/>
    <n v="2026"/>
    <n v="9"/>
  </r>
  <r>
    <s v="ORD-01103"/>
    <x v="659"/>
    <x v="9"/>
    <x v="0"/>
    <x v="2"/>
    <x v="3"/>
    <x v="0"/>
    <x v="0"/>
    <n v="2"/>
    <n v="46530"/>
    <n v="93060"/>
    <n v="0"/>
    <n v="0"/>
    <n v="93060"/>
    <n v="50934.97"/>
    <n v="42125.03"/>
    <s v="Sep"/>
    <n v="2026"/>
    <n v="9"/>
  </r>
  <r>
    <s v="ORD-01186"/>
    <x v="660"/>
    <x v="2"/>
    <x v="2"/>
    <x v="1"/>
    <x v="3"/>
    <x v="0"/>
    <x v="0"/>
    <n v="2"/>
    <n v="42844"/>
    <n v="85688"/>
    <n v="0"/>
    <n v="0"/>
    <n v="85688"/>
    <n v="45825.78"/>
    <n v="39862.22"/>
    <s v="Sep"/>
    <n v="2026"/>
    <n v="9"/>
  </r>
  <r>
    <s v="ORD-00922"/>
    <x v="660"/>
    <x v="7"/>
    <x v="2"/>
    <x v="0"/>
    <x v="4"/>
    <x v="1"/>
    <x v="0"/>
    <n v="2"/>
    <n v="48347"/>
    <n v="96694"/>
    <n v="14504.1"/>
    <n v="0.15"/>
    <n v="82189.899999999994"/>
    <n v="61205.1"/>
    <n v="20984.799999999996"/>
    <s v="Sep"/>
    <n v="2026"/>
    <n v="9"/>
  </r>
  <r>
    <s v="ORD-00905"/>
    <x v="661"/>
    <x v="7"/>
    <x v="2"/>
    <x v="0"/>
    <x v="1"/>
    <x v="1"/>
    <x v="0"/>
    <n v="4"/>
    <n v="53445"/>
    <n v="213780"/>
    <n v="0"/>
    <n v="0"/>
    <n v="213780"/>
    <n v="119732"/>
    <n v="94048"/>
    <s v="Sep"/>
    <n v="2026"/>
    <n v="9"/>
  </r>
  <r>
    <s v="ORD-00579"/>
    <x v="661"/>
    <x v="5"/>
    <x v="2"/>
    <x v="1"/>
    <x v="0"/>
    <x v="0"/>
    <x v="0"/>
    <n v="1"/>
    <n v="17089"/>
    <n v="17089"/>
    <n v="0"/>
    <n v="0"/>
    <n v="17089"/>
    <n v="8731.94"/>
    <n v="8357.06"/>
    <s v="Sep"/>
    <n v="2026"/>
    <n v="9"/>
  </r>
  <r>
    <s v="ORD-01091"/>
    <x v="661"/>
    <x v="9"/>
    <x v="0"/>
    <x v="2"/>
    <x v="4"/>
    <x v="0"/>
    <x v="0"/>
    <n v="1"/>
    <n v="46263"/>
    <n v="46263"/>
    <n v="0"/>
    <n v="0"/>
    <n v="46263"/>
    <n v="28526.51"/>
    <n v="17736.490000000002"/>
    <s v="Sep"/>
    <n v="2026"/>
    <n v="9"/>
  </r>
  <r>
    <s v="ORD-00311"/>
    <x v="662"/>
    <x v="7"/>
    <x v="2"/>
    <x v="3"/>
    <x v="3"/>
    <x v="1"/>
    <x v="0"/>
    <n v="1"/>
    <n v="52093"/>
    <n v="52093"/>
    <n v="0"/>
    <n v="0"/>
    <n v="52093"/>
    <n v="31650.68"/>
    <n v="20442.32"/>
    <s v="Sep"/>
    <n v="2026"/>
    <n v="9"/>
  </r>
  <r>
    <s v="ORD-00304"/>
    <x v="663"/>
    <x v="8"/>
    <x v="2"/>
    <x v="2"/>
    <x v="3"/>
    <x v="1"/>
    <x v="0"/>
    <n v="3"/>
    <n v="40457"/>
    <n v="121371"/>
    <n v="0"/>
    <n v="0"/>
    <n v="121371"/>
    <n v="71605.7"/>
    <n v="49765.3"/>
    <s v="Sep"/>
    <n v="2026"/>
    <n v="9"/>
  </r>
  <r>
    <s v="ORD-00255"/>
    <x v="663"/>
    <x v="5"/>
    <x v="2"/>
    <x v="0"/>
    <x v="1"/>
    <x v="1"/>
    <x v="0"/>
    <n v="2"/>
    <n v="17758"/>
    <n v="35516"/>
    <n v="0"/>
    <n v="0"/>
    <n v="35516"/>
    <n v="20421.349999999999"/>
    <n v="15094.650000000001"/>
    <s v="Sep"/>
    <n v="2026"/>
    <n v="9"/>
  </r>
  <r>
    <s v="ORD-00844"/>
    <x v="663"/>
    <x v="6"/>
    <x v="1"/>
    <x v="0"/>
    <x v="0"/>
    <x v="0"/>
    <x v="0"/>
    <n v="2"/>
    <n v="28581"/>
    <n v="57162"/>
    <n v="2858.1"/>
    <n v="0.05"/>
    <n v="54303.9"/>
    <n v="32809.22"/>
    <n v="21494.68"/>
    <s v="Sep"/>
    <n v="2026"/>
    <n v="9"/>
  </r>
  <r>
    <s v="ORD-00789"/>
    <x v="663"/>
    <x v="7"/>
    <x v="2"/>
    <x v="0"/>
    <x v="0"/>
    <x v="0"/>
    <x v="0"/>
    <n v="1"/>
    <n v="51249"/>
    <n v="51249"/>
    <n v="0"/>
    <n v="0"/>
    <n v="51249"/>
    <n v="29573.55"/>
    <n v="21675.45"/>
    <s v="Sep"/>
    <n v="2026"/>
    <n v="9"/>
  </r>
  <r>
    <s v="ORD-01094"/>
    <x v="664"/>
    <x v="5"/>
    <x v="2"/>
    <x v="0"/>
    <x v="3"/>
    <x v="0"/>
    <x v="0"/>
    <n v="4"/>
    <n v="17413"/>
    <n v="69652"/>
    <n v="0"/>
    <n v="0"/>
    <n v="69652"/>
    <n v="36551.94"/>
    <n v="33100.06"/>
    <s v="Sep"/>
    <n v="2026"/>
    <n v="9"/>
  </r>
  <r>
    <s v="ORD-01097"/>
    <x v="664"/>
    <x v="3"/>
    <x v="0"/>
    <x v="3"/>
    <x v="4"/>
    <x v="0"/>
    <x v="0"/>
    <n v="3"/>
    <n v="12278"/>
    <n v="36834"/>
    <n v="0"/>
    <n v="0"/>
    <n v="36834"/>
    <n v="20639.05"/>
    <n v="16194.95"/>
    <s v="Sep"/>
    <n v="2026"/>
    <n v="9"/>
  </r>
  <r>
    <s v="ORD-00058"/>
    <x v="665"/>
    <x v="0"/>
    <x v="0"/>
    <x v="0"/>
    <x v="0"/>
    <x v="1"/>
    <x v="0"/>
    <n v="1"/>
    <n v="14574"/>
    <n v="14574"/>
    <n v="0"/>
    <n v="0"/>
    <n v="14574"/>
    <n v="7443.79"/>
    <n v="7130.21"/>
    <s v="Sep"/>
    <n v="2026"/>
    <n v="9"/>
  </r>
  <r>
    <s v="ORD-00554"/>
    <x v="666"/>
    <x v="6"/>
    <x v="1"/>
    <x v="0"/>
    <x v="3"/>
    <x v="1"/>
    <x v="0"/>
    <n v="1"/>
    <n v="30809"/>
    <n v="30809"/>
    <n v="3080.9"/>
    <n v="0.1"/>
    <n v="27728.1"/>
    <n v="18994.36"/>
    <n v="8733.739999999998"/>
    <s v="Sep"/>
    <n v="2026"/>
    <n v="9"/>
  </r>
  <r>
    <s v="ORD-00808"/>
    <x v="666"/>
    <x v="4"/>
    <x v="2"/>
    <x v="1"/>
    <x v="4"/>
    <x v="0"/>
    <x v="0"/>
    <n v="2"/>
    <n v="24727"/>
    <n v="49454"/>
    <n v="0"/>
    <n v="0"/>
    <n v="49454"/>
    <n v="28846.98"/>
    <n v="20607.02"/>
    <s v="Sep"/>
    <n v="2026"/>
    <n v="9"/>
  </r>
  <r>
    <s v="ORD-00342"/>
    <x v="666"/>
    <x v="9"/>
    <x v="0"/>
    <x v="2"/>
    <x v="4"/>
    <x v="0"/>
    <x v="0"/>
    <n v="1"/>
    <n v="44566"/>
    <n v="44566"/>
    <n v="0"/>
    <n v="0"/>
    <n v="44566"/>
    <n v="24787.18"/>
    <n v="19778.82"/>
    <s v="Sep"/>
    <n v="2026"/>
    <n v="9"/>
  </r>
  <r>
    <s v="ORD-01004"/>
    <x v="667"/>
    <x v="4"/>
    <x v="2"/>
    <x v="0"/>
    <x v="3"/>
    <x v="1"/>
    <x v="0"/>
    <n v="1"/>
    <n v="26210"/>
    <n v="26210"/>
    <n v="0"/>
    <n v="0"/>
    <n v="26210"/>
    <n v="16652.62"/>
    <n v="9557.380000000001"/>
    <s v="Sep"/>
    <n v="2026"/>
    <n v="9"/>
  </r>
  <r>
    <s v="ORD-00301"/>
    <x v="668"/>
    <x v="7"/>
    <x v="2"/>
    <x v="1"/>
    <x v="3"/>
    <x v="1"/>
    <x v="0"/>
    <n v="1"/>
    <n v="50819"/>
    <n v="50819"/>
    <n v="0"/>
    <n v="0"/>
    <n v="50819"/>
    <n v="26769.55"/>
    <n v="24049.45"/>
    <s v="Sep"/>
    <n v="2026"/>
    <n v="9"/>
  </r>
  <r>
    <s v="ORD-00891"/>
    <x v="668"/>
    <x v="5"/>
    <x v="2"/>
    <x v="1"/>
    <x v="4"/>
    <x v="1"/>
    <x v="0"/>
    <n v="5"/>
    <n v="17379"/>
    <n v="86895"/>
    <n v="0"/>
    <n v="0"/>
    <n v="86895"/>
    <n v="49782.36"/>
    <n v="37112.639999999999"/>
    <s v="Sep"/>
    <n v="2026"/>
    <n v="9"/>
  </r>
  <r>
    <s v="ORD-00847"/>
    <x v="669"/>
    <x v="2"/>
    <x v="2"/>
    <x v="1"/>
    <x v="4"/>
    <x v="1"/>
    <x v="0"/>
    <n v="4"/>
    <n v="41548"/>
    <n v="166192"/>
    <n v="0"/>
    <n v="0"/>
    <n v="166192"/>
    <n v="88600.59"/>
    <n v="77591.41"/>
    <s v="Sep"/>
    <n v="2026"/>
    <n v="9"/>
  </r>
  <r>
    <s v="ORD-00307"/>
    <x v="669"/>
    <x v="2"/>
    <x v="2"/>
    <x v="0"/>
    <x v="2"/>
    <x v="1"/>
    <x v="0"/>
    <n v="1"/>
    <n v="40631"/>
    <n v="40631"/>
    <n v="0"/>
    <n v="0"/>
    <n v="40631"/>
    <n v="23951.279999999999"/>
    <n v="16679.72"/>
    <s v="Sep"/>
    <n v="2026"/>
    <n v="9"/>
  </r>
  <r>
    <s v="ORD-00792"/>
    <x v="670"/>
    <x v="8"/>
    <x v="2"/>
    <x v="1"/>
    <x v="3"/>
    <x v="1"/>
    <x v="0"/>
    <n v="4"/>
    <n v="38079"/>
    <n v="152316"/>
    <n v="0"/>
    <n v="0"/>
    <n v="152316"/>
    <n v="98924.83"/>
    <n v="53391.17"/>
    <s v="Oct"/>
    <n v="2026"/>
    <n v="10"/>
  </r>
  <r>
    <s v="ORD-00943"/>
    <x v="670"/>
    <x v="2"/>
    <x v="2"/>
    <x v="0"/>
    <x v="0"/>
    <x v="0"/>
    <x v="0"/>
    <n v="3"/>
    <n v="40875"/>
    <n v="122625"/>
    <n v="0"/>
    <n v="0"/>
    <n v="122625"/>
    <n v="59205.3"/>
    <n v="63419.7"/>
    <s v="Oct"/>
    <n v="2026"/>
    <n v="10"/>
  </r>
  <r>
    <s v="ORD-00849"/>
    <x v="671"/>
    <x v="4"/>
    <x v="2"/>
    <x v="3"/>
    <x v="3"/>
    <x v="0"/>
    <x v="0"/>
    <n v="5"/>
    <n v="25876"/>
    <n v="129380"/>
    <n v="0"/>
    <n v="0"/>
    <n v="129380"/>
    <n v="79937.73"/>
    <n v="49442.270000000004"/>
    <s v="Oct"/>
    <n v="2026"/>
    <n v="10"/>
  </r>
  <r>
    <s v="ORD-00346"/>
    <x v="672"/>
    <x v="7"/>
    <x v="2"/>
    <x v="0"/>
    <x v="4"/>
    <x v="0"/>
    <x v="0"/>
    <n v="1"/>
    <n v="51938"/>
    <n v="51938"/>
    <n v="0"/>
    <n v="0"/>
    <n v="51938"/>
    <n v="31142.12"/>
    <n v="20795.88"/>
    <s v="Oct"/>
    <n v="2026"/>
    <n v="10"/>
  </r>
  <r>
    <s v="ORD-00852"/>
    <x v="672"/>
    <x v="1"/>
    <x v="1"/>
    <x v="3"/>
    <x v="3"/>
    <x v="1"/>
    <x v="0"/>
    <n v="2"/>
    <n v="64959"/>
    <n v="129918"/>
    <n v="0"/>
    <n v="0"/>
    <n v="129918"/>
    <n v="65638.100000000006"/>
    <n v="64279.899999999994"/>
    <s v="Oct"/>
    <n v="2026"/>
    <n v="10"/>
  </r>
  <r>
    <s v="ORD-00406"/>
    <x v="672"/>
    <x v="3"/>
    <x v="0"/>
    <x v="3"/>
    <x v="3"/>
    <x v="1"/>
    <x v="0"/>
    <n v="4"/>
    <n v="11853"/>
    <n v="47412"/>
    <n v="4741.2"/>
    <n v="0.1"/>
    <n v="42670.8"/>
    <n v="31875.57"/>
    <n v="10795.230000000003"/>
    <s v="Oct"/>
    <n v="2026"/>
    <n v="10"/>
  </r>
  <r>
    <s v="ORD-00919"/>
    <x v="673"/>
    <x v="8"/>
    <x v="2"/>
    <x v="3"/>
    <x v="3"/>
    <x v="0"/>
    <x v="0"/>
    <n v="4"/>
    <n v="39631"/>
    <n v="158524"/>
    <n v="0"/>
    <n v="0"/>
    <n v="158524"/>
    <n v="82786.240000000005"/>
    <n v="75737.759999999995"/>
    <s v="Oct"/>
    <n v="2026"/>
    <n v="10"/>
  </r>
  <r>
    <s v="ORD-00349"/>
    <x v="674"/>
    <x v="5"/>
    <x v="2"/>
    <x v="3"/>
    <x v="2"/>
    <x v="1"/>
    <x v="0"/>
    <n v="2"/>
    <n v="19394"/>
    <n v="38788"/>
    <n v="0"/>
    <n v="0"/>
    <n v="38788"/>
    <n v="24488.87"/>
    <n v="14299.130000000001"/>
    <s v="Oct"/>
    <n v="2026"/>
    <n v="10"/>
  </r>
  <r>
    <s v="ORD-00128"/>
    <x v="675"/>
    <x v="9"/>
    <x v="0"/>
    <x v="1"/>
    <x v="0"/>
    <x v="1"/>
    <x v="0"/>
    <n v="2"/>
    <n v="46171"/>
    <n v="92342"/>
    <n v="0"/>
    <n v="0"/>
    <n v="92342"/>
    <n v="55337.26"/>
    <n v="37004.74"/>
    <s v="Oct"/>
    <n v="2026"/>
    <n v="10"/>
  </r>
  <r>
    <s v="ORD-00328"/>
    <x v="675"/>
    <x v="3"/>
    <x v="0"/>
    <x v="3"/>
    <x v="3"/>
    <x v="0"/>
    <x v="0"/>
    <n v="3"/>
    <n v="11281"/>
    <n v="33843"/>
    <n v="0"/>
    <n v="0"/>
    <n v="33843"/>
    <n v="16975.95"/>
    <n v="16867.05"/>
    <s v="Oct"/>
    <n v="2026"/>
    <n v="10"/>
  </r>
  <r>
    <s v="ORD-00854"/>
    <x v="676"/>
    <x v="7"/>
    <x v="2"/>
    <x v="2"/>
    <x v="4"/>
    <x v="1"/>
    <x v="0"/>
    <n v="1"/>
    <n v="52843"/>
    <n v="52843"/>
    <n v="0"/>
    <n v="0"/>
    <n v="52843"/>
    <n v="26168.91"/>
    <n v="26674.09"/>
    <s v="Oct"/>
    <n v="2026"/>
    <n v="10"/>
  </r>
  <r>
    <s v="ORD-00194"/>
    <x v="677"/>
    <x v="3"/>
    <x v="0"/>
    <x v="3"/>
    <x v="1"/>
    <x v="0"/>
    <x v="0"/>
    <n v="1"/>
    <n v="12539"/>
    <n v="12539"/>
    <n v="0"/>
    <n v="0"/>
    <n v="12539"/>
    <n v="6450.29"/>
    <n v="6088.71"/>
    <s v="Oct"/>
    <n v="2026"/>
    <n v="10"/>
  </r>
  <r>
    <s v="ORD-00364"/>
    <x v="678"/>
    <x v="3"/>
    <x v="0"/>
    <x v="0"/>
    <x v="2"/>
    <x v="1"/>
    <x v="0"/>
    <n v="2"/>
    <n v="12428"/>
    <n v="24856"/>
    <n v="3728.4"/>
    <n v="0.15"/>
    <n v="21127.599999999999"/>
    <n v="15484.79"/>
    <n v="5642.8099999999977"/>
    <s v="Oct"/>
    <n v="2026"/>
    <n v="10"/>
  </r>
  <r>
    <s v="ORD-00533"/>
    <x v="678"/>
    <x v="6"/>
    <x v="1"/>
    <x v="1"/>
    <x v="4"/>
    <x v="1"/>
    <x v="0"/>
    <n v="5"/>
    <n v="31376"/>
    <n v="156880"/>
    <n v="0"/>
    <n v="0"/>
    <n v="156880"/>
    <n v="84717.3"/>
    <n v="72162.7"/>
    <s v="Oct"/>
    <n v="2026"/>
    <n v="10"/>
  </r>
  <r>
    <s v="ORD-00187"/>
    <x v="679"/>
    <x v="4"/>
    <x v="2"/>
    <x v="1"/>
    <x v="2"/>
    <x v="1"/>
    <x v="0"/>
    <n v="1"/>
    <n v="23828"/>
    <n v="23828"/>
    <n v="0"/>
    <n v="0"/>
    <n v="23828"/>
    <n v="11766.3"/>
    <n v="12061.7"/>
    <s v="Oct"/>
    <n v="2026"/>
    <n v="10"/>
  </r>
  <r>
    <s v="ORD-00062"/>
    <x v="679"/>
    <x v="7"/>
    <x v="2"/>
    <x v="1"/>
    <x v="3"/>
    <x v="0"/>
    <x v="0"/>
    <n v="2"/>
    <n v="49442"/>
    <n v="98884"/>
    <n v="0"/>
    <n v="0"/>
    <n v="98884"/>
    <n v="48940.26"/>
    <n v="49943.74"/>
    <s v="Oct"/>
    <n v="2026"/>
    <n v="10"/>
  </r>
  <r>
    <s v="ORD-00086"/>
    <x v="680"/>
    <x v="2"/>
    <x v="2"/>
    <x v="1"/>
    <x v="0"/>
    <x v="1"/>
    <x v="0"/>
    <n v="1"/>
    <n v="43652"/>
    <n v="43652"/>
    <n v="2182.6"/>
    <n v="0.05"/>
    <n v="41469.4"/>
    <n v="22784.959999999999"/>
    <n v="18684.440000000002"/>
    <s v="Oct"/>
    <n v="2026"/>
    <n v="10"/>
  </r>
  <r>
    <s v="ORD-00237"/>
    <x v="681"/>
    <x v="7"/>
    <x v="2"/>
    <x v="3"/>
    <x v="2"/>
    <x v="1"/>
    <x v="0"/>
    <n v="2"/>
    <n v="50798"/>
    <n v="101596"/>
    <n v="0"/>
    <n v="0"/>
    <n v="101596"/>
    <n v="66416.14"/>
    <n v="35179.86"/>
    <s v="Oct"/>
    <n v="2026"/>
    <n v="10"/>
  </r>
  <r>
    <s v="ORD-01021"/>
    <x v="681"/>
    <x v="8"/>
    <x v="2"/>
    <x v="1"/>
    <x v="0"/>
    <x v="1"/>
    <x v="0"/>
    <n v="2"/>
    <n v="36022"/>
    <n v="72044"/>
    <n v="10806.6"/>
    <n v="0.15"/>
    <n v="61237.4"/>
    <n v="38348.92"/>
    <n v="22888.480000000003"/>
    <s v="Oct"/>
    <n v="2026"/>
    <n v="10"/>
  </r>
  <r>
    <s v="ORD-00601"/>
    <x v="681"/>
    <x v="1"/>
    <x v="1"/>
    <x v="2"/>
    <x v="2"/>
    <x v="1"/>
    <x v="0"/>
    <n v="2"/>
    <n v="67462"/>
    <n v="134924"/>
    <n v="0"/>
    <n v="0"/>
    <n v="134924"/>
    <n v="91459.04"/>
    <n v="43464.960000000006"/>
    <s v="Oct"/>
    <n v="2026"/>
    <n v="10"/>
  </r>
  <r>
    <s v="ORD-00398"/>
    <x v="682"/>
    <x v="9"/>
    <x v="0"/>
    <x v="0"/>
    <x v="3"/>
    <x v="1"/>
    <x v="0"/>
    <n v="3"/>
    <n v="45959"/>
    <n v="137877"/>
    <n v="0"/>
    <n v="0"/>
    <n v="137877"/>
    <n v="80826.52"/>
    <n v="57050.479999999996"/>
    <s v="Oct"/>
    <n v="2026"/>
    <n v="10"/>
  </r>
  <r>
    <s v="ORD-00807"/>
    <x v="682"/>
    <x v="0"/>
    <x v="0"/>
    <x v="3"/>
    <x v="4"/>
    <x v="1"/>
    <x v="0"/>
    <n v="3"/>
    <n v="14890"/>
    <n v="44670"/>
    <n v="0"/>
    <n v="0"/>
    <n v="44670"/>
    <n v="30215.48"/>
    <n v="14454.52"/>
    <s v="Oct"/>
    <n v="2026"/>
    <n v="10"/>
  </r>
  <r>
    <s v="ORD-00117"/>
    <x v="682"/>
    <x v="5"/>
    <x v="2"/>
    <x v="3"/>
    <x v="4"/>
    <x v="0"/>
    <x v="0"/>
    <n v="1"/>
    <n v="18700"/>
    <n v="18700"/>
    <n v="0"/>
    <n v="0"/>
    <n v="18700"/>
    <n v="12352.83"/>
    <n v="6347.17"/>
    <s v="Oct"/>
    <n v="2026"/>
    <n v="10"/>
  </r>
  <r>
    <s v="ORD-00051"/>
    <x v="683"/>
    <x v="3"/>
    <x v="0"/>
    <x v="0"/>
    <x v="3"/>
    <x v="0"/>
    <x v="0"/>
    <n v="2"/>
    <n v="11560"/>
    <n v="23120"/>
    <n v="1156"/>
    <n v="0.05"/>
    <n v="21964"/>
    <n v="14242.53"/>
    <n v="7721.4699999999993"/>
    <s v="Oct"/>
    <n v="2026"/>
    <n v="10"/>
  </r>
  <r>
    <s v="ORD-00391"/>
    <x v="683"/>
    <x v="2"/>
    <x v="2"/>
    <x v="3"/>
    <x v="3"/>
    <x v="0"/>
    <x v="0"/>
    <n v="3"/>
    <n v="42248"/>
    <n v="126744"/>
    <n v="0"/>
    <n v="0"/>
    <n v="126744"/>
    <n v="69438.55"/>
    <n v="57305.45"/>
    <s v="Oct"/>
    <n v="2026"/>
    <n v="10"/>
  </r>
  <r>
    <s v="ORD-00967"/>
    <x v="684"/>
    <x v="2"/>
    <x v="2"/>
    <x v="0"/>
    <x v="2"/>
    <x v="0"/>
    <x v="0"/>
    <n v="1"/>
    <n v="40485"/>
    <n v="40485"/>
    <n v="0"/>
    <n v="0"/>
    <n v="40485"/>
    <n v="21165.62"/>
    <n v="19319.38"/>
    <s v="Oct"/>
    <n v="2026"/>
    <n v="10"/>
  </r>
  <r>
    <s v="ORD-00476"/>
    <x v="685"/>
    <x v="2"/>
    <x v="2"/>
    <x v="1"/>
    <x v="4"/>
    <x v="1"/>
    <x v="0"/>
    <n v="2"/>
    <n v="44407"/>
    <n v="88814"/>
    <n v="0"/>
    <n v="0"/>
    <n v="88814"/>
    <n v="56561.57"/>
    <n v="32252.43"/>
    <s v="Oct"/>
    <n v="2026"/>
    <n v="10"/>
  </r>
  <r>
    <s v="ORD-00862"/>
    <x v="685"/>
    <x v="6"/>
    <x v="1"/>
    <x v="0"/>
    <x v="2"/>
    <x v="1"/>
    <x v="0"/>
    <n v="4"/>
    <n v="29761"/>
    <n v="119044"/>
    <n v="0"/>
    <n v="0"/>
    <n v="119044"/>
    <n v="64466.02"/>
    <n v="54577.98"/>
    <s v="Oct"/>
    <n v="2026"/>
    <n v="10"/>
  </r>
  <r>
    <s v="ORD-00050"/>
    <x v="686"/>
    <x v="6"/>
    <x v="1"/>
    <x v="0"/>
    <x v="4"/>
    <x v="1"/>
    <x v="0"/>
    <n v="1"/>
    <n v="28520"/>
    <n v="28520"/>
    <n v="0"/>
    <n v="0"/>
    <n v="28520"/>
    <n v="14982.45"/>
    <n v="13537.55"/>
    <s v="Oct"/>
    <n v="2026"/>
    <n v="10"/>
  </r>
  <r>
    <s v="ORD-00673"/>
    <x v="687"/>
    <x v="5"/>
    <x v="2"/>
    <x v="3"/>
    <x v="0"/>
    <x v="0"/>
    <x v="0"/>
    <n v="2"/>
    <n v="18915"/>
    <n v="37830"/>
    <n v="0"/>
    <n v="0"/>
    <n v="37830"/>
    <n v="24746.85"/>
    <n v="13083.150000000001"/>
    <s v="Oct"/>
    <n v="2026"/>
    <n v="10"/>
  </r>
  <r>
    <s v="ORD-00104"/>
    <x v="688"/>
    <x v="4"/>
    <x v="2"/>
    <x v="3"/>
    <x v="0"/>
    <x v="0"/>
    <x v="0"/>
    <n v="1"/>
    <n v="23562"/>
    <n v="23562"/>
    <n v="0"/>
    <n v="0"/>
    <n v="23562"/>
    <n v="12177.9"/>
    <n v="11384.1"/>
    <s v="Oct"/>
    <n v="2026"/>
    <n v="10"/>
  </r>
  <r>
    <s v="ORD-00532"/>
    <x v="688"/>
    <x v="3"/>
    <x v="0"/>
    <x v="3"/>
    <x v="4"/>
    <x v="1"/>
    <x v="0"/>
    <n v="4"/>
    <n v="11910"/>
    <n v="47640"/>
    <n v="0"/>
    <n v="0"/>
    <n v="47640"/>
    <n v="29809.65"/>
    <n v="17830.349999999999"/>
    <s v="Oct"/>
    <n v="2026"/>
    <n v="10"/>
  </r>
  <r>
    <s v="ORD-00632"/>
    <x v="688"/>
    <x v="2"/>
    <x v="2"/>
    <x v="3"/>
    <x v="4"/>
    <x v="0"/>
    <x v="0"/>
    <n v="2"/>
    <n v="42827"/>
    <n v="85654"/>
    <n v="12848.1"/>
    <n v="0.15"/>
    <n v="72805.899999999994"/>
    <n v="49742.559999999998"/>
    <n v="23063.339999999997"/>
    <s v="Oct"/>
    <n v="2026"/>
    <n v="10"/>
  </r>
  <r>
    <s v="ORD-00672"/>
    <x v="689"/>
    <x v="9"/>
    <x v="0"/>
    <x v="0"/>
    <x v="3"/>
    <x v="1"/>
    <x v="0"/>
    <n v="1"/>
    <n v="44044"/>
    <n v="44044"/>
    <n v="0"/>
    <n v="0"/>
    <n v="44044"/>
    <n v="24385.360000000001"/>
    <n v="19658.64"/>
    <s v="Oct"/>
    <n v="2026"/>
    <n v="10"/>
  </r>
  <r>
    <s v="ORD-00933"/>
    <x v="690"/>
    <x v="3"/>
    <x v="0"/>
    <x v="1"/>
    <x v="4"/>
    <x v="0"/>
    <x v="0"/>
    <n v="1"/>
    <n v="11624"/>
    <n v="11624"/>
    <n v="0"/>
    <n v="0"/>
    <n v="11624"/>
    <n v="5627.13"/>
    <n v="5996.87"/>
    <s v="Oct"/>
    <n v="2026"/>
    <n v="10"/>
  </r>
  <r>
    <s v="ORD-00506"/>
    <x v="690"/>
    <x v="5"/>
    <x v="2"/>
    <x v="3"/>
    <x v="0"/>
    <x v="1"/>
    <x v="0"/>
    <n v="3"/>
    <n v="17166"/>
    <n v="51498"/>
    <n v="0"/>
    <n v="0"/>
    <n v="51498"/>
    <n v="31187.5"/>
    <n v="20310.5"/>
    <s v="Oct"/>
    <n v="2026"/>
    <n v="10"/>
  </r>
  <r>
    <s v="ORD-00448"/>
    <x v="691"/>
    <x v="9"/>
    <x v="0"/>
    <x v="1"/>
    <x v="3"/>
    <x v="0"/>
    <x v="0"/>
    <n v="1"/>
    <n v="43735"/>
    <n v="43735"/>
    <n v="0"/>
    <n v="0"/>
    <n v="43735"/>
    <n v="28197.23"/>
    <n v="15537.77"/>
    <s v="Oct"/>
    <n v="2026"/>
    <n v="10"/>
  </r>
  <r>
    <s v="ORD-00498"/>
    <x v="692"/>
    <x v="3"/>
    <x v="0"/>
    <x v="2"/>
    <x v="4"/>
    <x v="1"/>
    <x v="4"/>
    <n v="1"/>
    <n v="12518"/>
    <n v="12518"/>
    <n v="625.9"/>
    <n v="0.05"/>
    <n v="11892.1"/>
    <n v="8483.42"/>
    <n v="3408.6800000000003"/>
    <s v="Nov"/>
    <n v="2026"/>
    <n v="11"/>
  </r>
  <r>
    <s v="ORD-00112"/>
    <x v="693"/>
    <x v="7"/>
    <x v="2"/>
    <x v="0"/>
    <x v="4"/>
    <x v="1"/>
    <x v="4"/>
    <n v="1"/>
    <n v="53506"/>
    <n v="53506"/>
    <n v="8025.9"/>
    <n v="0.15"/>
    <n v="45480.1"/>
    <n v="33880.69"/>
    <n v="11599.409999999996"/>
    <s v="Nov"/>
    <n v="2026"/>
    <n v="11"/>
  </r>
  <r>
    <s v="ORD-00801"/>
    <x v="693"/>
    <x v="9"/>
    <x v="0"/>
    <x v="1"/>
    <x v="0"/>
    <x v="0"/>
    <x v="4"/>
    <n v="2"/>
    <n v="41832"/>
    <n v="83664"/>
    <n v="8366.4"/>
    <n v="0.1"/>
    <n v="75297.600000000006"/>
    <n v="42563.02"/>
    <n v="32734.580000000009"/>
    <s v="Nov"/>
    <n v="2026"/>
    <n v="11"/>
  </r>
  <r>
    <s v="ORD-00679"/>
    <x v="693"/>
    <x v="3"/>
    <x v="0"/>
    <x v="1"/>
    <x v="4"/>
    <x v="1"/>
    <x v="4"/>
    <n v="3"/>
    <n v="12216"/>
    <n v="36648"/>
    <n v="3664.8"/>
    <n v="0.1"/>
    <n v="32983.199999999997"/>
    <n v="21604.85"/>
    <n v="11378.349999999999"/>
    <s v="Nov"/>
    <n v="2026"/>
    <n v="11"/>
  </r>
  <r>
    <s v="ORD-00366"/>
    <x v="694"/>
    <x v="2"/>
    <x v="2"/>
    <x v="0"/>
    <x v="2"/>
    <x v="0"/>
    <x v="0"/>
    <n v="4"/>
    <n v="38767"/>
    <n v="155068"/>
    <n v="0"/>
    <n v="0"/>
    <n v="155068"/>
    <n v="80895.86"/>
    <n v="74172.14"/>
    <s v="Nov"/>
    <n v="2026"/>
    <n v="11"/>
  </r>
  <r>
    <s v="ORD-01077"/>
    <x v="694"/>
    <x v="9"/>
    <x v="0"/>
    <x v="2"/>
    <x v="3"/>
    <x v="1"/>
    <x v="4"/>
    <n v="3"/>
    <n v="42461"/>
    <n v="127383"/>
    <n v="6369.15"/>
    <n v="0.05"/>
    <n v="121013.85"/>
    <n v="83884.27"/>
    <n v="37129.58"/>
    <s v="Nov"/>
    <n v="2026"/>
    <n v="11"/>
  </r>
  <r>
    <s v="ORD-01048"/>
    <x v="695"/>
    <x v="6"/>
    <x v="1"/>
    <x v="0"/>
    <x v="1"/>
    <x v="1"/>
    <x v="4"/>
    <n v="1"/>
    <n v="28274"/>
    <n v="28274"/>
    <n v="2827.4"/>
    <n v="0.1"/>
    <n v="25446.6"/>
    <n v="17393.55"/>
    <n v="8053.0499999999993"/>
    <s v="Nov"/>
    <n v="2026"/>
    <n v="11"/>
  </r>
  <r>
    <s v="ORD-01003"/>
    <x v="695"/>
    <x v="0"/>
    <x v="0"/>
    <x v="1"/>
    <x v="4"/>
    <x v="1"/>
    <x v="4"/>
    <n v="3"/>
    <n v="14240"/>
    <n v="42720"/>
    <n v="4272"/>
    <n v="0.1"/>
    <n v="38448"/>
    <n v="28147.21"/>
    <n v="10300.790000000001"/>
    <s v="Nov"/>
    <n v="2026"/>
    <n v="11"/>
  </r>
  <r>
    <s v="ORD-01064"/>
    <x v="695"/>
    <x v="8"/>
    <x v="2"/>
    <x v="0"/>
    <x v="3"/>
    <x v="1"/>
    <x v="4"/>
    <n v="1"/>
    <n v="35249"/>
    <n v="35249"/>
    <n v="5287.35"/>
    <n v="0.15"/>
    <n v="29961.65"/>
    <n v="17426.23"/>
    <n v="12535.420000000002"/>
    <s v="Nov"/>
    <n v="2026"/>
    <n v="11"/>
  </r>
  <r>
    <s v="ORD-00419"/>
    <x v="696"/>
    <x v="2"/>
    <x v="2"/>
    <x v="0"/>
    <x v="4"/>
    <x v="1"/>
    <x v="4"/>
    <n v="1"/>
    <n v="43532"/>
    <n v="43532"/>
    <n v="2176.6"/>
    <n v="0.05"/>
    <n v="41355.4"/>
    <n v="23137.07"/>
    <n v="18218.330000000002"/>
    <s v="Nov"/>
    <n v="2026"/>
    <n v="11"/>
  </r>
  <r>
    <s v="ORD-00915"/>
    <x v="696"/>
    <x v="3"/>
    <x v="0"/>
    <x v="2"/>
    <x v="2"/>
    <x v="1"/>
    <x v="4"/>
    <n v="2"/>
    <n v="12655"/>
    <n v="25310"/>
    <n v="5062"/>
    <n v="0.2"/>
    <n v="20248"/>
    <n v="13877.51"/>
    <n v="6370.49"/>
    <s v="Nov"/>
    <n v="2026"/>
    <n v="11"/>
  </r>
  <r>
    <s v="ORD-01172"/>
    <x v="697"/>
    <x v="6"/>
    <x v="1"/>
    <x v="0"/>
    <x v="3"/>
    <x v="1"/>
    <x v="4"/>
    <n v="4"/>
    <n v="32342"/>
    <n v="129368"/>
    <n v="6468.4"/>
    <n v="0.05"/>
    <n v="122899.6"/>
    <n v="79720.12"/>
    <n v="43179.48000000001"/>
    <s v="Nov"/>
    <n v="2026"/>
    <n v="11"/>
  </r>
  <r>
    <s v="ORD-00003"/>
    <x v="698"/>
    <x v="6"/>
    <x v="1"/>
    <x v="1"/>
    <x v="1"/>
    <x v="0"/>
    <x v="4"/>
    <n v="4"/>
    <n v="31535"/>
    <n v="126140"/>
    <n v="6307"/>
    <n v="0.05"/>
    <n v="119833"/>
    <n v="83471.92"/>
    <n v="36361.08"/>
    <s v="Nov"/>
    <n v="2026"/>
    <n v="11"/>
  </r>
  <r>
    <s v="ORD-00224"/>
    <x v="699"/>
    <x v="5"/>
    <x v="2"/>
    <x v="3"/>
    <x v="0"/>
    <x v="0"/>
    <x v="4"/>
    <n v="2"/>
    <n v="16901"/>
    <n v="33802"/>
    <n v="3380.2"/>
    <n v="0.1"/>
    <n v="30421.8"/>
    <n v="18327.46"/>
    <n v="12094.34"/>
    <s v="Nov"/>
    <n v="2026"/>
    <n v="11"/>
  </r>
  <r>
    <s v="ORD-00786"/>
    <x v="700"/>
    <x v="1"/>
    <x v="1"/>
    <x v="0"/>
    <x v="1"/>
    <x v="1"/>
    <x v="4"/>
    <n v="3"/>
    <n v="63168"/>
    <n v="189504"/>
    <n v="18950.400000000001"/>
    <n v="0.1"/>
    <n v="170553.60000000001"/>
    <n v="124601.27"/>
    <n v="45952.33"/>
    <s v="Nov"/>
    <n v="2026"/>
    <n v="11"/>
  </r>
  <r>
    <s v="ORD-00553"/>
    <x v="700"/>
    <x v="5"/>
    <x v="2"/>
    <x v="2"/>
    <x v="3"/>
    <x v="0"/>
    <x v="4"/>
    <n v="1"/>
    <n v="18178"/>
    <n v="18178"/>
    <n v="908.9"/>
    <n v="0.05"/>
    <n v="17269.099999999999"/>
    <n v="9032.18"/>
    <n v="8236.9199999999983"/>
    <s v="Nov"/>
    <n v="2026"/>
    <n v="11"/>
  </r>
  <r>
    <s v="ORD-00433"/>
    <x v="701"/>
    <x v="7"/>
    <x v="2"/>
    <x v="2"/>
    <x v="1"/>
    <x v="1"/>
    <x v="4"/>
    <n v="4"/>
    <n v="52636"/>
    <n v="210544"/>
    <n v="21054.400000000001"/>
    <n v="0.1"/>
    <n v="189489.6"/>
    <n v="140449.46"/>
    <n v="49040.140000000014"/>
    <s v="Nov"/>
    <n v="2026"/>
    <n v="11"/>
  </r>
  <r>
    <s v="ORD-00733"/>
    <x v="702"/>
    <x v="4"/>
    <x v="2"/>
    <x v="2"/>
    <x v="4"/>
    <x v="1"/>
    <x v="0"/>
    <n v="1"/>
    <n v="23982"/>
    <n v="23982"/>
    <n v="0"/>
    <n v="0"/>
    <n v="23982"/>
    <n v="15321.54"/>
    <n v="8660.4599999999991"/>
    <s v="Nov"/>
    <n v="2026"/>
    <n v="11"/>
  </r>
  <r>
    <s v="ORD-00654"/>
    <x v="702"/>
    <x v="3"/>
    <x v="0"/>
    <x v="1"/>
    <x v="4"/>
    <x v="0"/>
    <x v="4"/>
    <n v="2"/>
    <n v="11584"/>
    <n v="23168"/>
    <n v="2316.8000000000002"/>
    <n v="0.1"/>
    <n v="20851.2"/>
    <n v="15024.28"/>
    <n v="5826.92"/>
    <s v="Nov"/>
    <n v="2026"/>
    <n v="11"/>
  </r>
  <r>
    <s v="ORD-00088"/>
    <x v="703"/>
    <x v="3"/>
    <x v="0"/>
    <x v="2"/>
    <x v="2"/>
    <x v="1"/>
    <x v="4"/>
    <n v="3"/>
    <n v="11827"/>
    <n v="35481"/>
    <n v="1774.05"/>
    <n v="0.05"/>
    <n v="33706.949999999997"/>
    <n v="19754.64"/>
    <n v="13952.309999999998"/>
    <s v="Nov"/>
    <n v="2026"/>
    <n v="11"/>
  </r>
  <r>
    <s v="ORD-00131"/>
    <x v="703"/>
    <x v="0"/>
    <x v="0"/>
    <x v="2"/>
    <x v="2"/>
    <x v="1"/>
    <x v="4"/>
    <n v="1"/>
    <n v="15984"/>
    <n v="15984"/>
    <n v="1598.4"/>
    <n v="0.1"/>
    <n v="14385.6"/>
    <n v="8362.99"/>
    <n v="6022.6100000000006"/>
    <s v="Nov"/>
    <n v="2026"/>
    <n v="11"/>
  </r>
  <r>
    <s v="ORD-00856"/>
    <x v="704"/>
    <x v="4"/>
    <x v="2"/>
    <x v="3"/>
    <x v="1"/>
    <x v="1"/>
    <x v="4"/>
    <n v="5"/>
    <n v="24879"/>
    <n v="124395"/>
    <n v="18659.25"/>
    <n v="0.15"/>
    <n v="105735.75"/>
    <n v="80687.02"/>
    <n v="25048.729999999996"/>
    <s v="Nov"/>
    <n v="2026"/>
    <n v="11"/>
  </r>
  <r>
    <s v="ORD-00219"/>
    <x v="705"/>
    <x v="1"/>
    <x v="1"/>
    <x v="0"/>
    <x v="0"/>
    <x v="0"/>
    <x v="4"/>
    <n v="3"/>
    <n v="69415"/>
    <n v="208245"/>
    <n v="10412.25"/>
    <n v="0.05"/>
    <n v="197832.75"/>
    <n v="123005.33"/>
    <n v="74827.42"/>
    <s v="Nov"/>
    <n v="2026"/>
    <n v="11"/>
  </r>
  <r>
    <s v="ORD-00093"/>
    <x v="705"/>
    <x v="0"/>
    <x v="0"/>
    <x v="2"/>
    <x v="4"/>
    <x v="1"/>
    <x v="0"/>
    <n v="1"/>
    <n v="15847"/>
    <n v="15847"/>
    <n v="0"/>
    <n v="0"/>
    <n v="15847"/>
    <n v="9570.64"/>
    <n v="6276.3600000000006"/>
    <s v="Nov"/>
    <n v="2026"/>
    <n v="11"/>
  </r>
  <r>
    <s v="ORD-00123"/>
    <x v="706"/>
    <x v="3"/>
    <x v="0"/>
    <x v="1"/>
    <x v="4"/>
    <x v="0"/>
    <x v="0"/>
    <n v="1"/>
    <n v="11904"/>
    <n v="11904"/>
    <n v="0"/>
    <n v="0"/>
    <n v="11904"/>
    <n v="7196.01"/>
    <n v="4707.99"/>
    <s v="Nov"/>
    <n v="2026"/>
    <n v="11"/>
  </r>
  <r>
    <s v="ORD-00193"/>
    <x v="707"/>
    <x v="0"/>
    <x v="0"/>
    <x v="0"/>
    <x v="4"/>
    <x v="1"/>
    <x v="4"/>
    <n v="1"/>
    <n v="15201"/>
    <n v="15201"/>
    <n v="2280.15"/>
    <n v="0.15"/>
    <n v="12920.85"/>
    <n v="7425.45"/>
    <n v="5495.4000000000005"/>
    <s v="Nov"/>
    <n v="2026"/>
    <n v="11"/>
  </r>
  <r>
    <s v="ORD-00248"/>
    <x v="707"/>
    <x v="7"/>
    <x v="2"/>
    <x v="0"/>
    <x v="2"/>
    <x v="1"/>
    <x v="4"/>
    <n v="2"/>
    <n v="48984"/>
    <n v="97968"/>
    <n v="14695.2"/>
    <n v="0.15"/>
    <n v="83272.800000000003"/>
    <n v="50303.77"/>
    <n v="32969.030000000006"/>
    <s v="Nov"/>
    <n v="2026"/>
    <n v="11"/>
  </r>
  <r>
    <s v="ORD-00683"/>
    <x v="708"/>
    <x v="5"/>
    <x v="2"/>
    <x v="0"/>
    <x v="4"/>
    <x v="1"/>
    <x v="0"/>
    <n v="1"/>
    <n v="17566"/>
    <n v="17566"/>
    <n v="0"/>
    <n v="0"/>
    <n v="17566"/>
    <n v="9810.92"/>
    <n v="7755.08"/>
    <s v="Nov"/>
    <n v="2026"/>
    <n v="11"/>
  </r>
  <r>
    <s v="ORD-00796"/>
    <x v="708"/>
    <x v="1"/>
    <x v="1"/>
    <x v="1"/>
    <x v="0"/>
    <x v="0"/>
    <x v="0"/>
    <n v="2"/>
    <n v="68117"/>
    <n v="136234"/>
    <n v="0"/>
    <n v="0"/>
    <n v="136234"/>
    <n v="72465.88"/>
    <n v="63768.119999999995"/>
    <s v="Nov"/>
    <n v="2026"/>
    <n v="11"/>
  </r>
  <r>
    <s v="ORD-00272"/>
    <x v="708"/>
    <x v="4"/>
    <x v="2"/>
    <x v="1"/>
    <x v="4"/>
    <x v="1"/>
    <x v="0"/>
    <n v="4"/>
    <n v="26689"/>
    <n v="106756"/>
    <n v="0"/>
    <n v="0"/>
    <n v="106756"/>
    <n v="64283.57"/>
    <n v="42472.43"/>
    <s v="Nov"/>
    <n v="2026"/>
    <n v="11"/>
  </r>
  <r>
    <s v="ORD-01121"/>
    <x v="708"/>
    <x v="3"/>
    <x v="0"/>
    <x v="1"/>
    <x v="0"/>
    <x v="1"/>
    <x v="4"/>
    <n v="3"/>
    <n v="11588"/>
    <n v="34764"/>
    <n v="1738.2"/>
    <n v="0.05"/>
    <n v="33025.800000000003"/>
    <n v="22840.78"/>
    <n v="10185.020000000004"/>
    <s v="Nov"/>
    <n v="2026"/>
    <n v="11"/>
  </r>
  <r>
    <s v="ORD-01053"/>
    <x v="708"/>
    <x v="1"/>
    <x v="1"/>
    <x v="3"/>
    <x v="3"/>
    <x v="1"/>
    <x v="4"/>
    <n v="1"/>
    <n v="68143"/>
    <n v="68143"/>
    <n v="10221.450000000001"/>
    <n v="0.15"/>
    <n v="57921.55"/>
    <n v="37429.089999999997"/>
    <n v="20492.460000000006"/>
    <s v="Nov"/>
    <n v="2026"/>
    <n v="11"/>
  </r>
  <r>
    <s v="ORD-00437"/>
    <x v="708"/>
    <x v="4"/>
    <x v="2"/>
    <x v="0"/>
    <x v="3"/>
    <x v="0"/>
    <x v="4"/>
    <n v="3"/>
    <n v="23233"/>
    <n v="69699"/>
    <n v="6969.9"/>
    <n v="0.1"/>
    <n v="62729.1"/>
    <n v="40067.29"/>
    <n v="22661.809999999998"/>
    <s v="Nov"/>
    <n v="2026"/>
    <n v="11"/>
  </r>
  <r>
    <s v="ORD-00716"/>
    <x v="709"/>
    <x v="7"/>
    <x v="2"/>
    <x v="3"/>
    <x v="1"/>
    <x v="1"/>
    <x v="4"/>
    <n v="3"/>
    <n v="48630"/>
    <n v="145890"/>
    <n v="21883.5"/>
    <n v="0.15"/>
    <n v="124006.5"/>
    <n v="95448.960000000006"/>
    <n v="28557.539999999994"/>
    <s v="Nov"/>
    <n v="2026"/>
    <n v="11"/>
  </r>
  <r>
    <s v="ORD-00074"/>
    <x v="710"/>
    <x v="7"/>
    <x v="2"/>
    <x v="3"/>
    <x v="1"/>
    <x v="1"/>
    <x v="4"/>
    <n v="2"/>
    <n v="49888"/>
    <n v="99776"/>
    <n v="4988.8"/>
    <n v="0.05"/>
    <n v="94787.199999999997"/>
    <n v="58284.51"/>
    <n v="36502.689999999995"/>
    <s v="Nov"/>
    <n v="2026"/>
    <n v="11"/>
  </r>
  <r>
    <s v="ORD-00779"/>
    <x v="711"/>
    <x v="6"/>
    <x v="1"/>
    <x v="2"/>
    <x v="1"/>
    <x v="1"/>
    <x v="5"/>
    <n v="2"/>
    <n v="27673"/>
    <n v="55346"/>
    <n v="5534.6"/>
    <n v="0.1"/>
    <n v="49811.4"/>
    <n v="29686.9"/>
    <n v="20124.5"/>
    <s v="Dec"/>
    <n v="2026"/>
    <n v="12"/>
  </r>
  <r>
    <s v="ORD-00439"/>
    <x v="711"/>
    <x v="8"/>
    <x v="2"/>
    <x v="0"/>
    <x v="3"/>
    <x v="1"/>
    <x v="5"/>
    <n v="3"/>
    <n v="35193"/>
    <n v="105579"/>
    <n v="15836.85"/>
    <n v="0.15"/>
    <n v="89742.15"/>
    <n v="71350.960000000006"/>
    <n v="18391.189999999988"/>
    <s v="Dec"/>
    <n v="2026"/>
    <n v="12"/>
  </r>
  <r>
    <s v="ORD-00378"/>
    <x v="712"/>
    <x v="2"/>
    <x v="2"/>
    <x v="0"/>
    <x v="4"/>
    <x v="0"/>
    <x v="5"/>
    <n v="3"/>
    <n v="44548"/>
    <n v="133644"/>
    <n v="13364.4"/>
    <n v="0.1"/>
    <n v="120279.6"/>
    <n v="67158.53"/>
    <n v="53121.070000000007"/>
    <s v="Dec"/>
    <n v="2026"/>
    <n v="12"/>
  </r>
  <r>
    <s v="ORD-01061"/>
    <x v="713"/>
    <x v="1"/>
    <x v="1"/>
    <x v="0"/>
    <x v="4"/>
    <x v="0"/>
    <x v="0"/>
    <n v="2"/>
    <n v="68653"/>
    <n v="137306"/>
    <n v="0"/>
    <n v="0"/>
    <n v="137306"/>
    <n v="73819.81"/>
    <n v="63486.19"/>
    <s v="Dec"/>
    <n v="2026"/>
    <n v="12"/>
  </r>
  <r>
    <s v="ORD-00245"/>
    <x v="714"/>
    <x v="1"/>
    <x v="1"/>
    <x v="1"/>
    <x v="4"/>
    <x v="0"/>
    <x v="5"/>
    <n v="3"/>
    <n v="68506"/>
    <n v="205518"/>
    <n v="10275.9"/>
    <n v="0.05"/>
    <n v="195242.1"/>
    <n v="121806.22"/>
    <n v="73435.88"/>
    <s v="Dec"/>
    <n v="2026"/>
    <n v="12"/>
  </r>
  <r>
    <s v="ORD-00641"/>
    <x v="714"/>
    <x v="2"/>
    <x v="2"/>
    <x v="0"/>
    <x v="3"/>
    <x v="1"/>
    <x v="5"/>
    <n v="3"/>
    <n v="42868"/>
    <n v="128604"/>
    <n v="12860.4"/>
    <n v="0.1"/>
    <n v="115743.6"/>
    <n v="80020.539999999994"/>
    <n v="35723.060000000012"/>
    <s v="Dec"/>
    <n v="2026"/>
    <n v="12"/>
  </r>
  <r>
    <s v="ORD-01169"/>
    <x v="715"/>
    <x v="5"/>
    <x v="2"/>
    <x v="0"/>
    <x v="4"/>
    <x v="0"/>
    <x v="5"/>
    <n v="3"/>
    <n v="17865"/>
    <n v="53595"/>
    <n v="5359.5"/>
    <n v="0.1"/>
    <n v="48235.5"/>
    <n v="35989.33"/>
    <n v="12246.169999999998"/>
    <s v="Dec"/>
    <n v="2026"/>
    <n v="12"/>
  </r>
  <r>
    <s v="ORD-00345"/>
    <x v="715"/>
    <x v="9"/>
    <x v="0"/>
    <x v="0"/>
    <x v="4"/>
    <x v="0"/>
    <x v="5"/>
    <n v="1"/>
    <n v="45751"/>
    <n v="45751"/>
    <n v="2287.5500000000002"/>
    <n v="0.05"/>
    <n v="43463.45"/>
    <n v="26749.71"/>
    <n v="16713.739999999998"/>
    <s v="Dec"/>
    <n v="2026"/>
    <n v="12"/>
  </r>
  <r>
    <s v="ORD-00094"/>
    <x v="716"/>
    <x v="3"/>
    <x v="0"/>
    <x v="3"/>
    <x v="4"/>
    <x v="0"/>
    <x v="5"/>
    <n v="1"/>
    <n v="12092"/>
    <n v="12092"/>
    <n v="1813.8"/>
    <n v="0.15"/>
    <n v="10278.200000000001"/>
    <n v="7937.52"/>
    <n v="2340.6800000000003"/>
    <s v="Dec"/>
    <n v="2026"/>
    <n v="12"/>
  </r>
  <r>
    <s v="ORD-00895"/>
    <x v="717"/>
    <x v="5"/>
    <x v="2"/>
    <x v="1"/>
    <x v="3"/>
    <x v="0"/>
    <x v="5"/>
    <n v="3"/>
    <n v="18549"/>
    <n v="55647"/>
    <n v="2782.35"/>
    <n v="0.05"/>
    <n v="52864.65"/>
    <n v="30930.39"/>
    <n v="21934.260000000002"/>
    <s v="Dec"/>
    <n v="2026"/>
    <n v="12"/>
  </r>
  <r>
    <s v="ORD-00241"/>
    <x v="717"/>
    <x v="5"/>
    <x v="2"/>
    <x v="3"/>
    <x v="4"/>
    <x v="1"/>
    <x v="5"/>
    <n v="4"/>
    <n v="18165"/>
    <n v="72660"/>
    <n v="7266"/>
    <n v="0.1"/>
    <n v="65394"/>
    <n v="44567.43"/>
    <n v="20826.57"/>
    <s v="Dec"/>
    <n v="2026"/>
    <n v="12"/>
  </r>
  <r>
    <s v="ORD-00631"/>
    <x v="718"/>
    <x v="4"/>
    <x v="2"/>
    <x v="1"/>
    <x v="1"/>
    <x v="0"/>
    <x v="0"/>
    <n v="2"/>
    <n v="26114"/>
    <n v="52228"/>
    <n v="0"/>
    <n v="0"/>
    <n v="52228"/>
    <n v="31346.799999999999"/>
    <n v="20881.2"/>
    <s v="Dec"/>
    <n v="2026"/>
    <n v="12"/>
  </r>
  <r>
    <s v="ORD-00942"/>
    <x v="718"/>
    <x v="1"/>
    <x v="1"/>
    <x v="1"/>
    <x v="2"/>
    <x v="0"/>
    <x v="5"/>
    <n v="4"/>
    <n v="69507"/>
    <n v="278028"/>
    <n v="41704.199999999997"/>
    <n v="0.15"/>
    <n v="236323.8"/>
    <n v="185685.73"/>
    <n v="50638.069999999978"/>
    <s v="Dec"/>
    <n v="2026"/>
    <n v="12"/>
  </r>
  <r>
    <s v="ORD-00067"/>
    <x v="719"/>
    <x v="1"/>
    <x v="1"/>
    <x v="2"/>
    <x v="4"/>
    <x v="1"/>
    <x v="5"/>
    <n v="1"/>
    <n v="64750"/>
    <n v="64750"/>
    <n v="9712.5"/>
    <n v="0.15"/>
    <n v="55037.5"/>
    <n v="36188.47"/>
    <n v="18849.03"/>
    <s v="Dec"/>
    <n v="2026"/>
    <n v="12"/>
  </r>
  <r>
    <s v="ORD-00306"/>
    <x v="719"/>
    <x v="8"/>
    <x v="2"/>
    <x v="3"/>
    <x v="4"/>
    <x v="0"/>
    <x v="5"/>
    <n v="1"/>
    <n v="35271"/>
    <n v="35271"/>
    <n v="5290.65"/>
    <n v="0.15"/>
    <n v="29980.35"/>
    <n v="20048.79"/>
    <n v="9931.5599999999977"/>
    <s v="Dec"/>
    <n v="2026"/>
    <n v="12"/>
  </r>
  <r>
    <s v="ORD-00975"/>
    <x v="719"/>
    <x v="3"/>
    <x v="0"/>
    <x v="2"/>
    <x v="4"/>
    <x v="1"/>
    <x v="0"/>
    <n v="2"/>
    <n v="11194"/>
    <n v="22388"/>
    <n v="0"/>
    <n v="0"/>
    <n v="22388"/>
    <n v="12639.18"/>
    <n v="9748.82"/>
    <s v="Dec"/>
    <n v="2026"/>
    <n v="12"/>
  </r>
  <r>
    <s v="ORD-00151"/>
    <x v="719"/>
    <x v="4"/>
    <x v="2"/>
    <x v="1"/>
    <x v="3"/>
    <x v="0"/>
    <x v="5"/>
    <n v="3"/>
    <n v="24224"/>
    <n v="72672"/>
    <n v="3633.6"/>
    <n v="0.05"/>
    <n v="69038.399999999994"/>
    <n v="44069.61"/>
    <n v="24968.789999999994"/>
    <s v="Dec"/>
    <n v="2026"/>
    <n v="12"/>
  </r>
  <r>
    <s v="ORD-00300"/>
    <x v="720"/>
    <x v="2"/>
    <x v="2"/>
    <x v="2"/>
    <x v="3"/>
    <x v="1"/>
    <x v="0"/>
    <n v="3"/>
    <n v="42439"/>
    <n v="127317"/>
    <n v="0"/>
    <n v="0"/>
    <n v="127317"/>
    <n v="81411.86"/>
    <n v="45905.14"/>
    <s v="Dec"/>
    <n v="2026"/>
    <n v="12"/>
  </r>
  <r>
    <s v="ORD-00939"/>
    <x v="720"/>
    <x v="7"/>
    <x v="2"/>
    <x v="2"/>
    <x v="1"/>
    <x v="1"/>
    <x v="5"/>
    <n v="1"/>
    <n v="52641"/>
    <n v="52641"/>
    <n v="5264.1"/>
    <n v="0.1"/>
    <n v="47376.9"/>
    <n v="31945.22"/>
    <n v="15431.68"/>
    <s v="Dec"/>
    <n v="2026"/>
    <n v="12"/>
  </r>
  <r>
    <s v="ORD-00576"/>
    <x v="720"/>
    <x v="0"/>
    <x v="0"/>
    <x v="2"/>
    <x v="3"/>
    <x v="0"/>
    <x v="0"/>
    <n v="1"/>
    <n v="15883"/>
    <n v="15883"/>
    <n v="2382.4499999999998"/>
    <n v="0.15"/>
    <n v="13500.55"/>
    <n v="7818.7"/>
    <n v="5681.8499999999995"/>
    <s v="Dec"/>
    <n v="2026"/>
    <n v="12"/>
  </r>
  <r>
    <s v="ORD-00648"/>
    <x v="721"/>
    <x v="7"/>
    <x v="2"/>
    <x v="2"/>
    <x v="1"/>
    <x v="0"/>
    <x v="5"/>
    <n v="4"/>
    <n v="46074"/>
    <n v="184296"/>
    <n v="18429.599999999999"/>
    <n v="0.1"/>
    <n v="165866.4"/>
    <n v="90160.15"/>
    <n v="75706.25"/>
    <s v="Dec"/>
    <n v="2026"/>
    <n v="12"/>
  </r>
  <r>
    <s v="ORD-00471"/>
    <x v="722"/>
    <x v="7"/>
    <x v="2"/>
    <x v="1"/>
    <x v="3"/>
    <x v="0"/>
    <x v="5"/>
    <n v="1"/>
    <n v="49908"/>
    <n v="49908"/>
    <n v="4990.8"/>
    <n v="0.1"/>
    <n v="44917.2"/>
    <n v="30612.92"/>
    <n v="14304.279999999999"/>
    <s v="Dec"/>
    <n v="2026"/>
    <n v="12"/>
  </r>
  <r>
    <s v="ORD-00324"/>
    <x v="722"/>
    <x v="9"/>
    <x v="0"/>
    <x v="2"/>
    <x v="1"/>
    <x v="0"/>
    <x v="0"/>
    <n v="2"/>
    <n v="44165"/>
    <n v="88330"/>
    <n v="0"/>
    <n v="0"/>
    <n v="88330"/>
    <n v="59867.17"/>
    <n v="28462.83"/>
    <s v="Dec"/>
    <n v="2026"/>
    <n v="12"/>
  </r>
  <r>
    <s v="ORD-00329"/>
    <x v="722"/>
    <x v="7"/>
    <x v="2"/>
    <x v="3"/>
    <x v="4"/>
    <x v="0"/>
    <x v="5"/>
    <n v="3"/>
    <n v="49793"/>
    <n v="149379"/>
    <n v="29875.8"/>
    <n v="0.2"/>
    <n v="119503.2"/>
    <n v="73138.720000000001"/>
    <n v="46364.479999999996"/>
    <s v="Dec"/>
    <n v="2026"/>
    <n v="12"/>
  </r>
  <r>
    <s v="ORD-00022"/>
    <x v="723"/>
    <x v="2"/>
    <x v="2"/>
    <x v="1"/>
    <x v="3"/>
    <x v="1"/>
    <x v="5"/>
    <n v="1"/>
    <n v="39810"/>
    <n v="39810"/>
    <n v="5971.5"/>
    <n v="0.15"/>
    <n v="33838.5"/>
    <n v="22420.25"/>
    <n v="11418.25"/>
    <s v="Dec"/>
    <n v="2026"/>
    <n v="12"/>
  </r>
  <r>
    <s v="ORD-01156"/>
    <x v="724"/>
    <x v="3"/>
    <x v="0"/>
    <x v="1"/>
    <x v="4"/>
    <x v="1"/>
    <x v="0"/>
    <n v="4"/>
    <n v="12394"/>
    <n v="49576"/>
    <n v="0"/>
    <n v="0"/>
    <n v="49576"/>
    <n v="31793.71"/>
    <n v="17782.29"/>
    <s v="Dec"/>
    <n v="2026"/>
    <n v="12"/>
  </r>
  <r>
    <s v="ORD-00079"/>
    <x v="725"/>
    <x v="2"/>
    <x v="2"/>
    <x v="1"/>
    <x v="4"/>
    <x v="1"/>
    <x v="0"/>
    <n v="3"/>
    <n v="39351"/>
    <n v="118053"/>
    <n v="0"/>
    <n v="0"/>
    <n v="118053"/>
    <n v="58879.1"/>
    <n v="59173.9"/>
    <s v="Dec"/>
    <n v="2026"/>
    <n v="12"/>
  </r>
  <r>
    <s v="ORD-00902"/>
    <x v="725"/>
    <x v="3"/>
    <x v="0"/>
    <x v="0"/>
    <x v="3"/>
    <x v="1"/>
    <x v="5"/>
    <n v="4"/>
    <n v="11780"/>
    <n v="47120"/>
    <n v="2356"/>
    <n v="0.05"/>
    <n v="44764"/>
    <n v="29170.62"/>
    <n v="15593.380000000001"/>
    <s v="Dec"/>
    <n v="2026"/>
    <n v="12"/>
  </r>
  <r>
    <s v="ORD-00535"/>
    <x v="726"/>
    <x v="7"/>
    <x v="2"/>
    <x v="0"/>
    <x v="3"/>
    <x v="0"/>
    <x v="0"/>
    <n v="1"/>
    <n v="46761"/>
    <n v="46761"/>
    <n v="0"/>
    <n v="0"/>
    <n v="46761"/>
    <n v="26220.07"/>
    <n v="20540.93"/>
    <s v="Dec"/>
    <n v="2026"/>
    <n v="12"/>
  </r>
  <r>
    <s v="ORD-00344"/>
    <x v="727"/>
    <x v="8"/>
    <x v="2"/>
    <x v="3"/>
    <x v="0"/>
    <x v="1"/>
    <x v="0"/>
    <n v="2"/>
    <n v="38599"/>
    <n v="77198"/>
    <n v="0"/>
    <n v="0"/>
    <n v="77198"/>
    <n v="51845.34"/>
    <n v="25352.660000000003"/>
    <s v="Dec"/>
    <n v="2026"/>
    <n v="12"/>
  </r>
  <r>
    <s v="ORD-00431"/>
    <x v="727"/>
    <x v="8"/>
    <x v="2"/>
    <x v="0"/>
    <x v="3"/>
    <x v="1"/>
    <x v="5"/>
    <n v="1"/>
    <n v="37808"/>
    <n v="37808"/>
    <n v="3780.8"/>
    <n v="0.1"/>
    <n v="34027.199999999997"/>
    <n v="25593.4"/>
    <n v="8433.7999999999956"/>
    <s v="Dec"/>
    <n v="2026"/>
    <n v="12"/>
  </r>
  <r>
    <s v="ORD-00461"/>
    <x v="728"/>
    <x v="2"/>
    <x v="2"/>
    <x v="1"/>
    <x v="0"/>
    <x v="1"/>
    <x v="0"/>
    <n v="2"/>
    <n v="39538"/>
    <n v="79076"/>
    <n v="0"/>
    <n v="0"/>
    <n v="79076"/>
    <n v="39105.699999999997"/>
    <n v="39970.300000000003"/>
    <s v="Dec"/>
    <n v="2026"/>
    <n v="12"/>
  </r>
  <r>
    <s v="ORD-00568"/>
    <x v="729"/>
    <x v="9"/>
    <x v="0"/>
    <x v="2"/>
    <x v="4"/>
    <x v="0"/>
    <x v="5"/>
    <n v="1"/>
    <n v="43309"/>
    <n v="43309"/>
    <n v="4330.8999999999996"/>
    <n v="0.1"/>
    <n v="38978.1"/>
    <n v="29006.55"/>
    <n v="9971.5499999999993"/>
    <s v="Dec"/>
    <n v="2026"/>
    <n v="12"/>
  </r>
  <r>
    <s v="ORD-00002"/>
    <x v="729"/>
    <x v="5"/>
    <x v="2"/>
    <x v="2"/>
    <x v="0"/>
    <x v="0"/>
    <x v="0"/>
    <n v="4"/>
    <n v="18970"/>
    <n v="75880"/>
    <n v="0"/>
    <n v="0"/>
    <n v="75880"/>
    <n v="46744.22"/>
    <n v="29135.78"/>
    <s v="Dec"/>
    <n v="2026"/>
    <n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559"/>
    <d v="2024-01-01T00:00:00"/>
    <s v="Belt"/>
    <s v="Accessories"/>
    <s v="Physical Store"/>
    <s v="Oyo"/>
    <s v="Returning"/>
    <x v="0"/>
    <n v="1"/>
    <n v="15989"/>
    <n v="15989"/>
    <n v="0"/>
    <n v="0"/>
    <n v="15989"/>
    <n v="7800.77"/>
    <n v="8188.23"/>
    <s v="Jan"/>
    <n v="2024"/>
    <n v="1"/>
  </r>
  <r>
    <s v="ORD-00743"/>
    <d v="2024-01-01T00:00:00"/>
    <s v="Sneakers"/>
    <s v="Footwear"/>
    <s v="Physical Store"/>
    <s v="Delta"/>
    <s v="New"/>
    <x v="0"/>
    <n v="1"/>
    <n v="69509"/>
    <n v="69509"/>
    <n v="10426.35"/>
    <n v="0.15"/>
    <n v="59082.65"/>
    <n v="36611.910000000003"/>
    <n v="22470.739999999998"/>
    <s v="Jan"/>
    <n v="2024"/>
    <n v="1"/>
  </r>
  <r>
    <s v="ORD-00146"/>
    <d v="2024-01-02T00:00:00"/>
    <s v="Jeans"/>
    <s v="Clothing"/>
    <s v="Physical Store"/>
    <s v="Rivers"/>
    <s v="Returning"/>
    <x v="0"/>
    <n v="2"/>
    <n v="39039"/>
    <n v="78078"/>
    <n v="0"/>
    <n v="0"/>
    <n v="78078"/>
    <n v="47474.52"/>
    <n v="30603.480000000003"/>
    <s v="Jan"/>
    <n v="2024"/>
    <n v="1"/>
  </r>
  <r>
    <s v="ORD-00189"/>
    <d v="2024-01-02T00:00:00"/>
    <s v="Jeans"/>
    <s v="Clothing"/>
    <s v="Physical Store"/>
    <s v="Abuja"/>
    <s v="New"/>
    <x v="0"/>
    <n v="1"/>
    <n v="41273"/>
    <n v="41273"/>
    <n v="0"/>
    <n v="0"/>
    <n v="41273"/>
    <n v="24202.67"/>
    <n v="17070.330000000002"/>
    <s v="Jan"/>
    <n v="2024"/>
    <n v="1"/>
  </r>
  <r>
    <s v="ORD-01178"/>
    <d v="2024-01-03T00:00:00"/>
    <s v="Belt"/>
    <s v="Accessories"/>
    <s v="Physical Store"/>
    <s v="Abuja"/>
    <s v="New"/>
    <x v="0"/>
    <n v="1"/>
    <n v="14451"/>
    <n v="14451"/>
    <n v="0"/>
    <n v="0"/>
    <n v="14451"/>
    <n v="9760.75"/>
    <n v="4690.25"/>
    <s v="Jan"/>
    <n v="2024"/>
    <n v="1"/>
  </r>
  <r>
    <s v="ORD-01138"/>
    <d v="2024-01-03T00:00:00"/>
    <s v="Belt"/>
    <s v="Accessories"/>
    <s v="Physical Store"/>
    <s v="Lagos"/>
    <s v="Returning"/>
    <x v="0"/>
    <n v="4"/>
    <n v="14676"/>
    <n v="58704"/>
    <n v="0"/>
    <n v="0"/>
    <n v="58704"/>
    <n v="39380.18"/>
    <n v="19323.82"/>
    <s v="Jan"/>
    <n v="2024"/>
    <n v="1"/>
  </r>
  <r>
    <s v="ORD-00723"/>
    <d v="2024-01-04T00:00:00"/>
    <s v="Belt"/>
    <s v="Accessories"/>
    <s v="Website"/>
    <s v="Abuja"/>
    <s v="New"/>
    <x v="0"/>
    <n v="1"/>
    <n v="15933"/>
    <n v="15933"/>
    <n v="0"/>
    <n v="0"/>
    <n v="15933"/>
    <n v="9442.7099999999991"/>
    <n v="6490.2900000000009"/>
    <s v="Jan"/>
    <n v="2024"/>
    <n v="1"/>
  </r>
  <r>
    <s v="ORD-00990"/>
    <d v="2024-01-04T00:00:00"/>
    <s v="Jeans"/>
    <s v="Clothing"/>
    <s v="WhatsApp"/>
    <s v="Delta"/>
    <s v="Returning"/>
    <x v="0"/>
    <n v="2"/>
    <n v="41128"/>
    <n v="82256"/>
    <n v="0"/>
    <n v="0"/>
    <n v="82256"/>
    <n v="48103.199999999997"/>
    <n v="34152.800000000003"/>
    <s v="Jan"/>
    <n v="2024"/>
    <n v="1"/>
  </r>
  <r>
    <s v="ORD-00308"/>
    <d v="2024-01-05T00:00:00"/>
    <s v="Cap"/>
    <s v="Accessories"/>
    <s v="Website"/>
    <s v="Lagos"/>
    <s v="New"/>
    <x v="0"/>
    <n v="2"/>
    <n v="11792"/>
    <n v="23584"/>
    <n v="2358.4"/>
    <n v="0.1"/>
    <n v="21225.599999999999"/>
    <n v="12232.72"/>
    <n v="8992.8799999999992"/>
    <s v="Jan"/>
    <n v="2024"/>
    <n v="1"/>
  </r>
  <r>
    <s v="ORD-00773"/>
    <d v="2024-01-05T00:00:00"/>
    <s v="Polo Shirt"/>
    <s v="Clothing"/>
    <s v="Physical Store"/>
    <s v="Lagos"/>
    <s v="New"/>
    <x v="0"/>
    <n v="5"/>
    <n v="24808"/>
    <n v="124040"/>
    <n v="0"/>
    <n v="0"/>
    <n v="124040"/>
    <n v="60728.94"/>
    <n v="63311.06"/>
    <s v="Jan"/>
    <n v="2024"/>
    <n v="1"/>
  </r>
  <r>
    <s v="ORD-00720"/>
    <d v="2024-01-06T00:00:00"/>
    <s v="T-Shirt"/>
    <s v="Clothing"/>
    <s v="WhatsApp"/>
    <s v="Lagos"/>
    <s v="Returning"/>
    <x v="0"/>
    <n v="2"/>
    <n v="19096"/>
    <n v="38192"/>
    <n v="0"/>
    <n v="0"/>
    <n v="38192"/>
    <n v="22437.75"/>
    <n v="15754.25"/>
    <s v="Jan"/>
    <n v="2024"/>
    <n v="1"/>
  </r>
  <r>
    <s v="ORD-00955"/>
    <d v="2024-01-07T00:00:00"/>
    <s v="Polo Shirt"/>
    <s v="Clothing"/>
    <s v="Website"/>
    <s v="Delta"/>
    <s v="Returning"/>
    <x v="0"/>
    <n v="1"/>
    <n v="24972"/>
    <n v="24972"/>
    <n v="0"/>
    <n v="0"/>
    <n v="24972"/>
    <n v="14986.89"/>
    <n v="9985.11"/>
    <s v="Jan"/>
    <n v="2024"/>
    <n v="1"/>
  </r>
  <r>
    <s v="ORD-00656"/>
    <d v="2024-01-08T00:00:00"/>
    <s v="Cap"/>
    <s v="Accessories"/>
    <s v="Website"/>
    <s v="Abuja"/>
    <s v="New"/>
    <x v="0"/>
    <n v="4"/>
    <n v="12639"/>
    <n v="50556"/>
    <n v="5055.6000000000004"/>
    <n v="0.1"/>
    <n v="45500.4"/>
    <n v="32247.56"/>
    <n v="13252.84"/>
    <s v="Jan"/>
    <n v="2024"/>
    <n v="1"/>
  </r>
  <r>
    <s v="ORD-00195"/>
    <d v="2024-01-09T00:00:00"/>
    <s v="T-Shirt"/>
    <s v="Clothing"/>
    <s v="WhatsApp"/>
    <s v="Oyo"/>
    <s v="Returning"/>
    <x v="0"/>
    <n v="3"/>
    <n v="19212"/>
    <n v="57636"/>
    <n v="0"/>
    <n v="0"/>
    <n v="57636"/>
    <n v="36068.39"/>
    <n v="21567.61"/>
    <s v="Jan"/>
    <n v="2024"/>
    <n v="1"/>
  </r>
  <r>
    <s v="ORD-00528"/>
    <d v="2024-01-10T00:00:00"/>
    <s v="T-Shirt"/>
    <s v="Clothing"/>
    <s v="Website"/>
    <s v="Lagos"/>
    <s v="New"/>
    <x v="0"/>
    <n v="2"/>
    <n v="17848"/>
    <n v="35696"/>
    <n v="0"/>
    <n v="0"/>
    <n v="35696"/>
    <n v="19828.05"/>
    <n v="15867.95"/>
    <s v="Jan"/>
    <n v="2024"/>
    <n v="1"/>
  </r>
  <r>
    <s v="ORD-00752"/>
    <d v="2024-01-10T00:00:00"/>
    <s v="Cap"/>
    <s v="Accessories"/>
    <s v="Instagram"/>
    <s v="Lagos"/>
    <s v="New"/>
    <x v="0"/>
    <n v="3"/>
    <n v="11744"/>
    <n v="35232"/>
    <n v="1761.6"/>
    <n v="0.05"/>
    <n v="33470.400000000001"/>
    <n v="21763.83"/>
    <n v="11706.57"/>
    <s v="Jan"/>
    <n v="2024"/>
    <n v="1"/>
  </r>
  <r>
    <s v="ORD-00830"/>
    <d v="2024-01-11T00:00:00"/>
    <s v="Belt"/>
    <s v="Accessories"/>
    <s v="Website"/>
    <s v="Lagos"/>
    <s v="Returning"/>
    <x v="0"/>
    <n v="5"/>
    <n v="14467"/>
    <n v="72335"/>
    <n v="0"/>
    <n v="0"/>
    <n v="72335"/>
    <n v="37182.080000000002"/>
    <n v="35152.92"/>
    <s v="Jan"/>
    <n v="2024"/>
    <n v="1"/>
  </r>
  <r>
    <s v="ORD-01155"/>
    <d v="2024-01-11T00:00:00"/>
    <s v="Cap"/>
    <s v="Accessories"/>
    <s v="Instagram"/>
    <s v="Oyo"/>
    <s v="New"/>
    <x v="0"/>
    <n v="5"/>
    <n v="11671"/>
    <n v="58355"/>
    <n v="0"/>
    <n v="0"/>
    <n v="58355"/>
    <n v="37902.870000000003"/>
    <n v="20452.129999999997"/>
    <s v="Jan"/>
    <n v="2024"/>
    <n v="1"/>
  </r>
  <r>
    <s v="ORD-01027"/>
    <d v="2024-01-11T00:00:00"/>
    <s v="T-Shirt"/>
    <s v="Clothing"/>
    <s v="Physical Store"/>
    <s v="Abuja"/>
    <s v="New"/>
    <x v="0"/>
    <n v="4"/>
    <n v="18454"/>
    <n v="73816"/>
    <n v="0"/>
    <n v="0"/>
    <n v="73816"/>
    <n v="37882.29"/>
    <n v="35933.71"/>
    <s v="Jan"/>
    <n v="2024"/>
    <n v="1"/>
  </r>
  <r>
    <s v="ORD-00381"/>
    <d v="2024-01-12T00:00:00"/>
    <s v="Cap"/>
    <s v="Accessories"/>
    <s v="Website"/>
    <s v="Lagos"/>
    <s v="New"/>
    <x v="0"/>
    <n v="1"/>
    <n v="11838"/>
    <n v="11838"/>
    <n v="0"/>
    <n v="0"/>
    <n v="11838"/>
    <n v="6621.6"/>
    <n v="5216.3999999999996"/>
    <s v="Jan"/>
    <n v="2024"/>
    <n v="1"/>
  </r>
  <r>
    <s v="ORD-01066"/>
    <d v="2024-01-12T00:00:00"/>
    <s v="T-Shirt"/>
    <s v="Clothing"/>
    <s v="Physical Store"/>
    <s v="Delta"/>
    <s v="Returning"/>
    <x v="0"/>
    <n v="4"/>
    <n v="18288"/>
    <n v="73152"/>
    <n v="0"/>
    <n v="0"/>
    <n v="73152"/>
    <n v="44507.57"/>
    <n v="28644.43"/>
    <s v="Jan"/>
    <n v="2024"/>
    <n v="1"/>
  </r>
  <r>
    <s v="ORD-00756"/>
    <d v="2024-01-13T00:00:00"/>
    <s v="Jeans"/>
    <s v="Clothing"/>
    <s v="Physical Store"/>
    <s v="Delta"/>
    <s v="Returning"/>
    <x v="0"/>
    <n v="1"/>
    <n v="41414"/>
    <n v="41414"/>
    <n v="0"/>
    <n v="0"/>
    <n v="41414"/>
    <n v="21964.45"/>
    <n v="19449.55"/>
    <s v="Jan"/>
    <n v="2024"/>
    <n v="1"/>
  </r>
  <r>
    <s v="ORD-00039"/>
    <d v="2024-01-14T00:00:00"/>
    <s v="Sandals"/>
    <s v="Footwear"/>
    <s v="Website"/>
    <s v="Rivers"/>
    <s v="Returning"/>
    <x v="0"/>
    <n v="2"/>
    <n v="29422"/>
    <n v="58844"/>
    <n v="0"/>
    <n v="0"/>
    <n v="58844"/>
    <n v="34354.089999999997"/>
    <n v="24489.910000000003"/>
    <s v="Jan"/>
    <n v="2024"/>
    <n v="1"/>
  </r>
  <r>
    <s v="ORD-00820"/>
    <d v="2024-01-15T00:00:00"/>
    <s v="Sneakers"/>
    <s v="Footwear"/>
    <s v="WhatsApp"/>
    <s v="Rivers"/>
    <s v="New"/>
    <x v="0"/>
    <n v="1"/>
    <n v="64691"/>
    <n v="64691"/>
    <n v="0"/>
    <n v="0"/>
    <n v="64691"/>
    <n v="39976.720000000001"/>
    <n v="24714.28"/>
    <s v="Jan"/>
    <n v="2024"/>
    <n v="1"/>
  </r>
  <r>
    <s v="ORD-00075"/>
    <d v="2024-01-15T00:00:00"/>
    <s v="Polo Shirt"/>
    <s v="Clothing"/>
    <s v="Website"/>
    <s v="Lagos"/>
    <s v="Returning"/>
    <x v="0"/>
    <n v="1"/>
    <n v="24728"/>
    <n v="24728"/>
    <n v="0"/>
    <n v="0"/>
    <n v="24728"/>
    <n v="14900.79"/>
    <n v="9827.2099999999991"/>
    <s v="Jan"/>
    <n v="2024"/>
    <n v="1"/>
  </r>
  <r>
    <s v="ORD-01112"/>
    <d v="2024-01-16T00:00:00"/>
    <s v="Cap"/>
    <s v="Accessories"/>
    <s v="WhatsApp"/>
    <s v="Oyo"/>
    <s v="New"/>
    <x v="0"/>
    <n v="3"/>
    <n v="11360"/>
    <n v="34080"/>
    <n v="0"/>
    <n v="0"/>
    <n v="34080"/>
    <n v="18987.45"/>
    <n v="15092.55"/>
    <s v="Jan"/>
    <n v="2024"/>
    <n v="1"/>
  </r>
  <r>
    <s v="ORD-00242"/>
    <d v="2024-01-17T00:00:00"/>
    <s v="Sandals"/>
    <s v="Footwear"/>
    <s v="Instagram"/>
    <s v="Lagos"/>
    <s v="New"/>
    <x v="0"/>
    <n v="3"/>
    <n v="30800"/>
    <n v="92400"/>
    <n v="0"/>
    <n v="0"/>
    <n v="92400"/>
    <n v="58175.13"/>
    <n v="34224.870000000003"/>
    <s v="Jan"/>
    <n v="2024"/>
    <n v="1"/>
  </r>
  <r>
    <s v="ORD-00261"/>
    <d v="2024-01-18T00:00:00"/>
    <s v="Jeans"/>
    <s v="Clothing"/>
    <s v="WhatsApp"/>
    <s v="Rivers"/>
    <s v="New"/>
    <x v="0"/>
    <n v="1"/>
    <n v="42420"/>
    <n v="42420"/>
    <n v="0"/>
    <n v="0"/>
    <n v="42420"/>
    <n v="28340.12"/>
    <n v="14079.880000000001"/>
    <s v="Jan"/>
    <n v="2024"/>
    <n v="1"/>
  </r>
  <r>
    <s v="ORD-00916"/>
    <d v="2024-01-18T00:00:00"/>
    <s v="Dress"/>
    <s v="Clothing"/>
    <s v="Physical Store"/>
    <s v="Lagos"/>
    <s v="New"/>
    <x v="0"/>
    <n v="1"/>
    <n v="47579"/>
    <n v="47579"/>
    <n v="0"/>
    <n v="0"/>
    <n v="47579"/>
    <n v="31642.55"/>
    <n v="15936.45"/>
    <s v="Jan"/>
    <n v="2024"/>
    <n v="1"/>
  </r>
  <r>
    <s v="ORD-00282"/>
    <d v="2024-01-20T00:00:00"/>
    <s v="Dress"/>
    <s v="Clothing"/>
    <s v="Instagram"/>
    <s v="Rivers"/>
    <s v="New"/>
    <x v="0"/>
    <n v="1"/>
    <n v="48841"/>
    <n v="48841"/>
    <n v="2442.0500000000002"/>
    <n v="0.05"/>
    <n v="46398.95"/>
    <n v="25572.26"/>
    <n v="20826.689999999999"/>
    <s v="Jan"/>
    <n v="2024"/>
    <n v="1"/>
  </r>
  <r>
    <s v="ORD-00033"/>
    <d v="2024-01-21T00:00:00"/>
    <s v="Polo Shirt"/>
    <s v="Clothing"/>
    <s v="Website"/>
    <s v="Rivers"/>
    <s v="Returning"/>
    <x v="0"/>
    <n v="1"/>
    <n v="24775"/>
    <n v="24775"/>
    <n v="0"/>
    <n v="0"/>
    <n v="24775"/>
    <n v="12769.78"/>
    <n v="12005.22"/>
    <s v="Jan"/>
    <n v="2024"/>
    <n v="1"/>
  </r>
  <r>
    <s v="ORD-00017"/>
    <d v="2024-01-22T00:00:00"/>
    <s v="Hoodie"/>
    <s v="Clothing"/>
    <s v="Instagram"/>
    <s v="Lagos"/>
    <s v="Returning"/>
    <x v="0"/>
    <n v="1"/>
    <n v="39954"/>
    <n v="39954"/>
    <n v="0"/>
    <n v="0"/>
    <n v="39954"/>
    <n v="24534.84"/>
    <n v="15419.16"/>
    <s v="Jan"/>
    <n v="2024"/>
    <n v="1"/>
  </r>
  <r>
    <s v="ORD-00358"/>
    <d v="2024-01-23T00:00:00"/>
    <s v="Polo Shirt"/>
    <s v="Clothing"/>
    <s v="Physical Store"/>
    <s v="Lagos"/>
    <s v="New"/>
    <x v="0"/>
    <n v="2"/>
    <n v="23840"/>
    <n v="47680"/>
    <n v="0"/>
    <n v="0"/>
    <n v="47680"/>
    <n v="23126.7"/>
    <n v="24553.3"/>
    <s v="Jan"/>
    <n v="2024"/>
    <n v="1"/>
  </r>
  <r>
    <s v="ORD-00834"/>
    <d v="2024-01-23T00:00:00"/>
    <s v="Belt"/>
    <s v="Accessories"/>
    <s v="Physical Store"/>
    <s v="Abuja"/>
    <s v="New"/>
    <x v="0"/>
    <n v="3"/>
    <n v="16062"/>
    <n v="48186"/>
    <n v="0"/>
    <n v="0"/>
    <n v="48186"/>
    <n v="28793.01"/>
    <n v="19392.990000000002"/>
    <s v="Jan"/>
    <n v="2024"/>
    <n v="1"/>
  </r>
  <r>
    <s v="ORD-00689"/>
    <d v="2024-01-25T00:00:00"/>
    <s v="Cap"/>
    <s v="Accessories"/>
    <s v="WhatsApp"/>
    <s v="Abuja"/>
    <s v="New"/>
    <x v="0"/>
    <n v="2"/>
    <n v="12904"/>
    <n v="25808"/>
    <n v="1290.4000000000001"/>
    <n v="0.05"/>
    <n v="24517.599999999999"/>
    <n v="16832.150000000001"/>
    <n v="7685.4499999999971"/>
    <s v="Jan"/>
    <n v="2024"/>
    <n v="1"/>
  </r>
  <r>
    <s v="ORD-00886"/>
    <d v="2024-01-25T00:00:00"/>
    <s v="T-Shirt"/>
    <s v="Clothing"/>
    <s v="Website"/>
    <s v="Delta"/>
    <s v="Returning"/>
    <x v="0"/>
    <n v="5"/>
    <n v="17366"/>
    <n v="86830"/>
    <n v="0"/>
    <n v="0"/>
    <n v="86830"/>
    <n v="43627.58"/>
    <n v="43202.42"/>
    <s v="Jan"/>
    <n v="2024"/>
    <n v="1"/>
  </r>
  <r>
    <s v="ORD-01052"/>
    <d v="2024-01-25T00:00:00"/>
    <s v="Hoodie"/>
    <s v="Clothing"/>
    <s v="Website"/>
    <s v="Delta"/>
    <s v="Returning"/>
    <x v="0"/>
    <n v="1"/>
    <n v="40689"/>
    <n v="40689"/>
    <n v="0"/>
    <n v="0"/>
    <n v="40689"/>
    <n v="22062.93"/>
    <n v="18626.07"/>
    <s v="Jan"/>
    <n v="2024"/>
    <n v="1"/>
  </r>
  <r>
    <s v="ORD-01007"/>
    <d v="2024-01-27T00:00:00"/>
    <s v="Handbag"/>
    <s v="Accessories"/>
    <s v="Physical Store"/>
    <s v="Oyo"/>
    <s v="New"/>
    <x v="0"/>
    <n v="1"/>
    <n v="45081"/>
    <n v="45081"/>
    <n v="0"/>
    <n v="0"/>
    <n v="45081"/>
    <n v="29521.71"/>
    <n v="15559.29"/>
    <s v="Jan"/>
    <n v="2024"/>
    <n v="1"/>
  </r>
  <r>
    <s v="ORD-00230"/>
    <d v="2024-01-27T00:00:00"/>
    <s v="Jeans"/>
    <s v="Clothing"/>
    <s v="WhatsApp"/>
    <s v="Abuja"/>
    <s v="New"/>
    <x v="0"/>
    <n v="1"/>
    <n v="42993"/>
    <n v="42993"/>
    <n v="0"/>
    <n v="0"/>
    <n v="42993"/>
    <n v="23051.83"/>
    <n v="19941.169999999998"/>
    <s v="Jan"/>
    <n v="2024"/>
    <n v="1"/>
  </r>
  <r>
    <s v="ORD-00665"/>
    <d v="2024-01-28T00:00:00"/>
    <s v="Handbag"/>
    <s v="Accessories"/>
    <s v="Physical Store"/>
    <s v="Lagos"/>
    <s v="Returning"/>
    <x v="0"/>
    <n v="2"/>
    <n v="41843"/>
    <n v="83686"/>
    <n v="0"/>
    <n v="0"/>
    <n v="83686"/>
    <n v="55149.64"/>
    <n v="28536.36"/>
    <s v="Jan"/>
    <n v="2024"/>
    <n v="1"/>
  </r>
  <r>
    <s v="ORD-00681"/>
    <d v="2024-01-28T00:00:00"/>
    <s v="Dress"/>
    <s v="Clothing"/>
    <s v="WhatsApp"/>
    <s v="Lagos"/>
    <s v="Returning"/>
    <x v="0"/>
    <n v="3"/>
    <n v="51987"/>
    <n v="155961"/>
    <n v="0"/>
    <n v="0"/>
    <n v="155961"/>
    <n v="89177.56"/>
    <n v="66783.44"/>
    <s v="Jan"/>
    <n v="2024"/>
    <n v="1"/>
  </r>
  <r>
    <s v="ORD-01123"/>
    <d v="2024-01-29T00:00:00"/>
    <s v="Polo Shirt"/>
    <s v="Clothing"/>
    <s v="Instagram"/>
    <s v="Rivers"/>
    <s v="New"/>
    <x v="0"/>
    <n v="1"/>
    <n v="23063"/>
    <n v="23063"/>
    <n v="0"/>
    <n v="0"/>
    <n v="23063"/>
    <n v="13658.15"/>
    <n v="9404.85"/>
    <s v="Jan"/>
    <n v="2024"/>
    <n v="1"/>
  </r>
  <r>
    <s v="ORD-00456"/>
    <d v="2024-01-29T00:00:00"/>
    <s v="Polo Shirt"/>
    <s v="Clothing"/>
    <s v="Physical Store"/>
    <s v="Oyo"/>
    <s v="New"/>
    <x v="0"/>
    <n v="2"/>
    <n v="25639"/>
    <n v="51278"/>
    <n v="0"/>
    <n v="0"/>
    <n v="51278"/>
    <n v="25961.15"/>
    <n v="25316.85"/>
    <s v="Jan"/>
    <n v="2024"/>
    <n v="1"/>
  </r>
  <r>
    <s v="ORD-00993"/>
    <d v="2024-01-29T00:00:00"/>
    <s v="Hoodie"/>
    <s v="Clothing"/>
    <s v="Physical Store"/>
    <s v="Oyo"/>
    <s v="New"/>
    <x v="0"/>
    <n v="2"/>
    <n v="40120"/>
    <n v="80240"/>
    <n v="4012"/>
    <n v="0.05"/>
    <n v="76228"/>
    <n v="53553.98"/>
    <n v="22674.019999999997"/>
    <s v="Jan"/>
    <n v="2024"/>
    <n v="1"/>
  </r>
  <r>
    <s v="ORD-01025"/>
    <d v="2024-01-29T00:00:00"/>
    <s v="Polo Shirt"/>
    <s v="Clothing"/>
    <s v="Physical Store"/>
    <s v="Delta"/>
    <s v="Returning"/>
    <x v="0"/>
    <n v="3"/>
    <n v="23929"/>
    <n v="71787"/>
    <n v="7178.7"/>
    <n v="0.1"/>
    <n v="64608.3"/>
    <n v="46845.16"/>
    <n v="17763.14"/>
    <s v="Jan"/>
    <n v="2024"/>
    <n v="1"/>
  </r>
  <r>
    <s v="ORD-00910"/>
    <d v="2024-02-01T00:00:00"/>
    <s v="T-Shirt"/>
    <s v="Clothing"/>
    <s v="WhatsApp"/>
    <s v="Oyo"/>
    <s v="New"/>
    <x v="0"/>
    <n v="3"/>
    <n v="17057"/>
    <n v="51171"/>
    <n v="0"/>
    <n v="0"/>
    <n v="51171"/>
    <n v="29176.720000000001"/>
    <n v="21994.28"/>
    <s v="Feb"/>
    <n v="2024"/>
    <n v="2"/>
  </r>
  <r>
    <s v="ORD-00696"/>
    <d v="2024-02-03T00:00:00"/>
    <s v="T-Shirt"/>
    <s v="Clothing"/>
    <s v="WhatsApp"/>
    <s v="Lagos"/>
    <s v="New"/>
    <x v="0"/>
    <n v="2"/>
    <n v="17949"/>
    <n v="35898"/>
    <n v="0"/>
    <n v="0"/>
    <n v="35898"/>
    <n v="22745.61"/>
    <n v="13152.39"/>
    <s v="Feb"/>
    <n v="2024"/>
    <n v="2"/>
  </r>
  <r>
    <s v="ORD-00566"/>
    <d v="2024-02-03T00:00:00"/>
    <s v="Sandals"/>
    <s v="Footwear"/>
    <s v="Physical Store"/>
    <s v="Abuja"/>
    <s v="New"/>
    <x v="1"/>
    <n v="2"/>
    <n v="27700"/>
    <n v="55400"/>
    <n v="5540"/>
    <n v="0.1"/>
    <n v="49860"/>
    <n v="26951.95"/>
    <n v="22908.05"/>
    <s v="Feb"/>
    <n v="2024"/>
    <n v="2"/>
  </r>
  <r>
    <s v="ORD-01002"/>
    <d v="2024-02-03T00:00:00"/>
    <s v="Sandals"/>
    <s v="Footwear"/>
    <s v="Website"/>
    <s v="Rivers"/>
    <s v="Returning"/>
    <x v="1"/>
    <n v="4"/>
    <n v="30624"/>
    <n v="122496"/>
    <n v="12249.6"/>
    <n v="0.1"/>
    <n v="110246.39999999999"/>
    <n v="66069.45"/>
    <n v="44176.95"/>
    <s v="Feb"/>
    <n v="2024"/>
    <n v="2"/>
  </r>
  <r>
    <s v="ORD-00048"/>
    <d v="2024-02-04T00:00:00"/>
    <s v="T-Shirt"/>
    <s v="Clothing"/>
    <s v="Website"/>
    <s v="Lagos"/>
    <s v="New"/>
    <x v="1"/>
    <n v="2"/>
    <n v="18380"/>
    <n v="36760"/>
    <n v="3676"/>
    <n v="0.1"/>
    <n v="33084"/>
    <n v="18687.13"/>
    <n v="14396.869999999999"/>
    <s v="Feb"/>
    <n v="2024"/>
    <n v="2"/>
  </r>
  <r>
    <s v="ORD-00384"/>
    <d v="2024-02-04T00:00:00"/>
    <s v="Cap"/>
    <s v="Accessories"/>
    <s v="Instagram"/>
    <s v="Delta"/>
    <s v="New"/>
    <x v="1"/>
    <n v="1"/>
    <n v="11461"/>
    <n v="11461"/>
    <n v="1146.0999999999999"/>
    <n v="0.1"/>
    <n v="10314.9"/>
    <n v="7598.65"/>
    <n v="2716.25"/>
    <s v="Feb"/>
    <n v="2024"/>
    <n v="2"/>
  </r>
  <r>
    <s v="ORD-00280"/>
    <d v="2024-02-05T00:00:00"/>
    <s v="Cap"/>
    <s v="Accessories"/>
    <s v="Physical Store"/>
    <s v="Abuja"/>
    <s v="New"/>
    <x v="0"/>
    <n v="4"/>
    <n v="11642"/>
    <n v="46568"/>
    <n v="0"/>
    <n v="0"/>
    <n v="46568"/>
    <n v="24882.52"/>
    <n v="21685.48"/>
    <s v="Feb"/>
    <n v="2024"/>
    <n v="2"/>
  </r>
  <r>
    <s v="ORD-01199"/>
    <d v="2024-02-06T00:00:00"/>
    <s v="Cap"/>
    <s v="Accessories"/>
    <s v="Physical Store"/>
    <s v="Delta"/>
    <s v="Returning"/>
    <x v="1"/>
    <n v="2"/>
    <n v="12108"/>
    <n v="24216"/>
    <n v="2421.6"/>
    <n v="0.1"/>
    <n v="21794.400000000001"/>
    <n v="15782.9"/>
    <n v="6011.5000000000018"/>
    <s v="Feb"/>
    <n v="2024"/>
    <n v="2"/>
  </r>
  <r>
    <s v="ORD-00409"/>
    <d v="2024-02-06T00:00:00"/>
    <s v="T-Shirt"/>
    <s v="Clothing"/>
    <s v="Website"/>
    <s v="Lagos"/>
    <s v="New"/>
    <x v="1"/>
    <n v="2"/>
    <n v="17943"/>
    <n v="35886"/>
    <n v="5382.9"/>
    <n v="0.15"/>
    <n v="30503.1"/>
    <n v="18797.990000000002"/>
    <n v="11705.109999999997"/>
    <s v="Feb"/>
    <n v="2024"/>
    <n v="2"/>
  </r>
  <r>
    <s v="ORD-00226"/>
    <d v="2024-02-07T00:00:00"/>
    <s v="T-Shirt"/>
    <s v="Clothing"/>
    <s v="Physical Store"/>
    <s v="Rivers"/>
    <s v="Returning"/>
    <x v="1"/>
    <n v="2"/>
    <n v="19067"/>
    <n v="38134"/>
    <n v="3813.4"/>
    <n v="0.1"/>
    <n v="34320.6"/>
    <n v="22365.62"/>
    <n v="11954.98"/>
    <s v="Feb"/>
    <n v="2024"/>
    <n v="2"/>
  </r>
  <r>
    <s v="ORD-01195"/>
    <d v="2024-02-07T00:00:00"/>
    <s v="Polo Shirt"/>
    <s v="Clothing"/>
    <s v="Physical Store"/>
    <s v="Abuja"/>
    <s v="New"/>
    <x v="1"/>
    <n v="1"/>
    <n v="24805"/>
    <n v="24805"/>
    <n v="3720.75"/>
    <n v="0.15"/>
    <n v="21084.25"/>
    <n v="13200.27"/>
    <n v="7883.98"/>
    <s v="Feb"/>
    <n v="2024"/>
    <n v="2"/>
  </r>
  <r>
    <s v="ORD-01107"/>
    <d v="2024-02-08T00:00:00"/>
    <s v="Polo Shirt"/>
    <s v="Clothing"/>
    <s v="Instagram"/>
    <s v="Abuja"/>
    <s v="New"/>
    <x v="1"/>
    <n v="1"/>
    <n v="23338"/>
    <n v="23338"/>
    <n v="1166.9000000000001"/>
    <n v="0.05"/>
    <n v="22171.1"/>
    <n v="11720.14"/>
    <n v="10450.959999999999"/>
    <s v="Feb"/>
    <n v="2024"/>
    <n v="2"/>
  </r>
  <r>
    <s v="ORD-00467"/>
    <d v="2024-02-08T00:00:00"/>
    <s v="Jeans"/>
    <s v="Clothing"/>
    <s v="Instagram"/>
    <s v="Lagos"/>
    <s v="New"/>
    <x v="0"/>
    <n v="2"/>
    <n v="42125"/>
    <n v="84250"/>
    <n v="0"/>
    <n v="0"/>
    <n v="84250"/>
    <n v="44363.67"/>
    <n v="39886.33"/>
    <s v="Feb"/>
    <n v="2024"/>
    <n v="2"/>
  </r>
  <r>
    <s v="ORD-01191"/>
    <d v="2024-02-09T00:00:00"/>
    <s v="Polo Shirt"/>
    <s v="Clothing"/>
    <s v="WhatsApp"/>
    <s v="Lagos"/>
    <s v="Returning"/>
    <x v="1"/>
    <n v="1"/>
    <n v="26419"/>
    <n v="26419"/>
    <n v="3962.85"/>
    <n v="0.15"/>
    <n v="22456.15"/>
    <n v="14409.94"/>
    <n v="8046.2100000000009"/>
    <s v="Feb"/>
    <n v="2024"/>
    <n v="2"/>
  </r>
  <r>
    <s v="ORD-00087"/>
    <d v="2024-02-10T00:00:00"/>
    <s v="Hoodie"/>
    <s v="Clothing"/>
    <s v="Physical Store"/>
    <s v="Abuja"/>
    <s v="New"/>
    <x v="1"/>
    <n v="2"/>
    <n v="36301"/>
    <n v="72602"/>
    <n v="3630.1"/>
    <n v="0.05"/>
    <n v="68971.899999999994"/>
    <n v="45531.08"/>
    <n v="23440.819999999992"/>
    <s v="Feb"/>
    <n v="2024"/>
    <n v="2"/>
  </r>
  <r>
    <s v="ORD-00513"/>
    <d v="2024-02-10T00:00:00"/>
    <s v="Cap"/>
    <s v="Accessories"/>
    <s v="Instagram"/>
    <s v="Lagos"/>
    <s v="Returning"/>
    <x v="1"/>
    <n v="3"/>
    <n v="11447"/>
    <n v="34341"/>
    <n v="5151.1499999999996"/>
    <n v="0.15"/>
    <n v="29189.85"/>
    <n v="18415.599999999999"/>
    <n v="10774.25"/>
    <s v="Feb"/>
    <n v="2024"/>
    <n v="2"/>
  </r>
  <r>
    <s v="ORD-01000"/>
    <d v="2024-02-10T00:00:00"/>
    <s v="T-Shirt"/>
    <s v="Clothing"/>
    <s v="Instagram"/>
    <s v="Rivers"/>
    <s v="Returning"/>
    <x v="1"/>
    <n v="1"/>
    <n v="18125"/>
    <n v="18125"/>
    <n v="1812.5"/>
    <n v="0.1"/>
    <n v="16312.5"/>
    <n v="9161.44"/>
    <n v="7151.0599999999995"/>
    <s v="Feb"/>
    <n v="2024"/>
    <n v="2"/>
  </r>
  <r>
    <s v="ORD-00999"/>
    <d v="2024-02-11T00:00:00"/>
    <s v="Sandals"/>
    <s v="Footwear"/>
    <s v="Instagram"/>
    <s v="Lagos"/>
    <s v="New"/>
    <x v="1"/>
    <n v="2"/>
    <n v="30539"/>
    <n v="61078"/>
    <n v="3053.9"/>
    <n v="0.05"/>
    <n v="58024.1"/>
    <n v="38690.199999999997"/>
    <n v="19333.900000000001"/>
    <s v="Feb"/>
    <n v="2024"/>
    <n v="2"/>
  </r>
  <r>
    <s v="ORD-01051"/>
    <d v="2024-02-11T00:00:00"/>
    <s v="T-Shirt"/>
    <s v="Clothing"/>
    <s v="WhatsApp"/>
    <s v="Lagos"/>
    <s v="New"/>
    <x v="1"/>
    <n v="2"/>
    <n v="18860"/>
    <n v="37720"/>
    <n v="5658"/>
    <n v="0.15"/>
    <n v="32062"/>
    <n v="22696.16"/>
    <n v="9365.84"/>
    <s v="Feb"/>
    <n v="2024"/>
    <n v="2"/>
  </r>
  <r>
    <s v="ORD-00617"/>
    <d v="2024-02-12T00:00:00"/>
    <s v="Sneakers"/>
    <s v="Footwear"/>
    <s v="WhatsApp"/>
    <s v="Oyo"/>
    <s v="New"/>
    <x v="0"/>
    <n v="2"/>
    <n v="67308"/>
    <n v="134616"/>
    <n v="0"/>
    <n v="0"/>
    <n v="134616"/>
    <n v="82225.539999999994"/>
    <n v="52390.460000000006"/>
    <s v="Feb"/>
    <n v="2024"/>
    <n v="2"/>
  </r>
  <r>
    <s v="ORD-01075"/>
    <d v="2024-02-16T00:00:00"/>
    <s v="Handbag"/>
    <s v="Accessories"/>
    <s v="WhatsApp"/>
    <s v="Rivers"/>
    <s v="New"/>
    <x v="0"/>
    <n v="2"/>
    <n v="45330"/>
    <n v="90660"/>
    <n v="4533"/>
    <n v="0.05"/>
    <n v="86127"/>
    <n v="48065.98"/>
    <n v="38061.019999999997"/>
    <s v="Feb"/>
    <n v="2024"/>
    <n v="2"/>
  </r>
  <r>
    <s v="ORD-00645"/>
    <d v="2024-02-16T00:00:00"/>
    <s v="Handbag"/>
    <s v="Accessories"/>
    <s v="WhatsApp"/>
    <s v="Lagos"/>
    <s v="New"/>
    <x v="1"/>
    <n v="1"/>
    <n v="45978"/>
    <n v="45978"/>
    <n v="6896.7"/>
    <n v="0.15"/>
    <n v="39081.300000000003"/>
    <n v="22830.27"/>
    <n v="16251.030000000002"/>
    <s v="Feb"/>
    <n v="2024"/>
    <n v="2"/>
  </r>
  <r>
    <s v="ORD-00494"/>
    <d v="2024-02-16T00:00:00"/>
    <s v="Hoodie"/>
    <s v="Clothing"/>
    <s v="Website"/>
    <s v="Lagos"/>
    <s v="Returning"/>
    <x v="0"/>
    <n v="2"/>
    <n v="36283"/>
    <n v="72566"/>
    <n v="0"/>
    <n v="0"/>
    <n v="72566"/>
    <n v="43154.01"/>
    <n v="29411.989999999998"/>
    <s v="Feb"/>
    <n v="2024"/>
    <n v="2"/>
  </r>
  <r>
    <s v="ORD-00821"/>
    <d v="2024-02-16T00:00:00"/>
    <s v="Belt"/>
    <s v="Accessories"/>
    <s v="Website"/>
    <s v="Lagos"/>
    <s v="New"/>
    <x v="1"/>
    <n v="2"/>
    <n v="15866"/>
    <n v="31732"/>
    <n v="4759.8"/>
    <n v="0.15"/>
    <n v="26972.2"/>
    <n v="15312.32"/>
    <n v="11659.880000000001"/>
    <s v="Feb"/>
    <n v="2024"/>
    <n v="2"/>
  </r>
  <r>
    <s v="ORD-00313"/>
    <d v="2024-02-16T00:00:00"/>
    <s v="Belt"/>
    <s v="Accessories"/>
    <s v="WhatsApp"/>
    <s v="Abuja"/>
    <s v="Returning"/>
    <x v="1"/>
    <n v="3"/>
    <n v="15935"/>
    <n v="47805"/>
    <n v="2390.25"/>
    <n v="0.05"/>
    <n v="45414.75"/>
    <n v="25757.98"/>
    <n v="19656.77"/>
    <s v="Feb"/>
    <n v="2024"/>
    <n v="2"/>
  </r>
  <r>
    <s v="ORD-00652"/>
    <d v="2024-02-17T00:00:00"/>
    <s v="T-Shirt"/>
    <s v="Clothing"/>
    <s v="Physical Store"/>
    <s v="Lagos"/>
    <s v="Returning"/>
    <x v="1"/>
    <n v="1"/>
    <n v="17956"/>
    <n v="17956"/>
    <n v="1795.6"/>
    <n v="0.1"/>
    <n v="16160.4"/>
    <n v="9770.6200000000008"/>
    <n v="6389.7799999999988"/>
    <s v="Feb"/>
    <n v="2024"/>
    <n v="2"/>
  </r>
  <r>
    <s v="ORD-00292"/>
    <d v="2024-02-20T00:00:00"/>
    <s v="Jeans"/>
    <s v="Clothing"/>
    <s v="Website"/>
    <s v="Rivers"/>
    <s v="Returning"/>
    <x v="1"/>
    <n v="1"/>
    <n v="44683"/>
    <n v="44683"/>
    <n v="4468.3"/>
    <n v="0.1"/>
    <n v="40214.699999999997"/>
    <n v="25416.720000000001"/>
    <n v="14797.979999999996"/>
    <s v="Feb"/>
    <n v="2024"/>
    <n v="2"/>
  </r>
  <r>
    <s v="ORD-00855"/>
    <d v="2024-02-20T00:00:00"/>
    <s v="Sneakers"/>
    <s v="Footwear"/>
    <s v="Physical Store"/>
    <s v="Abuja"/>
    <s v="Returning"/>
    <x v="0"/>
    <n v="1"/>
    <n v="64042"/>
    <n v="64042"/>
    <n v="3202.1"/>
    <n v="0.05"/>
    <n v="60839.9"/>
    <n v="39400.449999999997"/>
    <n v="21439.450000000004"/>
    <s v="Feb"/>
    <n v="2024"/>
    <n v="2"/>
  </r>
  <r>
    <s v="ORD-00560"/>
    <d v="2024-02-20T00:00:00"/>
    <s v="Sneakers"/>
    <s v="Footwear"/>
    <s v="Physical Store"/>
    <s v="Delta"/>
    <s v="New"/>
    <x v="1"/>
    <n v="1"/>
    <n v="66514"/>
    <n v="66514"/>
    <n v="9977.1"/>
    <n v="0.15"/>
    <n v="56536.9"/>
    <n v="41676.04"/>
    <n v="14860.86"/>
    <s v="Feb"/>
    <n v="2024"/>
    <n v="2"/>
  </r>
  <r>
    <s v="ORD-00614"/>
    <d v="2024-02-22T00:00:00"/>
    <s v="Jeans"/>
    <s v="Clothing"/>
    <s v="Instagram"/>
    <s v="Oyo"/>
    <s v="Returning"/>
    <x v="1"/>
    <n v="1"/>
    <n v="44026"/>
    <n v="44026"/>
    <n v="2201.3000000000002"/>
    <n v="0.05"/>
    <n v="41824.699999999997"/>
    <n v="25372.97"/>
    <n v="16451.729999999996"/>
    <s v="Feb"/>
    <n v="2024"/>
    <n v="2"/>
  </r>
  <r>
    <s v="ORD-01168"/>
    <d v="2024-02-23T00:00:00"/>
    <s v="Sneakers"/>
    <s v="Footwear"/>
    <s v="Website"/>
    <s v="Oyo"/>
    <s v="Returning"/>
    <x v="1"/>
    <n v="1"/>
    <n v="68491"/>
    <n v="68491"/>
    <n v="10273.65"/>
    <n v="0.15"/>
    <n v="58217.35"/>
    <n v="33363.410000000003"/>
    <n v="24853.939999999995"/>
    <s v="Feb"/>
    <n v="2024"/>
    <n v="2"/>
  </r>
  <r>
    <s v="ORD-00200"/>
    <d v="2024-02-23T00:00:00"/>
    <s v="Hoodie"/>
    <s v="Clothing"/>
    <s v="Physical Store"/>
    <s v="Rivers"/>
    <s v="New"/>
    <x v="0"/>
    <n v="2"/>
    <n v="38759"/>
    <n v="77518"/>
    <n v="7751.8"/>
    <n v="0.1"/>
    <n v="69766.2"/>
    <n v="50120.51"/>
    <n v="19645.689999999995"/>
    <s v="Feb"/>
    <n v="2024"/>
    <n v="2"/>
  </r>
  <r>
    <s v="ORD-00932"/>
    <d v="2024-02-24T00:00:00"/>
    <s v="Cap"/>
    <s v="Accessories"/>
    <s v="Instagram"/>
    <s v="Delta"/>
    <s v="Returning"/>
    <x v="1"/>
    <n v="2"/>
    <n v="11075"/>
    <n v="22150"/>
    <n v="2215"/>
    <n v="0.1"/>
    <n v="19935"/>
    <n v="13973.24"/>
    <n v="5961.76"/>
    <s v="Feb"/>
    <n v="2024"/>
    <n v="2"/>
  </r>
  <r>
    <s v="ORD-01033"/>
    <d v="2024-02-24T00:00:00"/>
    <s v="Sneakers"/>
    <s v="Footwear"/>
    <s v="Physical Store"/>
    <s v="Lagos"/>
    <s v="Returning"/>
    <x v="1"/>
    <n v="4"/>
    <n v="60924"/>
    <n v="243696"/>
    <n v="24369.599999999999"/>
    <n v="0.1"/>
    <n v="219326.4"/>
    <n v="121156.43"/>
    <n v="98169.97"/>
    <s v="Feb"/>
    <n v="2024"/>
    <n v="2"/>
  </r>
  <r>
    <s v="ORD-00927"/>
    <d v="2024-02-24T00:00:00"/>
    <s v="Sandals"/>
    <s v="Footwear"/>
    <s v="WhatsApp"/>
    <s v="Abuja"/>
    <s v="New"/>
    <x v="1"/>
    <n v="2"/>
    <n v="30285"/>
    <n v="60570"/>
    <n v="6057"/>
    <n v="0.1"/>
    <n v="54513"/>
    <n v="40925.03"/>
    <n v="13587.970000000001"/>
    <s v="Feb"/>
    <n v="2024"/>
    <n v="2"/>
  </r>
  <r>
    <s v="ORD-00661"/>
    <d v="2024-02-25T00:00:00"/>
    <s v="Jeans"/>
    <s v="Clothing"/>
    <s v="Physical Store"/>
    <s v="Rivers"/>
    <s v="New"/>
    <x v="1"/>
    <n v="5"/>
    <n v="43201"/>
    <n v="216005"/>
    <n v="10800.25"/>
    <n v="0.05"/>
    <n v="205204.75"/>
    <n v="134645.35999999999"/>
    <n v="70559.390000000014"/>
    <s v="Feb"/>
    <n v="2024"/>
    <n v="2"/>
  </r>
  <r>
    <s v="ORD-00485"/>
    <d v="2024-02-27T00:00:00"/>
    <s v="Sandals"/>
    <s v="Footwear"/>
    <s v="Physical Store"/>
    <s v="Lagos"/>
    <s v="Returning"/>
    <x v="0"/>
    <n v="2"/>
    <n v="32161"/>
    <n v="64322"/>
    <n v="0"/>
    <n v="0"/>
    <n v="64322"/>
    <n v="31121.14"/>
    <n v="33200.86"/>
    <s v="Feb"/>
    <n v="2024"/>
    <n v="2"/>
  </r>
  <r>
    <s v="ORD-00981"/>
    <d v="2024-02-28T00:00:00"/>
    <s v="Hoodie"/>
    <s v="Clothing"/>
    <s v="Physical Store"/>
    <s v="Rivers"/>
    <s v="New"/>
    <x v="0"/>
    <n v="2"/>
    <n v="41024"/>
    <n v="82048"/>
    <n v="0"/>
    <n v="0"/>
    <n v="82048"/>
    <n v="42310.48"/>
    <n v="39737.519999999997"/>
    <s v="Feb"/>
    <n v="2024"/>
    <n v="2"/>
  </r>
  <r>
    <s v="ORD-00629"/>
    <d v="2024-03-01T00:00:00"/>
    <s v="Sneakers"/>
    <s v="Footwear"/>
    <s v="WhatsApp"/>
    <s v="Lagos"/>
    <s v="Returning"/>
    <x v="0"/>
    <n v="1"/>
    <n v="60614"/>
    <n v="60614"/>
    <n v="0"/>
    <n v="0"/>
    <n v="60614"/>
    <n v="38611.199999999997"/>
    <n v="22002.800000000003"/>
    <s v="Mar"/>
    <n v="2024"/>
    <n v="3"/>
  </r>
  <r>
    <s v="ORD-01151"/>
    <d v="2024-03-01T00:00:00"/>
    <s v="Belt"/>
    <s v="Accessories"/>
    <s v="Website"/>
    <s v="Oyo"/>
    <s v="New"/>
    <x v="2"/>
    <n v="2"/>
    <n v="14179"/>
    <n v="28358"/>
    <n v="4253.7"/>
    <n v="0.15"/>
    <n v="24104.3"/>
    <n v="16150.12"/>
    <n v="7954.1799999999985"/>
    <s v="Mar"/>
    <n v="2024"/>
    <n v="3"/>
  </r>
  <r>
    <s v="ORD-01049"/>
    <d v="2024-03-01T00:00:00"/>
    <s v="Polo Shirt"/>
    <s v="Clothing"/>
    <s v="Instagram"/>
    <s v="Abuja"/>
    <s v="Returning"/>
    <x v="0"/>
    <n v="1"/>
    <n v="26696"/>
    <n v="26696"/>
    <n v="0"/>
    <n v="0"/>
    <n v="26696"/>
    <n v="17786.3"/>
    <n v="8909.7000000000007"/>
    <s v="Mar"/>
    <n v="2024"/>
    <n v="3"/>
  </r>
  <r>
    <s v="ORD-00414"/>
    <d v="2024-03-02T00:00:00"/>
    <s v="Sandals"/>
    <s v="Footwear"/>
    <s v="Website"/>
    <s v="Oyo"/>
    <s v="Returning"/>
    <x v="2"/>
    <n v="1"/>
    <n v="30402"/>
    <n v="30402"/>
    <n v="3040.2"/>
    <n v="0.1"/>
    <n v="27361.8"/>
    <n v="19769.849999999999"/>
    <n v="7591.9500000000007"/>
    <s v="Mar"/>
    <n v="2024"/>
    <n v="3"/>
  </r>
  <r>
    <s v="ORD-01176"/>
    <d v="2024-03-02T00:00:00"/>
    <s v="Handbag"/>
    <s v="Accessories"/>
    <s v="WhatsApp"/>
    <s v="Delta"/>
    <s v="Returning"/>
    <x v="0"/>
    <n v="3"/>
    <n v="45873"/>
    <n v="137619"/>
    <n v="0"/>
    <n v="0"/>
    <n v="137619"/>
    <n v="89781.1"/>
    <n v="47837.899999999994"/>
    <s v="Mar"/>
    <n v="2024"/>
    <n v="3"/>
  </r>
  <r>
    <s v="ORD-00890"/>
    <d v="2024-03-03T00:00:00"/>
    <s v="Jeans"/>
    <s v="Clothing"/>
    <s v="Website"/>
    <s v="Abuja"/>
    <s v="New"/>
    <x v="2"/>
    <n v="3"/>
    <n v="39910"/>
    <n v="119730"/>
    <n v="17959.5"/>
    <n v="0.15"/>
    <n v="101770.5"/>
    <n v="74719.25"/>
    <n v="27051.25"/>
    <s v="Mar"/>
    <n v="2024"/>
    <n v="3"/>
  </r>
  <r>
    <s v="ORD-00540"/>
    <d v="2024-03-03T00:00:00"/>
    <s v="T-Shirt"/>
    <s v="Clothing"/>
    <s v="Website"/>
    <s v="Lagos"/>
    <s v="New"/>
    <x v="2"/>
    <n v="1"/>
    <n v="17133"/>
    <n v="17133"/>
    <n v="856.65"/>
    <n v="0.05"/>
    <n v="16276.35"/>
    <n v="8231.32"/>
    <n v="8045.0300000000007"/>
    <s v="Mar"/>
    <n v="2024"/>
    <n v="3"/>
  </r>
  <r>
    <s v="ORD-00076"/>
    <d v="2024-03-05T00:00:00"/>
    <s v="Sandals"/>
    <s v="Footwear"/>
    <s v="Website"/>
    <s v="Delta"/>
    <s v="Returning"/>
    <x v="0"/>
    <n v="1"/>
    <n v="30822"/>
    <n v="30822"/>
    <n v="0"/>
    <n v="0"/>
    <n v="30822"/>
    <n v="20214.72"/>
    <n v="10607.279999999999"/>
    <s v="Mar"/>
    <n v="2024"/>
    <n v="3"/>
  </r>
  <r>
    <s v="ORD-00690"/>
    <d v="2024-03-07T00:00:00"/>
    <s v="Sneakers"/>
    <s v="Footwear"/>
    <s v="Website"/>
    <s v="Oyo"/>
    <s v="New"/>
    <x v="0"/>
    <n v="1"/>
    <n v="64023"/>
    <n v="64023"/>
    <n v="0"/>
    <n v="0"/>
    <n v="64023"/>
    <n v="38117.800000000003"/>
    <n v="25905.199999999997"/>
    <s v="Mar"/>
    <n v="2024"/>
    <n v="3"/>
  </r>
  <r>
    <s v="ORD-00612"/>
    <d v="2024-03-09T00:00:00"/>
    <s v="Sneakers"/>
    <s v="Footwear"/>
    <s v="Instagram"/>
    <s v="Lagos"/>
    <s v="New"/>
    <x v="0"/>
    <n v="1"/>
    <n v="67123"/>
    <n v="67123"/>
    <n v="0"/>
    <n v="0"/>
    <n v="67123"/>
    <n v="32350.32"/>
    <n v="34772.68"/>
    <s v="Mar"/>
    <n v="2024"/>
    <n v="3"/>
  </r>
  <r>
    <s v="ORD-01038"/>
    <d v="2024-03-09T00:00:00"/>
    <s v="Handbag"/>
    <s v="Accessories"/>
    <s v="Physical Store"/>
    <s v="Abuja"/>
    <s v="New"/>
    <x v="2"/>
    <n v="2"/>
    <n v="42506"/>
    <n v="85012"/>
    <n v="17002.400000000001"/>
    <n v="0.2"/>
    <n v="68009.600000000006"/>
    <n v="48178.1"/>
    <n v="19831.500000000007"/>
    <s v="Mar"/>
    <n v="2024"/>
    <n v="3"/>
  </r>
  <r>
    <s v="ORD-00829"/>
    <d v="2024-03-09T00:00:00"/>
    <s v="Polo Shirt"/>
    <s v="Clothing"/>
    <s v="Physical Store"/>
    <s v="Lagos"/>
    <s v="Returning"/>
    <x v="2"/>
    <n v="1"/>
    <n v="24560"/>
    <n v="24560"/>
    <n v="2456"/>
    <n v="0.1"/>
    <n v="22104"/>
    <n v="16353.33"/>
    <n v="5750.67"/>
    <s v="Mar"/>
    <n v="2024"/>
    <n v="3"/>
  </r>
  <r>
    <s v="ORD-01045"/>
    <d v="2024-03-13T00:00:00"/>
    <s v="Sandals"/>
    <s v="Footwear"/>
    <s v="Instagram"/>
    <s v="Lagos"/>
    <s v="Returning"/>
    <x v="2"/>
    <n v="4"/>
    <n v="29121"/>
    <n v="116484"/>
    <n v="17472.599999999999"/>
    <n v="0.15"/>
    <n v="99011.4"/>
    <n v="61801.96"/>
    <n v="37209.439999999995"/>
    <s v="Mar"/>
    <n v="2024"/>
    <n v="3"/>
  </r>
  <r>
    <s v="ORD-00996"/>
    <d v="2024-03-15T00:00:00"/>
    <s v="Cap"/>
    <s v="Accessories"/>
    <s v="WhatsApp"/>
    <s v="Rivers"/>
    <s v="New"/>
    <x v="2"/>
    <n v="3"/>
    <n v="12381"/>
    <n v="37143"/>
    <n v="1857.15"/>
    <n v="0.05"/>
    <n v="35285.85"/>
    <n v="20280.91"/>
    <n v="15004.939999999999"/>
    <s v="Mar"/>
    <n v="2024"/>
    <n v="3"/>
  </r>
  <r>
    <s v="ORD-00722"/>
    <d v="2024-03-15T00:00:00"/>
    <s v="Sandals"/>
    <s v="Footwear"/>
    <s v="Website"/>
    <s v="Delta"/>
    <s v="New"/>
    <x v="0"/>
    <n v="4"/>
    <n v="28410"/>
    <n v="113640"/>
    <n v="0"/>
    <n v="0"/>
    <n v="113640"/>
    <n v="72030.73"/>
    <n v="41609.270000000004"/>
    <s v="Mar"/>
    <n v="2024"/>
    <n v="3"/>
  </r>
  <r>
    <s v="ORD-00587"/>
    <d v="2024-03-15T00:00:00"/>
    <s v="Cap"/>
    <s v="Accessories"/>
    <s v="Instagram"/>
    <s v="Rivers"/>
    <s v="New"/>
    <x v="0"/>
    <n v="3"/>
    <n v="11828"/>
    <n v="35484"/>
    <n v="5322.6"/>
    <n v="0.15"/>
    <n v="30161.4"/>
    <n v="23392.87"/>
    <n v="6768.5300000000025"/>
    <s v="Mar"/>
    <n v="2024"/>
    <n v="3"/>
  </r>
  <r>
    <s v="ORD-00875"/>
    <d v="2024-03-15T00:00:00"/>
    <s v="Jeans"/>
    <s v="Clothing"/>
    <s v="WhatsApp"/>
    <s v="Oyo"/>
    <s v="New"/>
    <x v="0"/>
    <n v="2"/>
    <n v="44438"/>
    <n v="88876"/>
    <n v="0"/>
    <n v="0"/>
    <n v="88876"/>
    <n v="56489.31"/>
    <n v="32386.690000000002"/>
    <s v="Mar"/>
    <n v="2024"/>
    <n v="3"/>
  </r>
  <r>
    <s v="ORD-00423"/>
    <d v="2024-03-16T00:00:00"/>
    <s v="Belt"/>
    <s v="Accessories"/>
    <s v="Physical Store"/>
    <s v="Abuja"/>
    <s v="Returning"/>
    <x v="2"/>
    <n v="1"/>
    <n v="14707"/>
    <n v="14707"/>
    <n v="2206.0500000000002"/>
    <n v="0.15"/>
    <n v="12500.95"/>
    <n v="8430.7999999999993"/>
    <n v="4070.1500000000015"/>
    <s v="Mar"/>
    <n v="2024"/>
    <n v="3"/>
  </r>
  <r>
    <s v="ORD-00775"/>
    <d v="2024-03-18T00:00:00"/>
    <s v="Jeans"/>
    <s v="Clothing"/>
    <s v="Physical Store"/>
    <s v="Lagos"/>
    <s v="Returning"/>
    <x v="2"/>
    <n v="3"/>
    <n v="40429"/>
    <n v="121287"/>
    <n v="6064.35"/>
    <n v="0.05"/>
    <n v="115222.65"/>
    <n v="68404.38"/>
    <n v="46818.26999999999"/>
    <s v="Mar"/>
    <n v="2024"/>
    <n v="3"/>
  </r>
  <r>
    <s v="ORD-00666"/>
    <d v="2024-03-18T00:00:00"/>
    <s v="Sandals"/>
    <s v="Footwear"/>
    <s v="Physical Store"/>
    <s v="Lagos"/>
    <s v="Returning"/>
    <x v="2"/>
    <n v="2"/>
    <n v="30408"/>
    <n v="60816"/>
    <n v="6081.6"/>
    <n v="0.1"/>
    <n v="54734.400000000001"/>
    <n v="35220.870000000003"/>
    <n v="19513.53"/>
    <s v="Mar"/>
    <n v="2024"/>
    <n v="3"/>
  </r>
  <r>
    <s v="ORD-00490"/>
    <d v="2024-03-20T00:00:00"/>
    <s v="Hoodie"/>
    <s v="Clothing"/>
    <s v="Website"/>
    <s v="Abuja"/>
    <s v="New"/>
    <x v="2"/>
    <n v="3"/>
    <n v="38453"/>
    <n v="115359"/>
    <n v="11535.9"/>
    <n v="0.1"/>
    <n v="103823.1"/>
    <n v="67214.16"/>
    <n v="36608.94"/>
    <s v="Mar"/>
    <n v="2024"/>
    <n v="3"/>
  </r>
  <r>
    <s v="ORD-00604"/>
    <d v="2024-03-21T00:00:00"/>
    <s v="T-Shirt"/>
    <s v="Clothing"/>
    <s v="Physical Store"/>
    <s v="Lagos"/>
    <s v="New"/>
    <x v="2"/>
    <n v="2"/>
    <n v="18863"/>
    <n v="37726"/>
    <n v="3772.6"/>
    <n v="0.1"/>
    <n v="33953.4"/>
    <n v="21325.14"/>
    <n v="12628.260000000002"/>
    <s v="Mar"/>
    <n v="2024"/>
    <n v="3"/>
  </r>
  <r>
    <s v="ORD-00962"/>
    <d v="2024-03-22T00:00:00"/>
    <s v="Jeans"/>
    <s v="Clothing"/>
    <s v="WhatsApp"/>
    <s v="Oyo"/>
    <s v="New"/>
    <x v="2"/>
    <n v="2"/>
    <n v="38764"/>
    <n v="77528"/>
    <n v="7752.8"/>
    <n v="0.1"/>
    <n v="69775.199999999997"/>
    <n v="40731.67"/>
    <n v="29043.53"/>
    <s v="Mar"/>
    <n v="2024"/>
    <n v="3"/>
  </r>
  <r>
    <s v="ORD-00557"/>
    <d v="2024-03-23T00:00:00"/>
    <s v="Belt"/>
    <s v="Accessories"/>
    <s v="Physical Store"/>
    <s v="Rivers"/>
    <s v="New"/>
    <x v="0"/>
    <n v="1"/>
    <n v="16009"/>
    <n v="16009"/>
    <n v="0"/>
    <n v="0"/>
    <n v="16009"/>
    <n v="9415.06"/>
    <n v="6593.9400000000005"/>
    <s v="Mar"/>
    <n v="2024"/>
    <n v="3"/>
  </r>
  <r>
    <s v="ORD-00684"/>
    <d v="2024-03-26T00:00:00"/>
    <s v="Belt"/>
    <s v="Accessories"/>
    <s v="WhatsApp"/>
    <s v="Lagos"/>
    <s v="Returning"/>
    <x v="2"/>
    <n v="5"/>
    <n v="15496"/>
    <n v="77480"/>
    <n v="11622"/>
    <n v="0.15"/>
    <n v="65858"/>
    <n v="43576.25"/>
    <n v="22281.75"/>
    <s v="Mar"/>
    <n v="2024"/>
    <n v="3"/>
  </r>
  <r>
    <s v="ORD-00931"/>
    <d v="2024-03-27T00:00:00"/>
    <s v="Polo Shirt"/>
    <s v="Clothing"/>
    <s v="Physical Store"/>
    <s v="Lagos"/>
    <s v="Returning"/>
    <x v="0"/>
    <n v="3"/>
    <n v="24492"/>
    <n v="73476"/>
    <n v="3673.8"/>
    <n v="0.05"/>
    <n v="69802.2"/>
    <n v="43474.05"/>
    <n v="26328.149999999994"/>
    <s v="Mar"/>
    <n v="2024"/>
    <n v="3"/>
  </r>
  <r>
    <s v="ORD-00007"/>
    <d v="2024-03-28T00:00:00"/>
    <s v="Dress"/>
    <s v="Clothing"/>
    <s v="Website"/>
    <s v="Oyo"/>
    <s v="Returning"/>
    <x v="0"/>
    <n v="2"/>
    <n v="50755"/>
    <n v="101510"/>
    <n v="0"/>
    <n v="0"/>
    <n v="101510"/>
    <n v="50057.14"/>
    <n v="51452.86"/>
    <s v="Mar"/>
    <n v="2024"/>
    <n v="3"/>
  </r>
  <r>
    <s v="ORD-00780"/>
    <d v="2024-03-29T00:00:00"/>
    <s v="Hoodie"/>
    <s v="Clothing"/>
    <s v="Website"/>
    <s v="Oyo"/>
    <s v="Returning"/>
    <x v="2"/>
    <n v="2"/>
    <n v="40773"/>
    <n v="81546"/>
    <n v="12231.9"/>
    <n v="0.15"/>
    <n v="69314.100000000006"/>
    <n v="43185.66"/>
    <n v="26128.440000000002"/>
    <s v="Mar"/>
    <n v="2024"/>
    <n v="3"/>
  </r>
  <r>
    <s v="ORD-00508"/>
    <d v="2024-03-30T00:00:00"/>
    <s v="Handbag"/>
    <s v="Accessories"/>
    <s v="Physical Store"/>
    <s v="Abuja"/>
    <s v="New"/>
    <x v="2"/>
    <n v="4"/>
    <n v="41405"/>
    <n v="165620"/>
    <n v="33124"/>
    <n v="0.2"/>
    <n v="132496"/>
    <n v="103323.71"/>
    <n v="29172.289999999994"/>
    <s v="Mar"/>
    <n v="2024"/>
    <n v="3"/>
  </r>
  <r>
    <s v="ORD-00744"/>
    <d v="2024-03-30T00:00:00"/>
    <s v="Cap"/>
    <s v="Accessories"/>
    <s v="Physical Store"/>
    <s v="Rivers"/>
    <s v="New"/>
    <x v="0"/>
    <n v="1"/>
    <n v="12222"/>
    <n v="12222"/>
    <n v="0"/>
    <n v="0"/>
    <n v="12222"/>
    <n v="6854.46"/>
    <n v="5367.54"/>
    <s v="Mar"/>
    <n v="2024"/>
    <n v="3"/>
  </r>
  <r>
    <s v="ORD-00387"/>
    <d v="2024-03-30T00:00:00"/>
    <s v="Belt"/>
    <s v="Accessories"/>
    <s v="Website"/>
    <s v="Abuja"/>
    <s v="Returning"/>
    <x v="2"/>
    <n v="2"/>
    <n v="15021"/>
    <n v="30042"/>
    <n v="4506.3"/>
    <n v="0.15"/>
    <n v="25535.7"/>
    <n v="19623.650000000001"/>
    <n v="5912.0499999999993"/>
    <s v="Mar"/>
    <n v="2024"/>
    <n v="3"/>
  </r>
  <r>
    <s v="ORD-00465"/>
    <d v="2024-03-31T00:00:00"/>
    <s v="Cap"/>
    <s v="Accessories"/>
    <s v="Physical Store"/>
    <s v="Lagos"/>
    <s v="New"/>
    <x v="0"/>
    <n v="2"/>
    <n v="12695"/>
    <n v="25390"/>
    <n v="0"/>
    <n v="0"/>
    <n v="25390"/>
    <n v="17183.48"/>
    <n v="8206.52"/>
    <s v="Mar"/>
    <n v="2024"/>
    <n v="3"/>
  </r>
  <r>
    <s v="ORD-00044"/>
    <d v="2024-04-01T00:00:00"/>
    <s v="Handbag"/>
    <s v="Accessories"/>
    <s v="Physical Store"/>
    <s v="Rivers"/>
    <s v="New"/>
    <x v="0"/>
    <n v="1"/>
    <n v="44881"/>
    <n v="44881"/>
    <n v="0"/>
    <n v="0"/>
    <n v="44881"/>
    <n v="26481.82"/>
    <n v="18399.18"/>
    <s v="Apr"/>
    <n v="2024"/>
    <n v="4"/>
  </r>
  <r>
    <s v="ORD-00627"/>
    <d v="2024-04-02T00:00:00"/>
    <s v="Cap"/>
    <s v="Accessories"/>
    <s v="WhatsApp"/>
    <s v="Lagos"/>
    <s v="Returning"/>
    <x v="2"/>
    <n v="3"/>
    <n v="12688"/>
    <n v="38064"/>
    <n v="3806.4"/>
    <n v="0.1"/>
    <n v="34257.599999999999"/>
    <n v="21329.65"/>
    <n v="12927.949999999997"/>
    <s v="Apr"/>
    <n v="2024"/>
    <n v="4"/>
  </r>
  <r>
    <s v="ORD-00347"/>
    <d v="2024-04-03T00:00:00"/>
    <s v="Sandals"/>
    <s v="Footwear"/>
    <s v="Physical Store"/>
    <s v="Abuja"/>
    <s v="New"/>
    <x v="0"/>
    <n v="1"/>
    <n v="27897"/>
    <n v="27897"/>
    <n v="0"/>
    <n v="0"/>
    <n v="27897"/>
    <n v="16592.39"/>
    <n v="11304.61"/>
    <s v="Apr"/>
    <n v="2024"/>
    <n v="4"/>
  </r>
  <r>
    <s v="ORD-00825"/>
    <d v="2024-04-04T00:00:00"/>
    <s v="Cap"/>
    <s v="Accessories"/>
    <s v="Physical Store"/>
    <s v="Lagos"/>
    <s v="Returning"/>
    <x v="0"/>
    <n v="1"/>
    <n v="11689"/>
    <n v="11689"/>
    <n v="0"/>
    <n v="0"/>
    <n v="11689"/>
    <n v="6460.65"/>
    <n v="5228.3500000000004"/>
    <s v="Apr"/>
    <n v="2024"/>
    <n v="4"/>
  </r>
  <r>
    <s v="ORD-00621"/>
    <d v="2024-04-04T00:00:00"/>
    <s v="T-Shirt"/>
    <s v="Clothing"/>
    <s v="Physical Store"/>
    <s v="Abuja"/>
    <s v="Returning"/>
    <x v="0"/>
    <n v="1"/>
    <n v="18986"/>
    <n v="18986"/>
    <n v="0"/>
    <n v="0"/>
    <n v="18986"/>
    <n v="11621.22"/>
    <n v="7364.7800000000007"/>
    <s v="Apr"/>
    <n v="2024"/>
    <n v="4"/>
  </r>
  <r>
    <s v="ORD-00567"/>
    <d v="2024-04-04T00:00:00"/>
    <s v="Handbag"/>
    <s v="Accessories"/>
    <s v="Website"/>
    <s v="Delta"/>
    <s v="Returning"/>
    <x v="2"/>
    <n v="1"/>
    <n v="41757"/>
    <n v="41757"/>
    <n v="6263.55"/>
    <n v="0.15"/>
    <n v="35493.449999999997"/>
    <n v="20317.759999999998"/>
    <n v="15175.689999999999"/>
    <s v="Apr"/>
    <n v="2024"/>
    <n v="4"/>
  </r>
  <r>
    <s v="ORD-00407"/>
    <d v="2024-04-05T00:00:00"/>
    <s v="Polo Shirt"/>
    <s v="Clothing"/>
    <s v="WhatsApp"/>
    <s v="Lagos"/>
    <s v="Returning"/>
    <x v="0"/>
    <n v="1"/>
    <n v="24248"/>
    <n v="24248"/>
    <n v="0"/>
    <n v="0"/>
    <n v="24248"/>
    <n v="15500.78"/>
    <n v="8747.2199999999993"/>
    <s v="Apr"/>
    <n v="2024"/>
    <n v="4"/>
  </r>
  <r>
    <s v="ORD-00118"/>
    <d v="2024-04-05T00:00:00"/>
    <s v="Belt"/>
    <s v="Accessories"/>
    <s v="WhatsApp"/>
    <s v="Lagos"/>
    <s v="New"/>
    <x v="0"/>
    <n v="2"/>
    <n v="15811"/>
    <n v="31622"/>
    <n v="0"/>
    <n v="0"/>
    <n v="31622"/>
    <n v="17892.88"/>
    <n v="13729.119999999999"/>
    <s v="Apr"/>
    <n v="2024"/>
    <n v="4"/>
  </r>
  <r>
    <s v="ORD-00944"/>
    <d v="2024-04-05T00:00:00"/>
    <s v="Sandals"/>
    <s v="Footwear"/>
    <s v="Physical Store"/>
    <s v="Abuja"/>
    <s v="Returning"/>
    <x v="0"/>
    <n v="3"/>
    <n v="30439"/>
    <n v="91317"/>
    <n v="0"/>
    <n v="0"/>
    <n v="91317"/>
    <n v="44458.44"/>
    <n v="46858.559999999998"/>
    <s v="Apr"/>
    <n v="2024"/>
    <n v="4"/>
  </r>
  <r>
    <s v="ORD-01032"/>
    <d v="2024-04-07T00:00:00"/>
    <s v="Handbag"/>
    <s v="Accessories"/>
    <s v="Physical Store"/>
    <s v="Rivers"/>
    <s v="Returning"/>
    <x v="0"/>
    <n v="2"/>
    <n v="42152"/>
    <n v="84304"/>
    <n v="0"/>
    <n v="0"/>
    <n v="84304"/>
    <n v="45306.81"/>
    <n v="38997.19"/>
    <s v="Apr"/>
    <n v="2024"/>
    <n v="4"/>
  </r>
  <r>
    <s v="ORD-00593"/>
    <d v="2024-04-07T00:00:00"/>
    <s v="Dress"/>
    <s v="Clothing"/>
    <s v="Physical Store"/>
    <s v="Lagos"/>
    <s v="Returning"/>
    <x v="2"/>
    <n v="2"/>
    <n v="49031"/>
    <n v="98062"/>
    <n v="14709.3"/>
    <n v="0.15"/>
    <n v="83352.7"/>
    <n v="56078.64"/>
    <n v="27274.059999999998"/>
    <s v="Apr"/>
    <n v="2024"/>
    <n v="4"/>
  </r>
  <r>
    <s v="ORD-00098"/>
    <d v="2024-04-08T00:00:00"/>
    <s v="Polo Shirt"/>
    <s v="Clothing"/>
    <s v="Physical Store"/>
    <s v="Lagos"/>
    <s v="Returning"/>
    <x v="0"/>
    <n v="2"/>
    <n v="24647"/>
    <n v="49294"/>
    <n v="0"/>
    <n v="0"/>
    <n v="49294"/>
    <n v="29038.42"/>
    <n v="20255.580000000002"/>
    <s v="Apr"/>
    <n v="2024"/>
    <n v="4"/>
  </r>
  <r>
    <s v="ORD-00206"/>
    <d v="2024-04-08T00:00:00"/>
    <s v="Polo Shirt"/>
    <s v="Clothing"/>
    <s v="Instagram"/>
    <s v="Rivers"/>
    <s v="Returning"/>
    <x v="0"/>
    <n v="1"/>
    <n v="23273"/>
    <n v="23273"/>
    <n v="2327.3000000000002"/>
    <n v="0.1"/>
    <n v="20945.7"/>
    <n v="14409.7"/>
    <n v="6536"/>
    <s v="Apr"/>
    <n v="2024"/>
    <n v="4"/>
  </r>
  <r>
    <s v="ORD-00247"/>
    <d v="2024-04-08T00:00:00"/>
    <s v="Jeans"/>
    <s v="Clothing"/>
    <s v="WhatsApp"/>
    <s v="Lagos"/>
    <s v="New"/>
    <x v="0"/>
    <n v="2"/>
    <n v="41617"/>
    <n v="83234"/>
    <n v="0"/>
    <n v="0"/>
    <n v="83234"/>
    <n v="54285.97"/>
    <n v="28948.03"/>
    <s v="Apr"/>
    <n v="2024"/>
    <n v="4"/>
  </r>
  <r>
    <s v="ORD-01057"/>
    <d v="2024-04-11T00:00:00"/>
    <s v="Sandals"/>
    <s v="Footwear"/>
    <s v="Instagram"/>
    <s v="Delta"/>
    <s v="New"/>
    <x v="0"/>
    <n v="2"/>
    <n v="31413"/>
    <n v="62826"/>
    <n v="0"/>
    <n v="0"/>
    <n v="62826"/>
    <n v="34332.019999999997"/>
    <n v="28493.980000000003"/>
    <s v="Apr"/>
    <n v="2024"/>
    <n v="4"/>
  </r>
  <r>
    <s v="ORD-00589"/>
    <d v="2024-04-12T00:00:00"/>
    <s v="Dress"/>
    <s v="Clothing"/>
    <s v="Physical Store"/>
    <s v="Abuja"/>
    <s v="New"/>
    <x v="0"/>
    <n v="2"/>
    <n v="48446"/>
    <n v="96892"/>
    <n v="0"/>
    <n v="0"/>
    <n v="96892"/>
    <n v="64581.23"/>
    <n v="32310.769999999997"/>
    <s v="Apr"/>
    <n v="2024"/>
    <n v="4"/>
  </r>
  <r>
    <s v="ORD-00203"/>
    <d v="2024-04-13T00:00:00"/>
    <s v="Polo Shirt"/>
    <s v="Clothing"/>
    <s v="Website"/>
    <s v="Abuja"/>
    <s v="Returning"/>
    <x v="0"/>
    <n v="3"/>
    <n v="24673"/>
    <n v="74019"/>
    <n v="11102.85"/>
    <n v="0.15"/>
    <n v="62916.15"/>
    <n v="37029.82"/>
    <n v="25886.33"/>
    <s v="Apr"/>
    <n v="2024"/>
    <n v="4"/>
  </r>
  <r>
    <s v="ORD-00795"/>
    <d v="2024-04-13T00:00:00"/>
    <s v="Cap"/>
    <s v="Accessories"/>
    <s v="Instagram"/>
    <s v="Delta"/>
    <s v="Returning"/>
    <x v="2"/>
    <n v="1"/>
    <n v="12879"/>
    <n v="12879"/>
    <n v="2575.8000000000002"/>
    <n v="0.2"/>
    <n v="10303.200000000001"/>
    <n v="6220.55"/>
    <n v="4082.6500000000005"/>
    <s v="Apr"/>
    <n v="2024"/>
    <n v="4"/>
  </r>
  <r>
    <s v="ORD-00544"/>
    <d v="2024-04-14T00:00:00"/>
    <s v="Handbag"/>
    <s v="Accessories"/>
    <s v="Website"/>
    <s v="Rivers"/>
    <s v="New"/>
    <x v="0"/>
    <n v="3"/>
    <n v="45565"/>
    <n v="136695"/>
    <n v="0"/>
    <n v="0"/>
    <n v="136695"/>
    <n v="80762.12"/>
    <n v="55932.880000000005"/>
    <s v="Apr"/>
    <n v="2024"/>
    <n v="4"/>
  </r>
  <r>
    <s v="ORD-00650"/>
    <d v="2024-04-16T00:00:00"/>
    <s v="Hoodie"/>
    <s v="Clothing"/>
    <s v="Physical Store"/>
    <s v="Lagos"/>
    <s v="New"/>
    <x v="0"/>
    <n v="4"/>
    <n v="39899"/>
    <n v="159596"/>
    <n v="0"/>
    <n v="0"/>
    <n v="159596"/>
    <n v="105791.1"/>
    <n v="53804.899999999994"/>
    <s v="Apr"/>
    <n v="2024"/>
    <n v="4"/>
  </r>
  <r>
    <s v="ORD-01055"/>
    <d v="2024-04-17T00:00:00"/>
    <s v="Polo Shirt"/>
    <s v="Clothing"/>
    <s v="Website"/>
    <s v="Lagos"/>
    <s v="New"/>
    <x v="2"/>
    <n v="2"/>
    <n v="26863"/>
    <n v="53726"/>
    <n v="5372.6"/>
    <n v="0.1"/>
    <n v="48353.4"/>
    <n v="30556.29"/>
    <n v="17797.11"/>
    <s v="Apr"/>
    <n v="2024"/>
    <n v="4"/>
  </r>
  <r>
    <s v="ORD-00692"/>
    <d v="2024-04-18T00:00:00"/>
    <s v="Dress"/>
    <s v="Clothing"/>
    <s v="Instagram"/>
    <s v="Lagos"/>
    <s v="New"/>
    <x v="2"/>
    <n v="1"/>
    <n v="50116"/>
    <n v="50116"/>
    <n v="7517.4"/>
    <n v="0.15"/>
    <n v="42598.6"/>
    <n v="27258.99"/>
    <n v="15339.609999999997"/>
    <s v="Apr"/>
    <n v="2024"/>
    <n v="4"/>
  </r>
  <r>
    <s v="ORD-00438"/>
    <d v="2024-04-18T00:00:00"/>
    <s v="Handbag"/>
    <s v="Accessories"/>
    <s v="Physical Store"/>
    <s v="Lagos"/>
    <s v="Returning"/>
    <x v="0"/>
    <n v="2"/>
    <n v="41519"/>
    <n v="83038"/>
    <n v="0"/>
    <n v="0"/>
    <n v="83038"/>
    <n v="53072.25"/>
    <n v="29965.75"/>
    <s v="Apr"/>
    <n v="2024"/>
    <n v="4"/>
  </r>
  <r>
    <s v="ORD-00693"/>
    <d v="2024-04-20T00:00:00"/>
    <s v="Polo Shirt"/>
    <s v="Clothing"/>
    <s v="Physical Store"/>
    <s v="Lagos"/>
    <s v="Returning"/>
    <x v="0"/>
    <n v="3"/>
    <n v="23759"/>
    <n v="71277"/>
    <n v="0"/>
    <n v="0"/>
    <n v="71277"/>
    <n v="44495.199999999997"/>
    <n v="26781.800000000003"/>
    <s v="Apr"/>
    <n v="2024"/>
    <n v="4"/>
  </r>
  <r>
    <s v="ORD-00618"/>
    <d v="2024-04-20T00:00:00"/>
    <s v="Handbag"/>
    <s v="Accessories"/>
    <s v="Instagram"/>
    <s v="Lagos"/>
    <s v="Returning"/>
    <x v="0"/>
    <n v="1"/>
    <n v="44985"/>
    <n v="44985"/>
    <n v="0"/>
    <n v="0"/>
    <n v="44985"/>
    <n v="28898.07"/>
    <n v="16086.93"/>
    <s v="Apr"/>
    <n v="2024"/>
    <n v="4"/>
  </r>
  <r>
    <s v="ORD-00695"/>
    <d v="2024-04-20T00:00:00"/>
    <s v="Polo Shirt"/>
    <s v="Clothing"/>
    <s v="WhatsApp"/>
    <s v="Abuja"/>
    <s v="Returning"/>
    <x v="2"/>
    <n v="1"/>
    <n v="26945"/>
    <n v="26945"/>
    <n v="5389"/>
    <n v="0.2"/>
    <n v="21556"/>
    <n v="17968.38"/>
    <n v="3587.619999999999"/>
    <s v="Apr"/>
    <n v="2024"/>
    <n v="4"/>
  </r>
  <r>
    <s v="ORD-00740"/>
    <d v="2024-04-22T00:00:00"/>
    <s v="Sandals"/>
    <s v="Footwear"/>
    <s v="Website"/>
    <s v="Lagos"/>
    <s v="Returning"/>
    <x v="2"/>
    <n v="3"/>
    <n v="28788"/>
    <n v="86364"/>
    <n v="4318.2"/>
    <n v="0.05"/>
    <n v="82045.8"/>
    <n v="54633.74"/>
    <n v="27412.060000000005"/>
    <s v="Apr"/>
    <n v="2024"/>
    <n v="4"/>
  </r>
  <r>
    <s v="ORD-00145"/>
    <d v="2024-04-22T00:00:00"/>
    <s v="Sandals"/>
    <s v="Footwear"/>
    <s v="Physical Store"/>
    <s v="Rivers"/>
    <s v="New"/>
    <x v="0"/>
    <n v="4"/>
    <n v="31083"/>
    <n v="124332"/>
    <n v="0"/>
    <n v="0"/>
    <n v="124332"/>
    <n v="71017.919999999998"/>
    <n v="53314.080000000002"/>
    <s v="Apr"/>
    <n v="2024"/>
    <n v="4"/>
  </r>
  <r>
    <s v="ORD-00923"/>
    <d v="2024-04-23T00:00:00"/>
    <s v="Cap"/>
    <s v="Accessories"/>
    <s v="Instagram"/>
    <s v="Lagos"/>
    <s v="New"/>
    <x v="0"/>
    <n v="3"/>
    <n v="11420"/>
    <n v="34260"/>
    <n v="0"/>
    <n v="0"/>
    <n v="34260"/>
    <n v="21869.119999999999"/>
    <n v="12390.880000000001"/>
    <s v="Apr"/>
    <n v="2024"/>
    <n v="4"/>
  </r>
  <r>
    <s v="ORD-00393"/>
    <d v="2024-04-24T00:00:00"/>
    <s v="Jeans"/>
    <s v="Clothing"/>
    <s v="Physical Store"/>
    <s v="Lagos"/>
    <s v="Returning"/>
    <x v="2"/>
    <n v="1"/>
    <n v="43598"/>
    <n v="43598"/>
    <n v="4359.8"/>
    <n v="0.1"/>
    <n v="39238.199999999997"/>
    <n v="24764.28"/>
    <n v="14473.919999999998"/>
    <s v="Apr"/>
    <n v="2024"/>
    <n v="4"/>
  </r>
  <r>
    <s v="ORD-00326"/>
    <d v="2024-04-26T00:00:00"/>
    <s v="Jeans"/>
    <s v="Clothing"/>
    <s v="WhatsApp"/>
    <s v="Abuja"/>
    <s v="New"/>
    <x v="0"/>
    <n v="1"/>
    <n v="44416"/>
    <n v="44416"/>
    <n v="0"/>
    <n v="0"/>
    <n v="44416"/>
    <n v="27490.43"/>
    <n v="16925.57"/>
    <s v="Apr"/>
    <n v="2024"/>
    <n v="4"/>
  </r>
  <r>
    <s v="ORD-00870"/>
    <d v="2024-04-26T00:00:00"/>
    <s v="Belt"/>
    <s v="Accessories"/>
    <s v="Physical Store"/>
    <s v="Delta"/>
    <s v="New"/>
    <x v="2"/>
    <n v="2"/>
    <n v="16174"/>
    <n v="32348"/>
    <n v="3234.8"/>
    <n v="0.1"/>
    <n v="29113.200000000001"/>
    <n v="16007.94"/>
    <n v="13105.26"/>
    <s v="Apr"/>
    <n v="2024"/>
    <n v="4"/>
  </r>
  <r>
    <s v="ORD-00573"/>
    <d v="2024-04-27T00:00:00"/>
    <s v="Handbag"/>
    <s v="Accessories"/>
    <s v="Website"/>
    <s v="Abuja"/>
    <s v="New"/>
    <x v="2"/>
    <n v="3"/>
    <n v="47988"/>
    <n v="143964"/>
    <n v="21594.6"/>
    <n v="0.15"/>
    <n v="122369.4"/>
    <n v="88773.26"/>
    <n v="33596.14"/>
    <s v="Apr"/>
    <n v="2024"/>
    <n v="4"/>
  </r>
  <r>
    <s v="ORD-00725"/>
    <d v="2024-04-27T00:00:00"/>
    <s v="Hoodie"/>
    <s v="Clothing"/>
    <s v="Website"/>
    <s v="Lagos"/>
    <s v="Returning"/>
    <x v="0"/>
    <n v="3"/>
    <n v="40309"/>
    <n v="120927"/>
    <n v="0"/>
    <n v="0"/>
    <n v="120927"/>
    <n v="63947.75"/>
    <n v="56979.25"/>
    <s v="Apr"/>
    <n v="2024"/>
    <n v="4"/>
  </r>
  <r>
    <s v="ORD-00322"/>
    <d v="2024-04-29T00:00:00"/>
    <s v="Sandals"/>
    <s v="Footwear"/>
    <s v="Physical Store"/>
    <s v="Delta"/>
    <s v="Returning"/>
    <x v="2"/>
    <n v="1"/>
    <n v="32036"/>
    <n v="32036"/>
    <n v="4805.3999999999996"/>
    <n v="0.15"/>
    <n v="27230.6"/>
    <n v="18574.29"/>
    <n v="8656.3099999999977"/>
    <s v="Apr"/>
    <n v="2024"/>
    <n v="4"/>
  </r>
  <r>
    <s v="ORD-00004"/>
    <d v="2024-05-01T00:00:00"/>
    <s v="Polo Shirt"/>
    <s v="Clothing"/>
    <s v="WhatsApp"/>
    <s v="Oyo"/>
    <s v="New"/>
    <x v="0"/>
    <n v="1"/>
    <n v="25467"/>
    <n v="25467"/>
    <n v="0"/>
    <n v="0"/>
    <n v="25467"/>
    <n v="15442.24"/>
    <n v="10024.76"/>
    <s v="May"/>
    <n v="2024"/>
    <n v="5"/>
  </r>
  <r>
    <s v="ORD-00156"/>
    <d v="2024-05-02T00:00:00"/>
    <s v="Sandals"/>
    <s v="Footwear"/>
    <s v="Physical Store"/>
    <s v="Lagos"/>
    <s v="Returning"/>
    <x v="0"/>
    <n v="3"/>
    <n v="28361"/>
    <n v="85083"/>
    <n v="0"/>
    <n v="0"/>
    <n v="85083"/>
    <n v="54857.74"/>
    <n v="30225.260000000002"/>
    <s v="May"/>
    <n v="2024"/>
    <n v="5"/>
  </r>
  <r>
    <s v="ORD-00685"/>
    <d v="2024-05-05T00:00:00"/>
    <s v="Hoodie"/>
    <s v="Clothing"/>
    <s v="Physical Store"/>
    <s v="Rivers"/>
    <s v="Returning"/>
    <x v="0"/>
    <n v="3"/>
    <n v="37357"/>
    <n v="112071"/>
    <n v="0"/>
    <n v="0"/>
    <n v="112071"/>
    <n v="56487.35"/>
    <n v="55583.65"/>
    <s v="May"/>
    <n v="2024"/>
    <n v="5"/>
  </r>
  <r>
    <s v="ORD-00616"/>
    <d v="2024-05-05T00:00:00"/>
    <s v="Sneakers"/>
    <s v="Footwear"/>
    <s v="Website"/>
    <s v="Delta"/>
    <s v="Returning"/>
    <x v="0"/>
    <n v="1"/>
    <n v="66792"/>
    <n v="66792"/>
    <n v="0"/>
    <n v="0"/>
    <n v="66792"/>
    <n v="33380.949999999997"/>
    <n v="33411.050000000003"/>
    <s v="May"/>
    <n v="2024"/>
    <n v="5"/>
  </r>
  <r>
    <s v="ORD-00851"/>
    <d v="2024-05-06T00:00:00"/>
    <s v="Polo Shirt"/>
    <s v="Clothing"/>
    <s v="WhatsApp"/>
    <s v="Abuja"/>
    <s v="Returning"/>
    <x v="0"/>
    <n v="1"/>
    <n v="25531"/>
    <n v="25531"/>
    <n v="0"/>
    <n v="0"/>
    <n v="25531"/>
    <n v="14849.67"/>
    <n v="10681.33"/>
    <s v="May"/>
    <n v="2024"/>
    <n v="5"/>
  </r>
  <r>
    <s v="ORD-00260"/>
    <d v="2024-05-07T00:00:00"/>
    <s v="Handbag"/>
    <s v="Accessories"/>
    <s v="Website"/>
    <s v="Abuja"/>
    <s v="New"/>
    <x v="0"/>
    <n v="3"/>
    <n v="44700"/>
    <n v="134100"/>
    <n v="13410"/>
    <n v="0.1"/>
    <n v="120690"/>
    <n v="79770.39"/>
    <n v="40919.61"/>
    <s v="May"/>
    <n v="2024"/>
    <n v="5"/>
  </r>
  <r>
    <s v="ORD-00982"/>
    <d v="2024-05-07T00:00:00"/>
    <s v="Hoodie"/>
    <s v="Clothing"/>
    <s v="WhatsApp"/>
    <s v="Oyo"/>
    <s v="Returning"/>
    <x v="0"/>
    <n v="3"/>
    <n v="40201"/>
    <n v="120603"/>
    <n v="0"/>
    <n v="0"/>
    <n v="120603"/>
    <n v="62572.52"/>
    <n v="58030.48"/>
    <s v="May"/>
    <n v="2024"/>
    <n v="5"/>
  </r>
  <r>
    <s v="ORD-00998"/>
    <d v="2024-05-07T00:00:00"/>
    <s v="Polo Shirt"/>
    <s v="Clothing"/>
    <s v="WhatsApp"/>
    <s v="Abuja"/>
    <s v="Returning"/>
    <x v="0"/>
    <n v="4"/>
    <n v="26413"/>
    <n v="105652"/>
    <n v="10565.2"/>
    <n v="0.1"/>
    <n v="95086.8"/>
    <n v="57102.45"/>
    <n v="37984.350000000006"/>
    <s v="May"/>
    <n v="2024"/>
    <n v="5"/>
  </r>
  <r>
    <s v="ORD-00824"/>
    <d v="2024-05-09T00:00:00"/>
    <s v="Sandals"/>
    <s v="Footwear"/>
    <s v="Physical Store"/>
    <s v="Lagos"/>
    <s v="New"/>
    <x v="0"/>
    <n v="1"/>
    <n v="32306"/>
    <n v="32306"/>
    <n v="0"/>
    <n v="0"/>
    <n v="32306"/>
    <n v="15569.56"/>
    <n v="16736.440000000002"/>
    <s v="May"/>
    <n v="2024"/>
    <n v="5"/>
  </r>
  <r>
    <s v="ORD-01020"/>
    <d v="2024-05-09T00:00:00"/>
    <s v="Polo Shirt"/>
    <s v="Clothing"/>
    <s v="Physical Store"/>
    <s v="Rivers"/>
    <s v="New"/>
    <x v="0"/>
    <n v="1"/>
    <n v="24945"/>
    <n v="24945"/>
    <n v="0"/>
    <n v="0"/>
    <n v="24945"/>
    <n v="12947.33"/>
    <n v="11997.67"/>
    <s v="May"/>
    <n v="2024"/>
    <n v="5"/>
  </r>
  <r>
    <s v="ORD-01054"/>
    <d v="2024-05-10T00:00:00"/>
    <s v="Hoodie"/>
    <s v="Clothing"/>
    <s v="Instagram"/>
    <s v="Lagos"/>
    <s v="New"/>
    <x v="0"/>
    <n v="1"/>
    <n v="36613"/>
    <n v="36613"/>
    <n v="0"/>
    <n v="0"/>
    <n v="36613"/>
    <n v="17929.759999999998"/>
    <n v="18683.240000000002"/>
    <s v="May"/>
    <n v="2024"/>
    <n v="5"/>
  </r>
  <r>
    <s v="ORD-01100"/>
    <d v="2024-05-10T00:00:00"/>
    <s v="Dress"/>
    <s v="Clothing"/>
    <s v="WhatsApp"/>
    <s v="Lagos"/>
    <s v="New"/>
    <x v="0"/>
    <n v="3"/>
    <n v="50376"/>
    <n v="151128"/>
    <n v="0"/>
    <n v="0"/>
    <n v="151128"/>
    <n v="84589.35"/>
    <n v="66538.649999999994"/>
    <s v="May"/>
    <n v="2024"/>
    <n v="5"/>
  </r>
  <r>
    <s v="ORD-00009"/>
    <d v="2024-05-10T00:00:00"/>
    <s v="Cap"/>
    <s v="Accessories"/>
    <s v="Website"/>
    <s v="Oyo"/>
    <s v="Returning"/>
    <x v="0"/>
    <n v="1"/>
    <n v="11481"/>
    <n v="11481"/>
    <n v="1148.0999999999999"/>
    <n v="0.1"/>
    <n v="10332.9"/>
    <n v="7504.11"/>
    <n v="2828.79"/>
    <s v="May"/>
    <n v="2024"/>
    <n v="5"/>
  </r>
  <r>
    <s v="ORD-00777"/>
    <d v="2024-05-11T00:00:00"/>
    <s v="T-Shirt"/>
    <s v="Clothing"/>
    <s v="Physical Store"/>
    <s v="Oyo"/>
    <s v="New"/>
    <x v="0"/>
    <n v="3"/>
    <n v="16891"/>
    <n v="50673"/>
    <n v="0"/>
    <n v="0"/>
    <n v="50673"/>
    <n v="28797.95"/>
    <n v="21875.05"/>
    <s v="May"/>
    <n v="2024"/>
    <n v="5"/>
  </r>
  <r>
    <s v="ORD-00605"/>
    <d v="2024-05-12T00:00:00"/>
    <s v="Sneakers"/>
    <s v="Footwear"/>
    <s v="Physical Store"/>
    <s v="Lagos"/>
    <s v="New"/>
    <x v="0"/>
    <n v="1"/>
    <n v="68198"/>
    <n v="68198"/>
    <n v="0"/>
    <n v="0"/>
    <n v="68198"/>
    <n v="33481.32"/>
    <n v="34716.68"/>
    <s v="May"/>
    <n v="2024"/>
    <n v="5"/>
  </r>
  <r>
    <s v="ORD-00484"/>
    <d v="2024-05-13T00:00:00"/>
    <s v="Polo Shirt"/>
    <s v="Clothing"/>
    <s v="Physical Store"/>
    <s v="Oyo"/>
    <s v="Returning"/>
    <x v="0"/>
    <n v="2"/>
    <n v="23422"/>
    <n v="46844"/>
    <n v="0"/>
    <n v="0"/>
    <n v="46844"/>
    <n v="27907.37"/>
    <n v="18936.63"/>
    <s v="May"/>
    <n v="2024"/>
    <n v="5"/>
  </r>
  <r>
    <s v="ORD-00089"/>
    <d v="2024-05-14T00:00:00"/>
    <s v="Cap"/>
    <s v="Accessories"/>
    <s v="WhatsApp"/>
    <s v="Lagos"/>
    <s v="New"/>
    <x v="0"/>
    <n v="5"/>
    <n v="12384"/>
    <n v="61920"/>
    <n v="0"/>
    <n v="0"/>
    <n v="61920"/>
    <n v="36984.559999999998"/>
    <n v="24935.440000000002"/>
    <s v="May"/>
    <n v="2024"/>
    <n v="5"/>
  </r>
  <r>
    <s v="ORD-01085"/>
    <d v="2024-05-16T00:00:00"/>
    <s v="Sandals"/>
    <s v="Footwear"/>
    <s v="Physical Store"/>
    <s v="Lagos"/>
    <s v="Returning"/>
    <x v="0"/>
    <n v="2"/>
    <n v="27690"/>
    <n v="55380"/>
    <n v="0"/>
    <n v="0"/>
    <n v="55380"/>
    <n v="35244.21"/>
    <n v="20135.79"/>
    <s v="May"/>
    <n v="2024"/>
    <n v="5"/>
  </r>
  <r>
    <s v="ORD-00608"/>
    <d v="2024-05-17T00:00:00"/>
    <s v="Jeans"/>
    <s v="Clothing"/>
    <s v="Instagram"/>
    <s v="Rivers"/>
    <s v="New"/>
    <x v="0"/>
    <n v="5"/>
    <n v="39761"/>
    <n v="198805"/>
    <n v="0"/>
    <n v="0"/>
    <n v="198805"/>
    <n v="98822.33"/>
    <n v="99982.67"/>
    <s v="May"/>
    <n v="2024"/>
    <n v="5"/>
  </r>
  <r>
    <s v="ORD-00747"/>
    <d v="2024-05-18T00:00:00"/>
    <s v="Sneakers"/>
    <s v="Footwear"/>
    <s v="Physical Store"/>
    <s v="Abuja"/>
    <s v="Returning"/>
    <x v="0"/>
    <n v="4"/>
    <n v="60343"/>
    <n v="241372"/>
    <n v="24137.200000000001"/>
    <n v="0.1"/>
    <n v="217234.8"/>
    <n v="136916.54999999999"/>
    <n v="80318.25"/>
    <s v="May"/>
    <n v="2024"/>
    <n v="5"/>
  </r>
  <r>
    <s v="ORD-00741"/>
    <d v="2024-05-19T00:00:00"/>
    <s v="Cap"/>
    <s v="Accessories"/>
    <s v="Website"/>
    <s v="Oyo"/>
    <s v="Returning"/>
    <x v="0"/>
    <n v="1"/>
    <n v="12465"/>
    <n v="12465"/>
    <n v="0"/>
    <n v="0"/>
    <n v="12465"/>
    <n v="7228.75"/>
    <n v="5236.25"/>
    <s v="May"/>
    <n v="2024"/>
    <n v="5"/>
  </r>
  <r>
    <s v="ORD-00841"/>
    <d v="2024-05-20T00:00:00"/>
    <s v="Jeans"/>
    <s v="Clothing"/>
    <s v="Physical Store"/>
    <s v="Abuja"/>
    <s v="New"/>
    <x v="0"/>
    <n v="5"/>
    <n v="40707"/>
    <n v="203535"/>
    <n v="0"/>
    <n v="0"/>
    <n v="203535"/>
    <n v="131881.1"/>
    <n v="71653.899999999994"/>
    <s v="May"/>
    <n v="2024"/>
    <n v="5"/>
  </r>
  <r>
    <s v="ORD-00788"/>
    <d v="2024-05-22T00:00:00"/>
    <s v="Handbag"/>
    <s v="Accessories"/>
    <s v="Instagram"/>
    <s v="Lagos"/>
    <s v="Returning"/>
    <x v="0"/>
    <n v="1"/>
    <n v="44375"/>
    <n v="44375"/>
    <n v="0"/>
    <n v="0"/>
    <n v="44375"/>
    <n v="27331.02"/>
    <n v="17043.98"/>
    <s v="May"/>
    <n v="2024"/>
    <n v="5"/>
  </r>
  <r>
    <s v="ORD-00165"/>
    <d v="2024-05-23T00:00:00"/>
    <s v="Jeans"/>
    <s v="Clothing"/>
    <s v="Physical Store"/>
    <s v="Oyo"/>
    <s v="Returning"/>
    <x v="0"/>
    <n v="2"/>
    <n v="38738"/>
    <n v="77476"/>
    <n v="7747.6"/>
    <n v="0.1"/>
    <n v="69728.399999999994"/>
    <n v="42415.72"/>
    <n v="27312.679999999993"/>
    <s v="May"/>
    <n v="2024"/>
    <n v="5"/>
  </r>
  <r>
    <s v="ORD-00429"/>
    <d v="2024-05-23T00:00:00"/>
    <s v="Sneakers"/>
    <s v="Footwear"/>
    <s v="Instagram"/>
    <s v="Oyo"/>
    <s v="New"/>
    <x v="0"/>
    <n v="1"/>
    <n v="68141"/>
    <n v="68141"/>
    <n v="0"/>
    <n v="0"/>
    <n v="68141"/>
    <n v="40030.660000000003"/>
    <n v="28110.339999999997"/>
    <s v="May"/>
    <n v="2024"/>
    <n v="5"/>
  </r>
  <r>
    <s v="ORD-00184"/>
    <d v="2024-05-23T00:00:00"/>
    <s v="Polo Shirt"/>
    <s v="Clothing"/>
    <s v="Physical Store"/>
    <s v="Lagos"/>
    <s v="New"/>
    <x v="0"/>
    <n v="4"/>
    <n v="26359"/>
    <n v="105436"/>
    <n v="10543.6"/>
    <n v="0.1"/>
    <n v="94892.4"/>
    <n v="55431.8"/>
    <n v="39460.599999999991"/>
    <s v="May"/>
    <n v="2024"/>
    <n v="5"/>
  </r>
  <r>
    <s v="ORD-00688"/>
    <d v="2024-05-24T00:00:00"/>
    <s v="T-Shirt"/>
    <s v="Clothing"/>
    <s v="WhatsApp"/>
    <s v="Oyo"/>
    <s v="Returning"/>
    <x v="0"/>
    <n v="3"/>
    <n v="18880"/>
    <n v="56640"/>
    <n v="0"/>
    <n v="0"/>
    <n v="56640"/>
    <n v="30538.28"/>
    <n v="26101.72"/>
    <s v="May"/>
    <n v="2024"/>
    <n v="5"/>
  </r>
  <r>
    <s v="ORD-00791"/>
    <d v="2024-05-24T00:00:00"/>
    <s v="Jeans"/>
    <s v="Clothing"/>
    <s v="WhatsApp"/>
    <s v="Lagos"/>
    <s v="New"/>
    <x v="0"/>
    <n v="2"/>
    <n v="40090"/>
    <n v="80180"/>
    <n v="0"/>
    <n v="0"/>
    <n v="80180"/>
    <n v="43500.58"/>
    <n v="36679.42"/>
    <s v="May"/>
    <n v="2024"/>
    <n v="5"/>
  </r>
  <r>
    <s v="ORD-01141"/>
    <d v="2024-05-25T00:00:00"/>
    <s v="Belt"/>
    <s v="Accessories"/>
    <s v="Website"/>
    <s v="Lagos"/>
    <s v="New"/>
    <x v="0"/>
    <n v="4"/>
    <n v="14132"/>
    <n v="56528"/>
    <n v="0"/>
    <n v="0"/>
    <n v="56528"/>
    <n v="35047.25"/>
    <n v="21480.75"/>
    <s v="May"/>
    <n v="2024"/>
    <n v="5"/>
  </r>
  <r>
    <s v="ORD-00536"/>
    <d v="2024-05-25T00:00:00"/>
    <s v="Cap"/>
    <s v="Accessories"/>
    <s v="WhatsApp"/>
    <s v="Rivers"/>
    <s v="New"/>
    <x v="0"/>
    <n v="1"/>
    <n v="11102"/>
    <n v="11102"/>
    <n v="1665.3"/>
    <n v="0.15"/>
    <n v="9436.7000000000007"/>
    <n v="6935.04"/>
    <n v="2501.6600000000008"/>
    <s v="May"/>
    <n v="2024"/>
    <n v="5"/>
  </r>
  <r>
    <s v="ORD-00959"/>
    <d v="2024-05-26T00:00:00"/>
    <s v="Jeans"/>
    <s v="Clothing"/>
    <s v="WhatsApp"/>
    <s v="Oyo"/>
    <s v="New"/>
    <x v="0"/>
    <n v="2"/>
    <n v="41271"/>
    <n v="82542"/>
    <n v="0"/>
    <n v="0"/>
    <n v="82542"/>
    <n v="41693.82"/>
    <n v="40848.18"/>
    <s v="May"/>
    <n v="2024"/>
    <n v="5"/>
  </r>
  <r>
    <s v="ORD-00173"/>
    <d v="2024-05-26T00:00:00"/>
    <s v="Belt"/>
    <s v="Accessories"/>
    <s v="WhatsApp"/>
    <s v="Lagos"/>
    <s v="Returning"/>
    <x v="0"/>
    <n v="3"/>
    <n v="14609"/>
    <n v="43827"/>
    <n v="0"/>
    <n v="0"/>
    <n v="43827"/>
    <n v="25759.87"/>
    <n v="18067.13"/>
    <s v="May"/>
    <n v="2024"/>
    <n v="5"/>
  </r>
  <r>
    <s v="ORD-00899"/>
    <d v="2024-05-27T00:00:00"/>
    <s v="Sandals"/>
    <s v="Footwear"/>
    <s v="Website"/>
    <s v="Lagos"/>
    <s v="New"/>
    <x v="0"/>
    <n v="1"/>
    <n v="29512"/>
    <n v="29512"/>
    <n v="0"/>
    <n v="0"/>
    <n v="29512"/>
    <n v="18725.349999999999"/>
    <n v="10786.650000000001"/>
    <s v="May"/>
    <n v="2024"/>
    <n v="5"/>
  </r>
  <r>
    <s v="ORD-01026"/>
    <d v="2024-05-28T00:00:00"/>
    <s v="Cap"/>
    <s v="Accessories"/>
    <s v="Instagram"/>
    <s v="Oyo"/>
    <s v="New"/>
    <x v="0"/>
    <n v="1"/>
    <n v="11824"/>
    <n v="11824"/>
    <n v="0"/>
    <n v="0"/>
    <n v="11824"/>
    <n v="7481.39"/>
    <n v="4342.6099999999997"/>
    <s v="May"/>
    <n v="2024"/>
    <n v="5"/>
  </r>
  <r>
    <s v="ORD-00294"/>
    <d v="2024-05-29T00:00:00"/>
    <s v="Dress"/>
    <s v="Clothing"/>
    <s v="Website"/>
    <s v="Oyo"/>
    <s v="New"/>
    <x v="0"/>
    <n v="1"/>
    <n v="51851"/>
    <n v="51851"/>
    <n v="0"/>
    <n v="0"/>
    <n v="51851"/>
    <n v="27174.55"/>
    <n v="24676.45"/>
    <s v="May"/>
    <n v="2024"/>
    <n v="5"/>
  </r>
  <r>
    <s v="ORD-00182"/>
    <d v="2024-05-30T00:00:00"/>
    <s v="Dress"/>
    <s v="Clothing"/>
    <s v="WhatsApp"/>
    <s v="Lagos"/>
    <s v="Returning"/>
    <x v="0"/>
    <n v="5"/>
    <n v="50101"/>
    <n v="250505"/>
    <n v="0"/>
    <n v="0"/>
    <n v="250505"/>
    <n v="152078.76"/>
    <n v="98426.239999999991"/>
    <s v="May"/>
    <n v="2024"/>
    <n v="5"/>
  </r>
  <r>
    <s v="ORD-00958"/>
    <d v="2024-05-30T00:00:00"/>
    <s v="Hoodie"/>
    <s v="Clothing"/>
    <s v="Physical Store"/>
    <s v="Lagos"/>
    <s v="New"/>
    <x v="0"/>
    <n v="2"/>
    <n v="38235"/>
    <n v="76470"/>
    <n v="0"/>
    <n v="0"/>
    <n v="76470"/>
    <n v="42306.89"/>
    <n v="34163.11"/>
    <s v="May"/>
    <n v="2024"/>
    <n v="5"/>
  </r>
  <r>
    <s v="ORD-00199"/>
    <d v="2024-05-31T00:00:00"/>
    <s v="Sneakers"/>
    <s v="Footwear"/>
    <s v="Physical Store"/>
    <s v="Oyo"/>
    <s v="New"/>
    <x v="0"/>
    <n v="3"/>
    <n v="63924"/>
    <n v="191772"/>
    <n v="0"/>
    <n v="0"/>
    <n v="191772"/>
    <n v="125238.46"/>
    <n v="66533.539999999994"/>
    <s v="May"/>
    <n v="2024"/>
    <n v="5"/>
  </r>
  <r>
    <s v="ORD-00207"/>
    <d v="2024-06-01T00:00:00"/>
    <s v="Jeans"/>
    <s v="Clothing"/>
    <s v="Physical Store"/>
    <s v="Rivers"/>
    <s v="New"/>
    <x v="3"/>
    <n v="5"/>
    <n v="43182"/>
    <n v="215910"/>
    <n v="21591"/>
    <n v="0.1"/>
    <n v="194319"/>
    <n v="129978.14"/>
    <n v="64340.86"/>
    <s v="Jun"/>
    <n v="2024"/>
    <n v="6"/>
  </r>
  <r>
    <s v="ORD-01044"/>
    <d v="2024-06-02T00:00:00"/>
    <s v="Sneakers"/>
    <s v="Footwear"/>
    <s v="Physical Store"/>
    <s v="Lagos"/>
    <s v="Returning"/>
    <x v="3"/>
    <n v="1"/>
    <n v="66637"/>
    <n v="66637"/>
    <n v="6663.7"/>
    <n v="0.1"/>
    <n v="59973.3"/>
    <n v="37193.01"/>
    <n v="22780.29"/>
    <s v="Jun"/>
    <n v="2024"/>
    <n v="6"/>
  </r>
  <r>
    <s v="ORD-00341"/>
    <d v="2024-06-02T00:00:00"/>
    <s v="Belt"/>
    <s v="Accessories"/>
    <s v="WhatsApp"/>
    <s v="Abuja"/>
    <s v="New"/>
    <x v="0"/>
    <n v="1"/>
    <n v="14157"/>
    <n v="14157"/>
    <n v="0"/>
    <n v="0"/>
    <n v="14157"/>
    <n v="8544.9699999999993"/>
    <n v="5612.0300000000007"/>
    <s v="Jun"/>
    <n v="2024"/>
    <n v="6"/>
  </r>
  <r>
    <s v="ORD-00569"/>
    <d v="2024-06-02T00:00:00"/>
    <s v="Dress"/>
    <s v="Clothing"/>
    <s v="Physical Store"/>
    <s v="Rivers"/>
    <s v="Returning"/>
    <x v="3"/>
    <n v="1"/>
    <n v="51810"/>
    <n v="51810"/>
    <n v="10362"/>
    <n v="0.2"/>
    <n v="41448"/>
    <n v="29522.2"/>
    <n v="11925.8"/>
    <s v="Jun"/>
    <n v="2024"/>
    <n v="6"/>
  </r>
  <r>
    <s v="ORD-00268"/>
    <d v="2024-06-03T00:00:00"/>
    <s v="Sandals"/>
    <s v="Footwear"/>
    <s v="Website"/>
    <s v="Abuja"/>
    <s v="New"/>
    <x v="3"/>
    <n v="1"/>
    <n v="32134"/>
    <n v="32134"/>
    <n v="6426.8"/>
    <n v="0.2"/>
    <n v="25707.200000000001"/>
    <n v="21366.04"/>
    <n v="4341.16"/>
    <s v="Jun"/>
    <n v="2024"/>
    <n v="6"/>
  </r>
  <r>
    <s v="ORD-00894"/>
    <d v="2024-06-04T00:00:00"/>
    <s v="Sneakers"/>
    <s v="Footwear"/>
    <s v="Website"/>
    <s v="Lagos"/>
    <s v="New"/>
    <x v="0"/>
    <n v="1"/>
    <n v="67426"/>
    <n v="67426"/>
    <n v="0"/>
    <n v="0"/>
    <n v="67426"/>
    <n v="41066.18"/>
    <n v="26359.82"/>
    <s v="Jun"/>
    <n v="2024"/>
    <n v="6"/>
  </r>
  <r>
    <s v="ORD-00805"/>
    <d v="2024-06-05T00:00:00"/>
    <s v="Sandals"/>
    <s v="Footwear"/>
    <s v="Website"/>
    <s v="Oyo"/>
    <s v="Returning"/>
    <x v="3"/>
    <n v="2"/>
    <n v="31867"/>
    <n v="63734"/>
    <n v="6373.4"/>
    <n v="0.1"/>
    <n v="57360.6"/>
    <n v="37289.9"/>
    <n v="20070.699999999997"/>
    <s v="Jun"/>
    <n v="2024"/>
    <n v="6"/>
  </r>
  <r>
    <s v="ORD-00243"/>
    <d v="2024-06-06T00:00:00"/>
    <s v="T-Shirt"/>
    <s v="Clothing"/>
    <s v="Physical Store"/>
    <s v="Lagos"/>
    <s v="New"/>
    <x v="0"/>
    <n v="1"/>
    <n v="18883"/>
    <n v="18883"/>
    <n v="0"/>
    <n v="0"/>
    <n v="18883"/>
    <n v="12831.48"/>
    <n v="6051.52"/>
    <s v="Jun"/>
    <n v="2024"/>
    <n v="6"/>
  </r>
  <r>
    <s v="ORD-00372"/>
    <d v="2024-06-08T00:00:00"/>
    <s v="Hoodie"/>
    <s v="Clothing"/>
    <s v="Instagram"/>
    <s v="Lagos"/>
    <s v="New"/>
    <x v="0"/>
    <n v="1"/>
    <n v="36887"/>
    <n v="36887"/>
    <n v="0"/>
    <n v="0"/>
    <n v="36887"/>
    <n v="24164.59"/>
    <n v="12722.41"/>
    <s v="Jun"/>
    <n v="2024"/>
    <n v="6"/>
  </r>
  <r>
    <s v="ORD-01179"/>
    <d v="2024-06-08T00:00:00"/>
    <s v="Hoodie"/>
    <s v="Clothing"/>
    <s v="Instagram"/>
    <s v="Lagos"/>
    <s v="New"/>
    <x v="0"/>
    <n v="2"/>
    <n v="39594"/>
    <n v="79188"/>
    <n v="0"/>
    <n v="0"/>
    <n v="79188"/>
    <n v="52833.81"/>
    <n v="26354.190000000002"/>
    <s v="Jun"/>
    <n v="2024"/>
    <n v="6"/>
  </r>
  <r>
    <s v="ORD-00213"/>
    <d v="2024-06-09T00:00:00"/>
    <s v="T-Shirt"/>
    <s v="Clothing"/>
    <s v="Website"/>
    <s v="Lagos"/>
    <s v="New"/>
    <x v="3"/>
    <n v="2"/>
    <n v="18307"/>
    <n v="36614"/>
    <n v="5492.1"/>
    <n v="0.15"/>
    <n v="31121.9"/>
    <n v="18168.96"/>
    <n v="12952.940000000002"/>
    <s v="Jun"/>
    <n v="2024"/>
    <n v="6"/>
  </r>
  <r>
    <s v="ORD-00056"/>
    <d v="2024-06-10T00:00:00"/>
    <s v="Handbag"/>
    <s v="Accessories"/>
    <s v="Website"/>
    <s v="Lagos"/>
    <s v="New"/>
    <x v="0"/>
    <n v="2"/>
    <n v="44258"/>
    <n v="88516"/>
    <n v="0"/>
    <n v="0"/>
    <n v="88516"/>
    <n v="53120.12"/>
    <n v="35395.879999999997"/>
    <s v="Jun"/>
    <n v="2024"/>
    <n v="6"/>
  </r>
  <r>
    <s v="ORD-00930"/>
    <d v="2024-06-10T00:00:00"/>
    <s v="Belt"/>
    <s v="Accessories"/>
    <s v="Physical Store"/>
    <s v="Lagos"/>
    <s v="New"/>
    <x v="3"/>
    <n v="2"/>
    <n v="14280"/>
    <n v="28560"/>
    <n v="2856"/>
    <n v="0.1"/>
    <n v="25704"/>
    <n v="18288.38"/>
    <n v="7415.619999999999"/>
    <s v="Jun"/>
    <n v="2024"/>
    <n v="6"/>
  </r>
  <r>
    <s v="ORD-00948"/>
    <d v="2024-06-13T00:00:00"/>
    <s v="Hoodie"/>
    <s v="Clothing"/>
    <s v="Physical Store"/>
    <s v="Abuja"/>
    <s v="New"/>
    <x v="0"/>
    <n v="2"/>
    <n v="36529"/>
    <n v="73058"/>
    <n v="0"/>
    <n v="0"/>
    <n v="73058"/>
    <n v="43589.25"/>
    <n v="29468.75"/>
    <s v="Jun"/>
    <n v="2024"/>
    <n v="6"/>
  </r>
  <r>
    <s v="ORD-00599"/>
    <d v="2024-06-14T00:00:00"/>
    <s v="Cap"/>
    <s v="Accessories"/>
    <s v="Physical Store"/>
    <s v="Lagos"/>
    <s v="Returning"/>
    <x v="3"/>
    <n v="1"/>
    <n v="11933"/>
    <n v="11933"/>
    <n v="2386.6"/>
    <n v="0.2"/>
    <n v="9546.4"/>
    <n v="7155.47"/>
    <n v="2390.9299999999994"/>
    <s v="Jun"/>
    <n v="2024"/>
    <n v="6"/>
  </r>
  <r>
    <s v="ORD-00035"/>
    <d v="2024-06-15T00:00:00"/>
    <s v="Cap"/>
    <s v="Accessories"/>
    <s v="Physical Store"/>
    <s v="Rivers"/>
    <s v="New"/>
    <x v="0"/>
    <n v="2"/>
    <n v="11244"/>
    <n v="22488"/>
    <n v="0"/>
    <n v="0"/>
    <n v="22488"/>
    <n v="15289.2"/>
    <n v="7198.7999999999993"/>
    <s v="Jun"/>
    <n v="2024"/>
    <n v="6"/>
  </r>
  <r>
    <s v="ORD-00464"/>
    <d v="2024-06-15T00:00:00"/>
    <s v="Belt"/>
    <s v="Accessories"/>
    <s v="Physical Store"/>
    <s v="Oyo"/>
    <s v="Returning"/>
    <x v="0"/>
    <n v="1"/>
    <n v="14550"/>
    <n v="14550"/>
    <n v="0"/>
    <n v="0"/>
    <n v="14550"/>
    <n v="9025.5499999999993"/>
    <n v="5524.4500000000007"/>
    <s v="Jun"/>
    <n v="2024"/>
    <n v="6"/>
  </r>
  <r>
    <s v="ORD-01010"/>
    <d v="2024-06-16T00:00:00"/>
    <s v="Sandals"/>
    <s v="Footwear"/>
    <s v="Physical Store"/>
    <s v="Oyo"/>
    <s v="New"/>
    <x v="0"/>
    <n v="4"/>
    <n v="32136"/>
    <n v="128544"/>
    <n v="0"/>
    <n v="0"/>
    <n v="128544"/>
    <n v="63607.66"/>
    <n v="64936.34"/>
    <s v="Jun"/>
    <n v="2024"/>
    <n v="6"/>
  </r>
  <r>
    <s v="ORD-00452"/>
    <d v="2024-06-18T00:00:00"/>
    <s v="Jeans"/>
    <s v="Clothing"/>
    <s v="Physical Store"/>
    <s v="Delta"/>
    <s v="New"/>
    <x v="0"/>
    <n v="2"/>
    <n v="39776"/>
    <n v="79552"/>
    <n v="0"/>
    <n v="0"/>
    <n v="79552"/>
    <n v="51761.58"/>
    <n v="27790.42"/>
    <s v="Jun"/>
    <n v="2024"/>
    <n v="6"/>
  </r>
  <r>
    <s v="ORD-01189"/>
    <d v="2024-06-18T00:00:00"/>
    <s v="Belt"/>
    <s v="Accessories"/>
    <s v="Physical Store"/>
    <s v="Oyo"/>
    <s v="New"/>
    <x v="0"/>
    <n v="1"/>
    <n v="16165"/>
    <n v="16165"/>
    <n v="0"/>
    <n v="0"/>
    <n v="16165"/>
    <n v="10851.77"/>
    <n v="5313.23"/>
    <s v="Jun"/>
    <n v="2024"/>
    <n v="6"/>
  </r>
  <r>
    <s v="ORD-00754"/>
    <d v="2024-06-20T00:00:00"/>
    <s v="Sandals"/>
    <s v="Footwear"/>
    <s v="Instagram"/>
    <s v="Lagos"/>
    <s v="New"/>
    <x v="0"/>
    <n v="1"/>
    <n v="30973"/>
    <n v="30973"/>
    <n v="1548.65"/>
    <n v="0.05"/>
    <n v="29424.35"/>
    <n v="18764.169999999998"/>
    <n v="10660.18"/>
    <s v="Jun"/>
    <n v="2024"/>
    <n v="6"/>
  </r>
  <r>
    <s v="ORD-01056"/>
    <d v="2024-06-20T00:00:00"/>
    <s v="Hoodie"/>
    <s v="Clothing"/>
    <s v="Website"/>
    <s v="Abuja"/>
    <s v="Returning"/>
    <x v="3"/>
    <n v="1"/>
    <n v="37646"/>
    <n v="37646"/>
    <n v="1882.3"/>
    <n v="0.05"/>
    <n v="35763.699999999997"/>
    <n v="20937.84"/>
    <n v="14825.859999999997"/>
    <s v="Jun"/>
    <n v="2024"/>
    <n v="6"/>
  </r>
  <r>
    <s v="ORD-00734"/>
    <d v="2024-06-21T00:00:00"/>
    <s v="Jeans"/>
    <s v="Clothing"/>
    <s v="Website"/>
    <s v="Oyo"/>
    <s v="New"/>
    <x v="0"/>
    <n v="5"/>
    <n v="38915"/>
    <n v="194575"/>
    <n v="0"/>
    <n v="0"/>
    <n v="194575"/>
    <n v="110946.14"/>
    <n v="83628.86"/>
    <s v="Jun"/>
    <n v="2024"/>
    <n v="6"/>
  </r>
  <r>
    <s v="ORD-00468"/>
    <d v="2024-06-21T00:00:00"/>
    <s v="Handbag"/>
    <s v="Accessories"/>
    <s v="Instagram"/>
    <s v="Delta"/>
    <s v="New"/>
    <x v="0"/>
    <n v="1"/>
    <n v="45388"/>
    <n v="45388"/>
    <n v="0"/>
    <n v="0"/>
    <n v="45388"/>
    <n v="25917.23"/>
    <n v="19470.77"/>
    <s v="Jun"/>
    <n v="2024"/>
    <n v="6"/>
  </r>
  <r>
    <s v="ORD-00488"/>
    <d v="2024-06-21T00:00:00"/>
    <s v="T-Shirt"/>
    <s v="Clothing"/>
    <s v="Physical Store"/>
    <s v="Lagos"/>
    <s v="New"/>
    <x v="3"/>
    <n v="5"/>
    <n v="17409"/>
    <n v="87045"/>
    <n v="8704.5"/>
    <n v="0.1"/>
    <n v="78340.5"/>
    <n v="51610.62"/>
    <n v="26729.879999999997"/>
    <s v="Jun"/>
    <n v="2024"/>
    <n v="6"/>
  </r>
  <r>
    <s v="ORD-00420"/>
    <d v="2024-06-25T00:00:00"/>
    <s v="Hoodie"/>
    <s v="Clothing"/>
    <s v="Website"/>
    <s v="Abuja"/>
    <s v="Returning"/>
    <x v="3"/>
    <n v="1"/>
    <n v="37069"/>
    <n v="37069"/>
    <n v="3706.9"/>
    <n v="0.1"/>
    <n v="33362.1"/>
    <n v="24633.43"/>
    <n v="8728.6699999999983"/>
    <s v="Jun"/>
    <n v="2024"/>
    <n v="6"/>
  </r>
  <r>
    <s v="ORD-00888"/>
    <d v="2024-06-25T00:00:00"/>
    <s v="Hoodie"/>
    <s v="Clothing"/>
    <s v="Website"/>
    <s v="Lagos"/>
    <s v="New"/>
    <x v="0"/>
    <n v="2"/>
    <n v="37560"/>
    <n v="75120"/>
    <n v="0"/>
    <n v="0"/>
    <n v="75120"/>
    <n v="39283.78"/>
    <n v="35836.22"/>
    <s v="Jun"/>
    <n v="2024"/>
    <n v="6"/>
  </r>
  <r>
    <s v="ORD-00538"/>
    <d v="2024-06-25T00:00:00"/>
    <s v="Cap"/>
    <s v="Accessories"/>
    <s v="WhatsApp"/>
    <s v="Lagos"/>
    <s v="New"/>
    <x v="3"/>
    <n v="2"/>
    <n v="12645"/>
    <n v="25290"/>
    <n v="1264.5"/>
    <n v="0.05"/>
    <n v="24025.5"/>
    <n v="14804.8"/>
    <n v="9220.7000000000007"/>
    <s v="Jun"/>
    <n v="2024"/>
    <n v="6"/>
  </r>
  <r>
    <s v="ORD-00252"/>
    <d v="2024-06-29T00:00:00"/>
    <s v="Hoodie"/>
    <s v="Clothing"/>
    <s v="Website"/>
    <s v="Oyo"/>
    <s v="New"/>
    <x v="0"/>
    <n v="3"/>
    <n v="35474"/>
    <n v="106422"/>
    <n v="10642.2"/>
    <n v="0.1"/>
    <n v="95779.8"/>
    <n v="69833.539999999994"/>
    <n v="25946.260000000009"/>
    <s v="Jun"/>
    <n v="2024"/>
    <n v="6"/>
  </r>
  <r>
    <s v="ORD-00949"/>
    <d v="2024-06-30T00:00:00"/>
    <s v="Belt"/>
    <s v="Accessories"/>
    <s v="Physical Store"/>
    <s v="Abuja"/>
    <s v="New"/>
    <x v="0"/>
    <n v="3"/>
    <n v="15764"/>
    <n v="47292"/>
    <n v="0"/>
    <n v="0"/>
    <n v="47292"/>
    <n v="24517.81"/>
    <n v="22774.19"/>
    <s v="Jun"/>
    <n v="2024"/>
    <n v="6"/>
  </r>
  <r>
    <s v="ORD-01104"/>
    <d v="2024-07-01T00:00:00"/>
    <s v="Belt"/>
    <s v="Accessories"/>
    <s v="Physical Store"/>
    <s v="Delta"/>
    <s v="New"/>
    <x v="3"/>
    <n v="1"/>
    <n v="14640"/>
    <n v="14640"/>
    <n v="2196"/>
    <n v="0.15"/>
    <n v="12444"/>
    <n v="8060.33"/>
    <n v="4383.67"/>
    <s v="Jul"/>
    <n v="2024"/>
    <n v="7"/>
  </r>
  <r>
    <s v="ORD-00609"/>
    <d v="2024-07-02T00:00:00"/>
    <s v="Cap"/>
    <s v="Accessories"/>
    <s v="Instagram"/>
    <s v="Oyo"/>
    <s v="New"/>
    <x v="0"/>
    <n v="2"/>
    <n v="11869"/>
    <n v="23738"/>
    <n v="0"/>
    <n v="0"/>
    <n v="23738"/>
    <n v="14669.25"/>
    <n v="9068.75"/>
    <s v="Jul"/>
    <n v="2024"/>
    <n v="7"/>
  </r>
  <r>
    <s v="ORD-00167"/>
    <d v="2024-07-05T00:00:00"/>
    <s v="Cap"/>
    <s v="Accessories"/>
    <s v="WhatsApp"/>
    <s v="Abuja"/>
    <s v="Returning"/>
    <x v="3"/>
    <n v="3"/>
    <n v="12040"/>
    <n v="36120"/>
    <n v="5418"/>
    <n v="0.15"/>
    <n v="30702"/>
    <n v="18244.57"/>
    <n v="12457.43"/>
    <s v="Jul"/>
    <n v="2024"/>
    <n v="7"/>
  </r>
  <r>
    <s v="ORD-01150"/>
    <d v="2024-07-05T00:00:00"/>
    <s v="Hoodie"/>
    <s v="Clothing"/>
    <s v="Physical Store"/>
    <s v="Lagos"/>
    <s v="New"/>
    <x v="3"/>
    <n v="1"/>
    <n v="40420"/>
    <n v="40420"/>
    <n v="4042"/>
    <n v="0.1"/>
    <n v="36378"/>
    <n v="23819.64"/>
    <n v="12558.36"/>
    <s v="Jul"/>
    <n v="2024"/>
    <n v="7"/>
  </r>
  <r>
    <s v="ORD-01029"/>
    <d v="2024-07-05T00:00:00"/>
    <s v="Sneakers"/>
    <s v="Footwear"/>
    <s v="Website"/>
    <s v="Abuja"/>
    <s v="New"/>
    <x v="3"/>
    <n v="5"/>
    <n v="67053"/>
    <n v="335265"/>
    <n v="16763.25"/>
    <n v="0.05"/>
    <n v="318501.75"/>
    <n v="162645.92000000001"/>
    <n v="155855.82999999999"/>
    <s v="Jul"/>
    <n v="2024"/>
    <n v="7"/>
  </r>
  <r>
    <s v="ORD-01099"/>
    <d v="2024-07-06T00:00:00"/>
    <s v="T-Shirt"/>
    <s v="Clothing"/>
    <s v="Physical Store"/>
    <s v="Abuja"/>
    <s v="New"/>
    <x v="0"/>
    <n v="1"/>
    <n v="17549"/>
    <n v="17549"/>
    <n v="0"/>
    <n v="0"/>
    <n v="17549"/>
    <n v="11094.87"/>
    <n v="6454.1299999999992"/>
    <s v="Jul"/>
    <n v="2024"/>
    <n v="7"/>
  </r>
  <r>
    <s v="ORD-00071"/>
    <d v="2024-07-06T00:00:00"/>
    <s v="Belt"/>
    <s v="Accessories"/>
    <s v="Website"/>
    <s v="Lagos"/>
    <s v="New"/>
    <x v="3"/>
    <n v="2"/>
    <n v="16129"/>
    <n v="32258"/>
    <n v="6451.6"/>
    <n v="0.2"/>
    <n v="25806.400000000001"/>
    <n v="20540.88"/>
    <n v="5265.52"/>
    <s v="Jul"/>
    <n v="2024"/>
    <n v="7"/>
  </r>
  <r>
    <s v="ORD-00132"/>
    <d v="2024-07-08T00:00:00"/>
    <s v="Cap"/>
    <s v="Accessories"/>
    <s v="Physical Store"/>
    <s v="Rivers"/>
    <s v="Returning"/>
    <x v="0"/>
    <n v="2"/>
    <n v="11568"/>
    <n v="23136"/>
    <n v="0"/>
    <n v="0"/>
    <n v="23136"/>
    <n v="14756.07"/>
    <n v="8379.93"/>
    <s v="Jul"/>
    <n v="2024"/>
    <n v="7"/>
  </r>
  <r>
    <s v="ORD-00479"/>
    <d v="2024-07-08T00:00:00"/>
    <s v="Belt"/>
    <s v="Accessories"/>
    <s v="WhatsApp"/>
    <s v="Abuja"/>
    <s v="Returning"/>
    <x v="0"/>
    <n v="2"/>
    <n v="14129"/>
    <n v="28258"/>
    <n v="0"/>
    <n v="0"/>
    <n v="28258"/>
    <n v="15552.81"/>
    <n v="12705.19"/>
    <s v="Jul"/>
    <n v="2024"/>
    <n v="7"/>
  </r>
  <r>
    <s v="ORD-00026"/>
    <d v="2024-07-08T00:00:00"/>
    <s v="Sneakers"/>
    <s v="Footwear"/>
    <s v="WhatsApp"/>
    <s v="Abuja"/>
    <s v="New"/>
    <x v="0"/>
    <n v="2"/>
    <n v="63536"/>
    <n v="127072"/>
    <n v="0"/>
    <n v="0"/>
    <n v="127072"/>
    <n v="65150.42"/>
    <n v="61921.58"/>
    <s v="Jul"/>
    <n v="2024"/>
    <n v="7"/>
  </r>
  <r>
    <s v="ORD-00256"/>
    <d v="2024-07-09T00:00:00"/>
    <s v="Polo Shirt"/>
    <s v="Clothing"/>
    <s v="Website"/>
    <s v="Lagos"/>
    <s v="New"/>
    <x v="3"/>
    <n v="5"/>
    <n v="26871"/>
    <n v="134355"/>
    <n v="20153.25"/>
    <n v="0.15"/>
    <n v="114201.75"/>
    <n v="71970.44"/>
    <n v="42231.31"/>
    <s v="Jul"/>
    <n v="2024"/>
    <n v="7"/>
  </r>
  <r>
    <s v="ORD-00403"/>
    <d v="2024-07-10T00:00:00"/>
    <s v="Belt"/>
    <s v="Accessories"/>
    <s v="Website"/>
    <s v="Abuja"/>
    <s v="New"/>
    <x v="0"/>
    <n v="2"/>
    <n v="15749"/>
    <n v="31498"/>
    <n v="0"/>
    <n v="0"/>
    <n v="31498"/>
    <n v="15821.37"/>
    <n v="15676.63"/>
    <s v="Jul"/>
    <n v="2024"/>
    <n v="7"/>
  </r>
  <r>
    <s v="ORD-00730"/>
    <d v="2024-07-12T00:00:00"/>
    <s v="Jeans"/>
    <s v="Clothing"/>
    <s v="Instagram"/>
    <s v="Delta"/>
    <s v="New"/>
    <x v="0"/>
    <n v="3"/>
    <n v="39325"/>
    <n v="117975"/>
    <n v="11797.5"/>
    <n v="0.1"/>
    <n v="106177.5"/>
    <n v="58101.45"/>
    <n v="48076.05"/>
    <s v="Jul"/>
    <n v="2024"/>
    <n v="7"/>
  </r>
  <r>
    <s v="ORD-00920"/>
    <d v="2024-07-12T00:00:00"/>
    <s v="T-Shirt"/>
    <s v="Clothing"/>
    <s v="Website"/>
    <s v="Lagos"/>
    <s v="New"/>
    <x v="3"/>
    <n v="1"/>
    <n v="18210"/>
    <n v="18210"/>
    <n v="1821"/>
    <n v="0.1"/>
    <n v="16389"/>
    <n v="11091.15"/>
    <n v="5297.85"/>
    <s v="Jul"/>
    <n v="2024"/>
    <n v="7"/>
  </r>
  <r>
    <s v="ORD-00811"/>
    <d v="2024-07-14T00:00:00"/>
    <s v="Cap"/>
    <s v="Accessories"/>
    <s v="Website"/>
    <s v="Rivers"/>
    <s v="New"/>
    <x v="3"/>
    <n v="1"/>
    <n v="12782"/>
    <n v="12782"/>
    <n v="1278.2"/>
    <n v="0.1"/>
    <n v="11503.8"/>
    <n v="7389.14"/>
    <n v="4114.6599999999989"/>
    <s v="Jul"/>
    <n v="2024"/>
    <n v="7"/>
  </r>
  <r>
    <s v="ORD-00797"/>
    <d v="2024-07-16T00:00:00"/>
    <s v="Belt"/>
    <s v="Accessories"/>
    <s v="Physical Store"/>
    <s v="Rivers"/>
    <s v="New"/>
    <x v="3"/>
    <n v="2"/>
    <n v="15741"/>
    <n v="31482"/>
    <n v="3148.2"/>
    <n v="0.1"/>
    <n v="28333.8"/>
    <n v="17988.97"/>
    <n v="10344.829999999998"/>
    <s v="Jul"/>
    <n v="2024"/>
    <n v="7"/>
  </r>
  <r>
    <s v="ORD-00162"/>
    <d v="2024-07-16T00:00:00"/>
    <s v="Cap"/>
    <s v="Accessories"/>
    <s v="Instagram"/>
    <s v="Lagos"/>
    <s v="Returning"/>
    <x v="0"/>
    <n v="1"/>
    <n v="11397"/>
    <n v="11397"/>
    <n v="0"/>
    <n v="0"/>
    <n v="11397"/>
    <n v="6418.33"/>
    <n v="4978.67"/>
    <s v="Jul"/>
    <n v="2024"/>
    <n v="7"/>
  </r>
  <r>
    <s v="ORD-01043"/>
    <d v="2024-07-19T00:00:00"/>
    <s v="Cap"/>
    <s v="Accessories"/>
    <s v="Website"/>
    <s v="Lagos"/>
    <s v="Returning"/>
    <x v="0"/>
    <n v="1"/>
    <n v="12635"/>
    <n v="12635"/>
    <n v="0"/>
    <n v="0"/>
    <n v="12635"/>
    <n v="7062.43"/>
    <n v="5572.57"/>
    <s v="Jul"/>
    <n v="2024"/>
    <n v="7"/>
  </r>
  <r>
    <s v="ORD-00090"/>
    <d v="2024-07-19T00:00:00"/>
    <s v="Sandals"/>
    <s v="Footwear"/>
    <s v="Physical Store"/>
    <s v="Lagos"/>
    <s v="Returning"/>
    <x v="3"/>
    <n v="2"/>
    <n v="31641"/>
    <n v="63282"/>
    <n v="9492.2999999999993"/>
    <n v="0.15"/>
    <n v="53789.7"/>
    <n v="40533.93"/>
    <n v="13255.769999999997"/>
    <s v="Jul"/>
    <n v="2024"/>
    <n v="7"/>
  </r>
  <r>
    <s v="ORD-00057"/>
    <d v="2024-07-20T00:00:00"/>
    <s v="Handbag"/>
    <s v="Accessories"/>
    <s v="Website"/>
    <s v="Oyo"/>
    <s v="New"/>
    <x v="0"/>
    <n v="2"/>
    <n v="44259"/>
    <n v="88518"/>
    <n v="0"/>
    <n v="0"/>
    <n v="88518"/>
    <n v="53605.62"/>
    <n v="34912.379999999997"/>
    <s v="Jul"/>
    <n v="2024"/>
    <n v="7"/>
  </r>
  <r>
    <s v="ORD-00868"/>
    <d v="2024-07-20T00:00:00"/>
    <s v="Sandals"/>
    <s v="Footwear"/>
    <s v="WhatsApp"/>
    <s v="Delta"/>
    <s v="New"/>
    <x v="3"/>
    <n v="2"/>
    <n v="30024"/>
    <n v="60048"/>
    <n v="9007.2000000000007"/>
    <n v="0.15"/>
    <n v="51040.800000000003"/>
    <n v="30491.89"/>
    <n v="20548.910000000003"/>
    <s v="Jul"/>
    <n v="2024"/>
    <n v="7"/>
  </r>
  <r>
    <s v="ORD-00492"/>
    <d v="2024-07-21T00:00:00"/>
    <s v="Cap"/>
    <s v="Accessories"/>
    <s v="Instagram"/>
    <s v="Lagos"/>
    <s v="New"/>
    <x v="3"/>
    <n v="1"/>
    <n v="11370"/>
    <n v="11370"/>
    <n v="568.5"/>
    <n v="0.05"/>
    <n v="10801.5"/>
    <n v="6618.52"/>
    <n v="4182.9799999999996"/>
    <s v="Jul"/>
    <n v="2024"/>
    <n v="7"/>
  </r>
  <r>
    <s v="ORD-00155"/>
    <d v="2024-07-21T00:00:00"/>
    <s v="Handbag"/>
    <s v="Accessories"/>
    <s v="WhatsApp"/>
    <s v="Abuja"/>
    <s v="Returning"/>
    <x v="0"/>
    <n v="2"/>
    <n v="44734"/>
    <n v="89468"/>
    <n v="0"/>
    <n v="0"/>
    <n v="89468"/>
    <n v="48369.87"/>
    <n v="41098.129999999997"/>
    <s v="Jul"/>
    <n v="2024"/>
    <n v="7"/>
  </r>
  <r>
    <s v="ORD-00615"/>
    <d v="2024-07-23T00:00:00"/>
    <s v="Jeans"/>
    <s v="Clothing"/>
    <s v="WhatsApp"/>
    <s v="Rivers"/>
    <s v="Returning"/>
    <x v="0"/>
    <n v="1"/>
    <n v="44023"/>
    <n v="44023"/>
    <n v="0"/>
    <n v="0"/>
    <n v="44023"/>
    <n v="29084.55"/>
    <n v="14938.45"/>
    <s v="Jul"/>
    <n v="2024"/>
    <n v="7"/>
  </r>
  <r>
    <s v="ORD-00049"/>
    <d v="2024-07-24T00:00:00"/>
    <s v="Jeans"/>
    <s v="Clothing"/>
    <s v="Physical Store"/>
    <s v="Rivers"/>
    <s v="New"/>
    <x v="3"/>
    <n v="3"/>
    <n v="40932"/>
    <n v="122796"/>
    <n v="6139.8"/>
    <n v="0.05"/>
    <n v="116656.2"/>
    <n v="73756.67"/>
    <n v="42899.53"/>
    <s v="Jul"/>
    <n v="2024"/>
    <n v="7"/>
  </r>
  <r>
    <s v="ORD-00111"/>
    <d v="2024-07-25T00:00:00"/>
    <s v="Polo Shirt"/>
    <s v="Clothing"/>
    <s v="Instagram"/>
    <s v="Lagos"/>
    <s v="Returning"/>
    <x v="3"/>
    <n v="2"/>
    <n v="23290"/>
    <n v="46580"/>
    <n v="9316"/>
    <n v="0.2"/>
    <n v="37264"/>
    <n v="25529.38"/>
    <n v="11734.619999999999"/>
    <s v="Jul"/>
    <n v="2024"/>
    <n v="7"/>
  </r>
  <r>
    <s v="ORD-00197"/>
    <d v="2024-07-26T00:00:00"/>
    <s v="Handbag"/>
    <s v="Accessories"/>
    <s v="Physical Store"/>
    <s v="Lagos"/>
    <s v="New"/>
    <x v="0"/>
    <n v="2"/>
    <n v="41515"/>
    <n v="83030"/>
    <n v="0"/>
    <n v="0"/>
    <n v="83030"/>
    <n v="41919.9"/>
    <n v="41110.1"/>
    <s v="Jul"/>
    <n v="2024"/>
    <n v="7"/>
  </r>
  <r>
    <s v="ORD-00646"/>
    <d v="2024-08-01T00:00:00"/>
    <s v="T-Shirt"/>
    <s v="Clothing"/>
    <s v="WhatsApp"/>
    <s v="Lagos"/>
    <s v="New"/>
    <x v="0"/>
    <n v="2"/>
    <n v="18848"/>
    <n v="37696"/>
    <n v="0"/>
    <n v="0"/>
    <n v="37696"/>
    <n v="19381.54"/>
    <n v="18314.46"/>
    <s v="Aug"/>
    <n v="2024"/>
    <n v="8"/>
  </r>
  <r>
    <s v="ORD-00906"/>
    <d v="2024-08-02T00:00:00"/>
    <s v="Hoodie"/>
    <s v="Clothing"/>
    <s v="Website"/>
    <s v="Lagos"/>
    <s v="New"/>
    <x v="0"/>
    <n v="3"/>
    <n v="38479"/>
    <n v="115437"/>
    <n v="17315.55"/>
    <n v="0.15"/>
    <n v="98121.45"/>
    <n v="68748.179999999993"/>
    <n v="29373.270000000004"/>
    <s v="Aug"/>
    <n v="2024"/>
    <n v="8"/>
  </r>
  <r>
    <s v="ORD-01177"/>
    <d v="2024-08-03T00:00:00"/>
    <s v="Dress"/>
    <s v="Clothing"/>
    <s v="Instagram"/>
    <s v="Abuja"/>
    <s v="Returning"/>
    <x v="0"/>
    <n v="1"/>
    <n v="46602"/>
    <n v="46602"/>
    <n v="0"/>
    <n v="0"/>
    <n v="46602"/>
    <n v="24194.26"/>
    <n v="22407.74"/>
    <s v="Aug"/>
    <n v="2024"/>
    <n v="8"/>
  </r>
  <r>
    <s v="ORD-00818"/>
    <d v="2024-08-03T00:00:00"/>
    <s v="Sandals"/>
    <s v="Footwear"/>
    <s v="WhatsApp"/>
    <s v="Rivers"/>
    <s v="New"/>
    <x v="0"/>
    <n v="2"/>
    <n v="32129"/>
    <n v="64258"/>
    <n v="6425.8"/>
    <n v="0.1"/>
    <n v="57832.2"/>
    <n v="37309.07"/>
    <n v="20523.129999999997"/>
    <s v="Aug"/>
    <n v="2024"/>
    <n v="8"/>
  </r>
  <r>
    <s v="ORD-01067"/>
    <d v="2024-08-03T00:00:00"/>
    <s v="Jeans"/>
    <s v="Clothing"/>
    <s v="Website"/>
    <s v="Rivers"/>
    <s v="New"/>
    <x v="0"/>
    <n v="2"/>
    <n v="40236"/>
    <n v="80472"/>
    <n v="0"/>
    <n v="0"/>
    <n v="80472"/>
    <n v="53415.75"/>
    <n v="27056.25"/>
    <s v="Aug"/>
    <n v="2024"/>
    <n v="8"/>
  </r>
  <r>
    <s v="ORD-00460"/>
    <d v="2024-08-04T00:00:00"/>
    <s v="Hoodie"/>
    <s v="Clothing"/>
    <s v="Instagram"/>
    <s v="Lagos"/>
    <s v="Returning"/>
    <x v="0"/>
    <n v="2"/>
    <n v="35007"/>
    <n v="70014"/>
    <n v="0"/>
    <n v="0"/>
    <n v="70014"/>
    <n v="47420.31"/>
    <n v="22593.690000000002"/>
    <s v="Aug"/>
    <n v="2024"/>
    <n v="8"/>
  </r>
  <r>
    <s v="ORD-00069"/>
    <d v="2024-08-04T00:00:00"/>
    <s v="Polo Shirt"/>
    <s v="Clothing"/>
    <s v="Website"/>
    <s v="Delta"/>
    <s v="New"/>
    <x v="0"/>
    <n v="2"/>
    <n v="26580"/>
    <n v="53160"/>
    <n v="0"/>
    <n v="0"/>
    <n v="53160"/>
    <n v="32044.14"/>
    <n v="21115.86"/>
    <s v="Aug"/>
    <n v="2024"/>
    <n v="8"/>
  </r>
  <r>
    <s v="ORD-00411"/>
    <d v="2024-08-04T00:00:00"/>
    <s v="T-Shirt"/>
    <s v="Clothing"/>
    <s v="WhatsApp"/>
    <s v="Abuja"/>
    <s v="Returning"/>
    <x v="0"/>
    <n v="1"/>
    <n v="16915"/>
    <n v="16915"/>
    <n v="0"/>
    <n v="0"/>
    <n v="16915"/>
    <n v="8122.39"/>
    <n v="8792.61"/>
    <s v="Aug"/>
    <n v="2024"/>
    <n v="8"/>
  </r>
  <r>
    <s v="ORD-00840"/>
    <d v="2024-08-05T00:00:00"/>
    <s v="Sandals"/>
    <s v="Footwear"/>
    <s v="WhatsApp"/>
    <s v="Oyo"/>
    <s v="New"/>
    <x v="0"/>
    <n v="1"/>
    <n v="32285"/>
    <n v="32285"/>
    <n v="0"/>
    <n v="0"/>
    <n v="32285"/>
    <n v="18442.009999999998"/>
    <n v="13842.990000000002"/>
    <s v="Aug"/>
    <n v="2024"/>
    <n v="8"/>
  </r>
  <r>
    <s v="ORD-00352"/>
    <d v="2024-08-05T00:00:00"/>
    <s v="Dress"/>
    <s v="Clothing"/>
    <s v="Physical Store"/>
    <s v="Oyo"/>
    <s v="New"/>
    <x v="0"/>
    <n v="2"/>
    <n v="46775"/>
    <n v="93550"/>
    <n v="0"/>
    <n v="0"/>
    <n v="93550"/>
    <n v="59825.49"/>
    <n v="33724.51"/>
    <s v="Aug"/>
    <n v="2024"/>
    <n v="8"/>
  </r>
  <r>
    <s v="ORD-01163"/>
    <d v="2024-08-05T00:00:00"/>
    <s v="Polo Shirt"/>
    <s v="Clothing"/>
    <s v="Website"/>
    <s v="Oyo"/>
    <s v="New"/>
    <x v="0"/>
    <n v="1"/>
    <n v="24010"/>
    <n v="24010"/>
    <n v="0"/>
    <n v="0"/>
    <n v="24010"/>
    <n v="14570.18"/>
    <n v="9439.82"/>
    <s v="Aug"/>
    <n v="2024"/>
    <n v="8"/>
  </r>
  <r>
    <s v="ORD-00148"/>
    <d v="2024-08-07T00:00:00"/>
    <s v="Sandals"/>
    <s v="Footwear"/>
    <s v="Physical Store"/>
    <s v="Oyo"/>
    <s v="Returning"/>
    <x v="0"/>
    <n v="1"/>
    <n v="29321"/>
    <n v="29321"/>
    <n v="0"/>
    <n v="0"/>
    <n v="29321"/>
    <n v="15708.78"/>
    <n v="13612.22"/>
    <s v="Aug"/>
    <n v="2024"/>
    <n v="8"/>
  </r>
  <r>
    <s v="ORD-00537"/>
    <d v="2024-08-11T00:00:00"/>
    <s v="Jeans"/>
    <s v="Clothing"/>
    <s v="Physical Store"/>
    <s v="Abuja"/>
    <s v="Returning"/>
    <x v="0"/>
    <n v="1"/>
    <n v="44612"/>
    <n v="44612"/>
    <n v="0"/>
    <n v="0"/>
    <n v="44612"/>
    <n v="25429.41"/>
    <n v="19182.59"/>
    <s v="Aug"/>
    <n v="2024"/>
    <n v="8"/>
  </r>
  <r>
    <s v="ORD-00738"/>
    <d v="2024-08-12T00:00:00"/>
    <s v="Handbag"/>
    <s v="Accessories"/>
    <s v="Instagram"/>
    <s v="Abuja"/>
    <s v="Returning"/>
    <x v="0"/>
    <n v="2"/>
    <n v="48250"/>
    <n v="96500"/>
    <n v="0"/>
    <n v="0"/>
    <n v="96500"/>
    <n v="61329.23"/>
    <n v="35170.769999999997"/>
    <s v="Aug"/>
    <n v="2024"/>
    <n v="8"/>
  </r>
  <r>
    <s v="ORD-00231"/>
    <d v="2024-08-13T00:00:00"/>
    <s v="Polo Shirt"/>
    <s v="Clothing"/>
    <s v="Website"/>
    <s v="Oyo"/>
    <s v="New"/>
    <x v="0"/>
    <n v="2"/>
    <n v="23266"/>
    <n v="46532"/>
    <n v="0"/>
    <n v="0"/>
    <n v="46532"/>
    <n v="23025.01"/>
    <n v="23506.99"/>
    <s v="Aug"/>
    <n v="2024"/>
    <n v="8"/>
  </r>
  <r>
    <s v="ORD-01157"/>
    <d v="2024-08-13T00:00:00"/>
    <s v="Sandals"/>
    <s v="Footwear"/>
    <s v="Website"/>
    <s v="Oyo"/>
    <s v="New"/>
    <x v="0"/>
    <n v="2"/>
    <n v="30011"/>
    <n v="60022"/>
    <n v="0"/>
    <n v="0"/>
    <n v="60022"/>
    <n v="37898.03"/>
    <n v="22123.97"/>
    <s v="Aug"/>
    <n v="2024"/>
    <n v="8"/>
  </r>
  <r>
    <s v="ORD-01161"/>
    <d v="2024-08-13T00:00:00"/>
    <s v="T-Shirt"/>
    <s v="Clothing"/>
    <s v="Instagram"/>
    <s v="Lagos"/>
    <s v="Returning"/>
    <x v="0"/>
    <n v="4"/>
    <n v="17895"/>
    <n v="71580"/>
    <n v="0"/>
    <n v="0"/>
    <n v="71580"/>
    <n v="36492.85"/>
    <n v="35087.15"/>
    <s v="Aug"/>
    <n v="2024"/>
    <n v="8"/>
  </r>
  <r>
    <s v="ORD-00694"/>
    <d v="2024-08-15T00:00:00"/>
    <s v="Cap"/>
    <s v="Accessories"/>
    <s v="Physical Store"/>
    <s v="Lagos"/>
    <s v="Returning"/>
    <x v="0"/>
    <n v="3"/>
    <n v="11726"/>
    <n v="35178"/>
    <n v="0"/>
    <n v="0"/>
    <n v="35178"/>
    <n v="21407.94"/>
    <n v="13770.060000000001"/>
    <s v="Aug"/>
    <n v="2024"/>
    <n v="8"/>
  </r>
  <r>
    <s v="ORD-00817"/>
    <d v="2024-08-15T00:00:00"/>
    <s v="Handbag"/>
    <s v="Accessories"/>
    <s v="Physical Store"/>
    <s v="Lagos"/>
    <s v="New"/>
    <x v="0"/>
    <n v="5"/>
    <n v="41920"/>
    <n v="209600"/>
    <n v="0"/>
    <n v="0"/>
    <n v="209600"/>
    <n v="113260.91"/>
    <n v="96339.09"/>
    <s v="Aug"/>
    <n v="2024"/>
    <n v="8"/>
  </r>
  <r>
    <s v="ORD-00717"/>
    <d v="2024-08-16T00:00:00"/>
    <s v="Polo Shirt"/>
    <s v="Clothing"/>
    <s v="Instagram"/>
    <s v="Lagos"/>
    <s v="New"/>
    <x v="0"/>
    <n v="2"/>
    <n v="23375"/>
    <n v="46750"/>
    <n v="0"/>
    <n v="0"/>
    <n v="46750"/>
    <n v="27715.22"/>
    <n v="19034.78"/>
    <s v="Aug"/>
    <n v="2024"/>
    <n v="8"/>
  </r>
  <r>
    <s v="ORD-00227"/>
    <d v="2024-08-17T00:00:00"/>
    <s v="T-Shirt"/>
    <s v="Clothing"/>
    <s v="Physical Store"/>
    <s v="Delta"/>
    <s v="New"/>
    <x v="0"/>
    <n v="5"/>
    <n v="16889"/>
    <n v="84445"/>
    <n v="0"/>
    <n v="0"/>
    <n v="84445"/>
    <n v="51999.5"/>
    <n v="32445.5"/>
    <s v="Aug"/>
    <n v="2024"/>
    <n v="8"/>
  </r>
  <r>
    <s v="ORD-00120"/>
    <d v="2024-08-18T00:00:00"/>
    <s v="Polo Shirt"/>
    <s v="Clothing"/>
    <s v="WhatsApp"/>
    <s v="Rivers"/>
    <s v="New"/>
    <x v="0"/>
    <n v="2"/>
    <n v="24738"/>
    <n v="49476"/>
    <n v="0"/>
    <n v="0"/>
    <n v="49476"/>
    <n v="29704.63"/>
    <n v="19771.37"/>
    <s v="Aug"/>
    <n v="2024"/>
    <n v="8"/>
  </r>
  <r>
    <s v="ORD-00085"/>
    <d v="2024-08-18T00:00:00"/>
    <s v="Hoodie"/>
    <s v="Clothing"/>
    <s v="Physical Store"/>
    <s v="Oyo"/>
    <s v="New"/>
    <x v="0"/>
    <n v="1"/>
    <n v="35281"/>
    <n v="35281"/>
    <n v="0"/>
    <n v="0"/>
    <n v="35281"/>
    <n v="21164.15"/>
    <n v="14116.849999999999"/>
    <s v="Aug"/>
    <n v="2024"/>
    <n v="8"/>
  </r>
  <r>
    <s v="ORD-00691"/>
    <d v="2024-08-20T00:00:00"/>
    <s v="T-Shirt"/>
    <s v="Clothing"/>
    <s v="Physical Store"/>
    <s v="Delta"/>
    <s v="Returning"/>
    <x v="0"/>
    <n v="4"/>
    <n v="16861"/>
    <n v="67444"/>
    <n v="0"/>
    <n v="0"/>
    <n v="67444"/>
    <n v="39886.47"/>
    <n v="27557.53"/>
    <s v="Aug"/>
    <n v="2024"/>
    <n v="8"/>
  </r>
  <r>
    <s v="ORD-00638"/>
    <d v="2024-08-20T00:00:00"/>
    <s v="Dress"/>
    <s v="Clothing"/>
    <s v="Website"/>
    <s v="Oyo"/>
    <s v="New"/>
    <x v="0"/>
    <n v="2"/>
    <n v="52018"/>
    <n v="104036"/>
    <n v="0"/>
    <n v="0"/>
    <n v="104036"/>
    <n v="61467.09"/>
    <n v="42568.91"/>
    <s v="Aug"/>
    <n v="2024"/>
    <n v="8"/>
  </r>
  <r>
    <s v="ORD-00444"/>
    <d v="2024-08-22T00:00:00"/>
    <s v="Polo Shirt"/>
    <s v="Clothing"/>
    <s v="Instagram"/>
    <s v="Delta"/>
    <s v="New"/>
    <x v="0"/>
    <n v="1"/>
    <n v="24841"/>
    <n v="24841"/>
    <n v="0"/>
    <n v="0"/>
    <n v="24841"/>
    <n v="16810.96"/>
    <n v="8030.0400000000009"/>
    <s v="Aug"/>
    <n v="2024"/>
    <n v="8"/>
  </r>
  <r>
    <s v="ORD-00763"/>
    <d v="2024-08-23T00:00:00"/>
    <s v="Handbag"/>
    <s v="Accessories"/>
    <s v="Website"/>
    <s v="Lagos"/>
    <s v="New"/>
    <x v="0"/>
    <n v="1"/>
    <n v="43855"/>
    <n v="43855"/>
    <n v="0"/>
    <n v="0"/>
    <n v="43855"/>
    <n v="27292.560000000001"/>
    <n v="16562.439999999999"/>
    <s v="Aug"/>
    <n v="2024"/>
    <n v="8"/>
  </r>
  <r>
    <s v="ORD-00577"/>
    <d v="2024-08-23T00:00:00"/>
    <s v="Polo Shirt"/>
    <s v="Clothing"/>
    <s v="Physical Store"/>
    <s v="Lagos"/>
    <s v="Returning"/>
    <x v="0"/>
    <n v="5"/>
    <n v="24979"/>
    <n v="124895"/>
    <n v="0"/>
    <n v="0"/>
    <n v="124895"/>
    <n v="73916.27"/>
    <n v="50978.729999999996"/>
    <s v="Aug"/>
    <n v="2024"/>
    <n v="8"/>
  </r>
  <r>
    <s v="ORD-00988"/>
    <d v="2024-08-24T00:00:00"/>
    <s v="Sandals"/>
    <s v="Footwear"/>
    <s v="Instagram"/>
    <s v="Lagos"/>
    <s v="New"/>
    <x v="0"/>
    <n v="2"/>
    <n v="30929"/>
    <n v="61858"/>
    <n v="0"/>
    <n v="0"/>
    <n v="61858"/>
    <n v="40244.620000000003"/>
    <n v="21613.379999999997"/>
    <s v="Aug"/>
    <n v="2024"/>
    <n v="8"/>
  </r>
  <r>
    <s v="ORD-00647"/>
    <d v="2024-08-26T00:00:00"/>
    <s v="Belt"/>
    <s v="Accessories"/>
    <s v="WhatsApp"/>
    <s v="Oyo"/>
    <s v="New"/>
    <x v="0"/>
    <n v="1"/>
    <n v="15989"/>
    <n v="15989"/>
    <n v="2398.35"/>
    <n v="0.15"/>
    <n v="13590.65"/>
    <n v="8457.27"/>
    <n v="5133.3799999999992"/>
    <s v="Aug"/>
    <n v="2024"/>
    <n v="8"/>
  </r>
  <r>
    <s v="ORD-00040"/>
    <d v="2024-08-29T00:00:00"/>
    <s v="Sandals"/>
    <s v="Footwear"/>
    <s v="WhatsApp"/>
    <s v="Oyo"/>
    <s v="New"/>
    <x v="0"/>
    <n v="1"/>
    <n v="28781"/>
    <n v="28781"/>
    <n v="0"/>
    <n v="0"/>
    <n v="28781"/>
    <n v="16084.93"/>
    <n v="12696.07"/>
    <s v="Aug"/>
    <n v="2024"/>
    <n v="8"/>
  </r>
  <r>
    <s v="ORD-00714"/>
    <d v="2024-08-30T00:00:00"/>
    <s v="Polo Shirt"/>
    <s v="Clothing"/>
    <s v="Website"/>
    <s v="Lagos"/>
    <s v="New"/>
    <x v="0"/>
    <n v="3"/>
    <n v="24183"/>
    <n v="72549"/>
    <n v="0"/>
    <n v="0"/>
    <n v="72549"/>
    <n v="40933.870000000003"/>
    <n v="31615.129999999997"/>
    <s v="Aug"/>
    <n v="2024"/>
    <n v="8"/>
  </r>
  <r>
    <s v="ORD-00873"/>
    <d v="2024-08-31T00:00:00"/>
    <s v="T-Shirt"/>
    <s v="Clothing"/>
    <s v="Instagram"/>
    <s v="Abuja"/>
    <s v="New"/>
    <x v="0"/>
    <n v="2"/>
    <n v="18927"/>
    <n v="37854"/>
    <n v="0"/>
    <n v="0"/>
    <n v="37854"/>
    <n v="23510.080000000002"/>
    <n v="14343.919999999998"/>
    <s v="Aug"/>
    <n v="2024"/>
    <n v="8"/>
  </r>
  <r>
    <s v="ORD-01127"/>
    <d v="2024-09-01T00:00:00"/>
    <s v="T-Shirt"/>
    <s v="Clothing"/>
    <s v="Instagram"/>
    <s v="Delta"/>
    <s v="Returning"/>
    <x v="0"/>
    <n v="1"/>
    <n v="16734"/>
    <n v="16734"/>
    <n v="1673.4"/>
    <n v="0.1"/>
    <n v="15060.6"/>
    <n v="10426.02"/>
    <n v="4634.58"/>
    <s v="Sep"/>
    <n v="2024"/>
    <n v="9"/>
  </r>
  <r>
    <s v="ORD-00271"/>
    <d v="2024-09-02T00:00:00"/>
    <s v="Dress"/>
    <s v="Clothing"/>
    <s v="Physical Store"/>
    <s v="Lagos"/>
    <s v="Returning"/>
    <x v="0"/>
    <n v="1"/>
    <n v="53427"/>
    <n v="53427"/>
    <n v="0"/>
    <n v="0"/>
    <n v="53427"/>
    <n v="34150.620000000003"/>
    <n v="19276.379999999997"/>
    <s v="Sep"/>
    <n v="2024"/>
    <n v="9"/>
  </r>
  <r>
    <s v="ORD-00340"/>
    <d v="2024-09-03T00:00:00"/>
    <s v="Hoodie"/>
    <s v="Clothing"/>
    <s v="Physical Store"/>
    <s v="Lagos"/>
    <s v="Returning"/>
    <x v="0"/>
    <n v="1"/>
    <n v="40863"/>
    <n v="40863"/>
    <n v="0"/>
    <n v="0"/>
    <n v="40863"/>
    <n v="25515.4"/>
    <n v="15347.599999999999"/>
    <s v="Sep"/>
    <n v="2024"/>
    <n v="9"/>
  </r>
  <r>
    <s v="ORD-00153"/>
    <d v="2024-09-03T00:00:00"/>
    <s v="Dress"/>
    <s v="Clothing"/>
    <s v="Instagram"/>
    <s v="Lagos"/>
    <s v="New"/>
    <x v="0"/>
    <n v="1"/>
    <n v="53433"/>
    <n v="53433"/>
    <n v="0"/>
    <n v="0"/>
    <n v="53433"/>
    <n v="35331.089999999997"/>
    <n v="18101.910000000003"/>
    <s v="Sep"/>
    <n v="2024"/>
    <n v="9"/>
  </r>
  <r>
    <s v="ORD-00644"/>
    <d v="2024-09-05T00:00:00"/>
    <s v="Cap"/>
    <s v="Accessories"/>
    <s v="WhatsApp"/>
    <s v="Rivers"/>
    <s v="New"/>
    <x v="0"/>
    <n v="2"/>
    <n v="12114"/>
    <n v="24228"/>
    <n v="0"/>
    <n v="0"/>
    <n v="24228"/>
    <n v="14076.14"/>
    <n v="10151.86"/>
    <s v="Sep"/>
    <n v="2024"/>
    <n v="9"/>
  </r>
  <r>
    <s v="ORD-00598"/>
    <d v="2024-09-05T00:00:00"/>
    <s v="Jeans"/>
    <s v="Clothing"/>
    <s v="WhatsApp"/>
    <s v="Abuja"/>
    <s v="Returning"/>
    <x v="0"/>
    <n v="2"/>
    <n v="45358"/>
    <n v="90716"/>
    <n v="13607.4"/>
    <n v="0.15"/>
    <n v="77108.600000000006"/>
    <n v="45615.34"/>
    <n v="31493.260000000009"/>
    <s v="Sep"/>
    <n v="2024"/>
    <n v="9"/>
  </r>
  <r>
    <s v="ORD-01081"/>
    <d v="2024-09-06T00:00:00"/>
    <s v="Sneakers"/>
    <s v="Footwear"/>
    <s v="Instagram"/>
    <s v="Delta"/>
    <s v="Returning"/>
    <x v="0"/>
    <n v="3"/>
    <n v="64531"/>
    <n v="193593"/>
    <n v="0"/>
    <n v="0"/>
    <n v="193593"/>
    <n v="129594.54"/>
    <n v="63998.460000000006"/>
    <s v="Sep"/>
    <n v="2024"/>
    <n v="9"/>
  </r>
  <r>
    <s v="ORD-00570"/>
    <d v="2024-09-06T00:00:00"/>
    <s v="Sandals"/>
    <s v="Footwear"/>
    <s v="WhatsApp"/>
    <s v="Rivers"/>
    <s v="Returning"/>
    <x v="0"/>
    <n v="2"/>
    <n v="31198"/>
    <n v="62396"/>
    <n v="6239.6"/>
    <n v="0.1"/>
    <n v="56156.4"/>
    <n v="37810.379999999997"/>
    <n v="18346.020000000004"/>
    <s v="Sep"/>
    <n v="2024"/>
    <n v="9"/>
  </r>
  <r>
    <s v="ORD-01119"/>
    <d v="2024-09-07T00:00:00"/>
    <s v="T-Shirt"/>
    <s v="Clothing"/>
    <s v="Physical Store"/>
    <s v="Lagos"/>
    <s v="New"/>
    <x v="0"/>
    <n v="1"/>
    <n v="19167"/>
    <n v="19167"/>
    <n v="0"/>
    <n v="0"/>
    <n v="19167"/>
    <n v="10042.74"/>
    <n v="9124.26"/>
    <s v="Sep"/>
    <n v="2024"/>
    <n v="9"/>
  </r>
  <r>
    <s v="ORD-00018"/>
    <d v="2024-09-09T00:00:00"/>
    <s v="Belt"/>
    <s v="Accessories"/>
    <s v="Physical Store"/>
    <s v="Rivers"/>
    <s v="New"/>
    <x v="0"/>
    <n v="4"/>
    <n v="15501"/>
    <n v="62004"/>
    <n v="3100.2"/>
    <n v="0.05"/>
    <n v="58903.8"/>
    <n v="38617.17"/>
    <n v="20286.630000000005"/>
    <s v="Sep"/>
    <n v="2024"/>
    <n v="9"/>
  </r>
  <r>
    <s v="ORD-00257"/>
    <d v="2024-09-09T00:00:00"/>
    <s v="Belt"/>
    <s v="Accessories"/>
    <s v="Website"/>
    <s v="Rivers"/>
    <s v="New"/>
    <x v="0"/>
    <n v="1"/>
    <n v="14677"/>
    <n v="14677"/>
    <n v="0"/>
    <n v="0"/>
    <n v="14677"/>
    <n v="7932.86"/>
    <n v="6744.14"/>
    <s v="Sep"/>
    <n v="2024"/>
    <n v="9"/>
  </r>
  <r>
    <s v="ORD-00191"/>
    <d v="2024-09-10T00:00:00"/>
    <s v="Hoodie"/>
    <s v="Clothing"/>
    <s v="WhatsApp"/>
    <s v="Lagos"/>
    <s v="Returning"/>
    <x v="0"/>
    <n v="3"/>
    <n v="37529"/>
    <n v="112587"/>
    <n v="0"/>
    <n v="0"/>
    <n v="112587"/>
    <n v="61366.559999999998"/>
    <n v="51220.44"/>
    <s v="Sep"/>
    <n v="2024"/>
    <n v="9"/>
  </r>
  <r>
    <s v="ORD-00204"/>
    <d v="2024-09-10T00:00:00"/>
    <s v="Belt"/>
    <s v="Accessories"/>
    <s v="Website"/>
    <s v="Abuja"/>
    <s v="Returning"/>
    <x v="0"/>
    <n v="1"/>
    <n v="14230"/>
    <n v="14230"/>
    <n v="0"/>
    <n v="0"/>
    <n v="14230"/>
    <n v="7152.86"/>
    <n v="7077.14"/>
    <s v="Sep"/>
    <n v="2024"/>
    <n v="9"/>
  </r>
  <r>
    <s v="ORD-00525"/>
    <d v="2024-09-12T00:00:00"/>
    <s v="Dress"/>
    <s v="Clothing"/>
    <s v="Physical Store"/>
    <s v="Oyo"/>
    <s v="New"/>
    <x v="0"/>
    <n v="2"/>
    <n v="53489"/>
    <n v="106978"/>
    <n v="0"/>
    <n v="0"/>
    <n v="106978"/>
    <n v="71681.23"/>
    <n v="35296.770000000004"/>
    <s v="Sep"/>
    <n v="2024"/>
    <n v="9"/>
  </r>
  <r>
    <s v="ORD-00369"/>
    <d v="2024-09-14T00:00:00"/>
    <s v="Dress"/>
    <s v="Clothing"/>
    <s v="Physical Store"/>
    <s v="Oyo"/>
    <s v="Returning"/>
    <x v="0"/>
    <n v="5"/>
    <n v="47045"/>
    <n v="235225"/>
    <n v="0"/>
    <n v="0"/>
    <n v="235225"/>
    <n v="147218.38"/>
    <n v="88006.62"/>
    <s v="Sep"/>
    <n v="2024"/>
    <n v="9"/>
  </r>
  <r>
    <s v="ORD-00749"/>
    <d v="2024-09-15T00:00:00"/>
    <s v="Cap"/>
    <s v="Accessories"/>
    <s v="WhatsApp"/>
    <s v="Lagos"/>
    <s v="New"/>
    <x v="0"/>
    <n v="1"/>
    <n v="12942"/>
    <n v="12942"/>
    <n v="0"/>
    <n v="0"/>
    <n v="12942"/>
    <n v="6742.04"/>
    <n v="6199.96"/>
    <s v="Sep"/>
    <n v="2024"/>
    <n v="9"/>
  </r>
  <r>
    <s v="ORD-01167"/>
    <d v="2024-09-15T00:00:00"/>
    <s v="Hoodie"/>
    <s v="Clothing"/>
    <s v="Instagram"/>
    <s v="Abuja"/>
    <s v="Returning"/>
    <x v="0"/>
    <n v="5"/>
    <n v="40572"/>
    <n v="202860"/>
    <n v="0"/>
    <n v="0"/>
    <n v="202860"/>
    <n v="137501.53"/>
    <n v="65358.47"/>
    <s v="Sep"/>
    <n v="2024"/>
    <n v="9"/>
  </r>
  <r>
    <s v="ORD-00971"/>
    <d v="2024-09-17T00:00:00"/>
    <s v="Dress"/>
    <s v="Clothing"/>
    <s v="Website"/>
    <s v="Delta"/>
    <s v="New"/>
    <x v="0"/>
    <n v="2"/>
    <n v="48883"/>
    <n v="97766"/>
    <n v="0"/>
    <n v="0"/>
    <n v="97766"/>
    <n v="54935.08"/>
    <n v="42830.92"/>
    <s v="Sep"/>
    <n v="2024"/>
    <n v="9"/>
  </r>
  <r>
    <s v="ORD-00753"/>
    <d v="2024-09-17T00:00:00"/>
    <s v="Sneakers"/>
    <s v="Footwear"/>
    <s v="Physical Store"/>
    <s v="Oyo"/>
    <s v="New"/>
    <x v="0"/>
    <n v="1"/>
    <n v="63438"/>
    <n v="63438"/>
    <n v="0"/>
    <n v="0"/>
    <n v="63438"/>
    <n v="35011.980000000003"/>
    <n v="28426.019999999997"/>
    <s v="Sep"/>
    <n v="2024"/>
    <n v="9"/>
  </r>
  <r>
    <s v="ORD-00183"/>
    <d v="2024-09-19T00:00:00"/>
    <s v="Hoodie"/>
    <s v="Clothing"/>
    <s v="Physical Store"/>
    <s v="Delta"/>
    <s v="Returning"/>
    <x v="0"/>
    <n v="2"/>
    <n v="39748"/>
    <n v="79496"/>
    <n v="0"/>
    <n v="0"/>
    <n v="79496"/>
    <n v="47126.41"/>
    <n v="32369.589999999997"/>
    <s v="Sep"/>
    <n v="2024"/>
    <n v="9"/>
  </r>
  <r>
    <s v="ORD-00305"/>
    <d v="2024-09-20T00:00:00"/>
    <s v="Belt"/>
    <s v="Accessories"/>
    <s v="Website"/>
    <s v="Abuja"/>
    <s v="New"/>
    <x v="0"/>
    <n v="1"/>
    <n v="14422"/>
    <n v="14422"/>
    <n v="0"/>
    <n v="0"/>
    <n v="14422"/>
    <n v="7181.91"/>
    <n v="7240.09"/>
    <s v="Sep"/>
    <n v="2024"/>
    <n v="9"/>
  </r>
  <r>
    <s v="ORD-00424"/>
    <d v="2024-09-21T00:00:00"/>
    <s v="Handbag"/>
    <s v="Accessories"/>
    <s v="Website"/>
    <s v="Lagos"/>
    <s v="Returning"/>
    <x v="0"/>
    <n v="1"/>
    <n v="47476"/>
    <n v="47476"/>
    <n v="2373.8000000000002"/>
    <n v="0.05"/>
    <n v="45102.2"/>
    <n v="26792.73"/>
    <n v="18309.469999999998"/>
    <s v="Sep"/>
    <n v="2024"/>
    <n v="9"/>
  </r>
  <r>
    <s v="ORD-01132"/>
    <d v="2024-09-22T00:00:00"/>
    <s v="Cap"/>
    <s v="Accessories"/>
    <s v="WhatsApp"/>
    <s v="Lagos"/>
    <s v="Returning"/>
    <x v="0"/>
    <n v="1"/>
    <n v="12714"/>
    <n v="12714"/>
    <n v="0"/>
    <n v="0"/>
    <n v="12714"/>
    <n v="7315.11"/>
    <n v="5398.89"/>
    <s v="Sep"/>
    <n v="2024"/>
    <n v="9"/>
  </r>
  <r>
    <s v="ORD-00575"/>
    <d v="2024-09-24T00:00:00"/>
    <s v="Polo Shirt"/>
    <s v="Clothing"/>
    <s v="Website"/>
    <s v="Lagos"/>
    <s v="Returning"/>
    <x v="0"/>
    <n v="1"/>
    <n v="25919"/>
    <n v="25919"/>
    <n v="1295.95"/>
    <n v="0.05"/>
    <n v="24623.05"/>
    <n v="12855.92"/>
    <n v="11767.13"/>
    <s v="Sep"/>
    <n v="2024"/>
    <n v="9"/>
  </r>
  <r>
    <s v="ORD-01012"/>
    <d v="2024-09-24T00:00:00"/>
    <s v="Hoodie"/>
    <s v="Clothing"/>
    <s v="Website"/>
    <s v="Abuja"/>
    <s v="New"/>
    <x v="0"/>
    <n v="3"/>
    <n v="39306"/>
    <n v="117918"/>
    <n v="0"/>
    <n v="0"/>
    <n v="117918"/>
    <n v="68686.64"/>
    <n v="49231.360000000001"/>
    <s v="Sep"/>
    <n v="2024"/>
    <n v="9"/>
  </r>
  <r>
    <s v="ORD-00318"/>
    <d v="2024-09-25T00:00:00"/>
    <s v="Hoodie"/>
    <s v="Clothing"/>
    <s v="Physical Store"/>
    <s v="Oyo"/>
    <s v="Returning"/>
    <x v="0"/>
    <n v="3"/>
    <n v="38811"/>
    <n v="116433"/>
    <n v="0"/>
    <n v="0"/>
    <n v="116433"/>
    <n v="65153.21"/>
    <n v="51279.79"/>
    <s v="Sep"/>
    <n v="2024"/>
    <n v="9"/>
  </r>
  <r>
    <s v="ORD-00059"/>
    <d v="2024-09-26T00:00:00"/>
    <s v="Jeans"/>
    <s v="Clothing"/>
    <s v="Instagram"/>
    <s v="Delta"/>
    <s v="Returning"/>
    <x v="0"/>
    <n v="3"/>
    <n v="44432"/>
    <n v="133296"/>
    <n v="0"/>
    <n v="0"/>
    <n v="133296"/>
    <n v="76966.759999999995"/>
    <n v="56329.240000000005"/>
    <s v="Sep"/>
    <n v="2024"/>
    <n v="9"/>
  </r>
  <r>
    <s v="ORD-00770"/>
    <d v="2024-09-26T00:00:00"/>
    <s v="Handbag"/>
    <s v="Accessories"/>
    <s v="Instagram"/>
    <s v="Abuja"/>
    <s v="New"/>
    <x v="0"/>
    <n v="2"/>
    <n v="43257"/>
    <n v="86514"/>
    <n v="0"/>
    <n v="0"/>
    <n v="86514"/>
    <n v="58406.07"/>
    <n v="28107.93"/>
    <s v="Sep"/>
    <n v="2024"/>
    <n v="9"/>
  </r>
  <r>
    <s v="ORD-01130"/>
    <d v="2024-09-28T00:00:00"/>
    <s v="Sneakers"/>
    <s v="Footwear"/>
    <s v="Physical Store"/>
    <s v="Delta"/>
    <s v="New"/>
    <x v="0"/>
    <n v="1"/>
    <n v="61830"/>
    <n v="61830"/>
    <n v="0"/>
    <n v="0"/>
    <n v="61830"/>
    <n v="31658.15"/>
    <n v="30171.85"/>
    <s v="Sep"/>
    <n v="2024"/>
    <n v="9"/>
  </r>
  <r>
    <s v="ORD-01060"/>
    <d v="2024-10-01T00:00:00"/>
    <s v="Cap"/>
    <s v="Accessories"/>
    <s v="Website"/>
    <s v="Oyo"/>
    <s v="New"/>
    <x v="0"/>
    <n v="4"/>
    <n v="11260"/>
    <n v="45040"/>
    <n v="0"/>
    <n v="0"/>
    <n v="45040"/>
    <n v="24936.58"/>
    <n v="20103.419999999998"/>
    <s v="Oct"/>
    <n v="2024"/>
    <n v="10"/>
  </r>
  <r>
    <s v="ORD-00015"/>
    <d v="2024-10-03T00:00:00"/>
    <s v="Sandals"/>
    <s v="Footwear"/>
    <s v="Instagram"/>
    <s v="Rivers"/>
    <s v="Returning"/>
    <x v="0"/>
    <n v="3"/>
    <n v="31195"/>
    <n v="93585"/>
    <n v="9358.5"/>
    <n v="0.1"/>
    <n v="84226.5"/>
    <n v="46844.77"/>
    <n v="37381.730000000003"/>
    <s v="Oct"/>
    <n v="2024"/>
    <n v="10"/>
  </r>
  <r>
    <s v="ORD-00706"/>
    <d v="2024-10-03T00:00:00"/>
    <s v="Sandals"/>
    <s v="Footwear"/>
    <s v="Physical Store"/>
    <s v="Lagos"/>
    <s v="New"/>
    <x v="0"/>
    <n v="1"/>
    <n v="30626"/>
    <n v="30626"/>
    <n v="4593.8999999999996"/>
    <n v="0.15"/>
    <n v="26032.1"/>
    <n v="17379.32"/>
    <n v="8652.7799999999988"/>
    <s v="Oct"/>
    <n v="2024"/>
    <n v="10"/>
  </r>
  <r>
    <s v="ORD-00410"/>
    <d v="2024-10-05T00:00:00"/>
    <s v="Dress"/>
    <s v="Clothing"/>
    <s v="Website"/>
    <s v="Lagos"/>
    <s v="Returning"/>
    <x v="0"/>
    <n v="2"/>
    <n v="53738"/>
    <n v="107476"/>
    <n v="0"/>
    <n v="0"/>
    <n v="107476"/>
    <n v="72162.28"/>
    <n v="35313.72"/>
    <s v="Oct"/>
    <n v="2024"/>
    <n v="10"/>
  </r>
  <r>
    <s v="ORD-00160"/>
    <d v="2024-10-06T00:00:00"/>
    <s v="T-Shirt"/>
    <s v="Clothing"/>
    <s v="WhatsApp"/>
    <s v="Oyo"/>
    <s v="Returning"/>
    <x v="0"/>
    <n v="1"/>
    <n v="19081"/>
    <n v="19081"/>
    <n v="0"/>
    <n v="0"/>
    <n v="19081"/>
    <n v="10221.459999999999"/>
    <n v="8859.5400000000009"/>
    <s v="Oct"/>
    <n v="2024"/>
    <n v="10"/>
  </r>
  <r>
    <s v="ORD-00249"/>
    <d v="2024-10-06T00:00:00"/>
    <s v="Sneakers"/>
    <s v="Footwear"/>
    <s v="Website"/>
    <s v="Rivers"/>
    <s v="Returning"/>
    <x v="0"/>
    <n v="1"/>
    <n v="67577"/>
    <n v="67577"/>
    <n v="0"/>
    <n v="0"/>
    <n v="67577"/>
    <n v="38030"/>
    <n v="29547"/>
    <s v="Oct"/>
    <n v="2024"/>
    <n v="10"/>
  </r>
  <r>
    <s v="ORD-00625"/>
    <d v="2024-10-07T00:00:00"/>
    <s v="T-Shirt"/>
    <s v="Clothing"/>
    <s v="WhatsApp"/>
    <s v="Lagos"/>
    <s v="Returning"/>
    <x v="0"/>
    <n v="2"/>
    <n v="18547"/>
    <n v="37094"/>
    <n v="0"/>
    <n v="0"/>
    <n v="37094"/>
    <n v="20372.830000000002"/>
    <n v="16721.169999999998"/>
    <s v="Oct"/>
    <n v="2024"/>
    <n v="10"/>
  </r>
  <r>
    <s v="ORD-00233"/>
    <d v="2024-10-10T00:00:00"/>
    <s v="Handbag"/>
    <s v="Accessories"/>
    <s v="Instagram"/>
    <s v="Abuja"/>
    <s v="Returning"/>
    <x v="0"/>
    <n v="2"/>
    <n v="41460"/>
    <n v="82920"/>
    <n v="0"/>
    <n v="0"/>
    <n v="82920"/>
    <n v="50774.97"/>
    <n v="32145.03"/>
    <s v="Oct"/>
    <n v="2024"/>
    <n v="10"/>
  </r>
  <r>
    <s v="ORD-00889"/>
    <d v="2024-10-11T00:00:00"/>
    <s v="Sneakers"/>
    <s v="Footwear"/>
    <s v="Website"/>
    <s v="Delta"/>
    <s v="Returning"/>
    <x v="0"/>
    <n v="2"/>
    <n v="61666"/>
    <n v="123332"/>
    <n v="0"/>
    <n v="0"/>
    <n v="123332"/>
    <n v="60171.45"/>
    <n v="63160.55"/>
    <s v="Oct"/>
    <n v="2024"/>
    <n v="10"/>
  </r>
  <r>
    <s v="ORD-00912"/>
    <d v="2024-10-11T00:00:00"/>
    <s v="Jeans"/>
    <s v="Clothing"/>
    <s v="Website"/>
    <s v="Lagos"/>
    <s v="Returning"/>
    <x v="0"/>
    <n v="3"/>
    <n v="43438"/>
    <n v="130314"/>
    <n v="0"/>
    <n v="0"/>
    <n v="130314"/>
    <n v="66154.570000000007"/>
    <n v="64159.429999999993"/>
    <s v="Oct"/>
    <n v="2024"/>
    <n v="10"/>
  </r>
  <r>
    <s v="ORD-00379"/>
    <d v="2024-10-11T00:00:00"/>
    <s v="Polo Shirt"/>
    <s v="Clothing"/>
    <s v="Instagram"/>
    <s v="Lagos"/>
    <s v="New"/>
    <x v="0"/>
    <n v="1"/>
    <n v="23932"/>
    <n v="23932"/>
    <n v="0"/>
    <n v="0"/>
    <n v="23932"/>
    <n v="14501.01"/>
    <n v="9430.99"/>
    <s v="Oct"/>
    <n v="2024"/>
    <n v="10"/>
  </r>
  <r>
    <s v="ORD-00914"/>
    <d v="2024-10-12T00:00:00"/>
    <s v="Jeans"/>
    <s v="Clothing"/>
    <s v="Physical Store"/>
    <s v="Rivers"/>
    <s v="New"/>
    <x v="0"/>
    <n v="1"/>
    <n v="38702"/>
    <n v="38702"/>
    <n v="0"/>
    <n v="0"/>
    <n v="38702"/>
    <n v="25170.91"/>
    <n v="13531.09"/>
    <s v="Oct"/>
    <n v="2024"/>
    <n v="10"/>
  </r>
  <r>
    <s v="ORD-00810"/>
    <d v="2024-10-15T00:00:00"/>
    <s v="Sandals"/>
    <s v="Footwear"/>
    <s v="WhatsApp"/>
    <s v="Lagos"/>
    <s v="New"/>
    <x v="0"/>
    <n v="1"/>
    <n v="27694"/>
    <n v="27694"/>
    <n v="0"/>
    <n v="0"/>
    <n v="27694"/>
    <n v="16190.79"/>
    <n v="11503.21"/>
    <s v="Oct"/>
    <n v="2024"/>
    <n v="10"/>
  </r>
  <r>
    <s v="ORD-00083"/>
    <d v="2024-10-15T00:00:00"/>
    <s v="Handbag"/>
    <s v="Accessories"/>
    <s v="Instagram"/>
    <s v="Abuja"/>
    <s v="New"/>
    <x v="0"/>
    <n v="2"/>
    <n v="47018"/>
    <n v="94036"/>
    <n v="0"/>
    <n v="0"/>
    <n v="94036"/>
    <n v="47729.34"/>
    <n v="46306.66"/>
    <s v="Oct"/>
    <n v="2024"/>
    <n v="10"/>
  </r>
  <r>
    <s v="ORD-01142"/>
    <d v="2024-10-19T00:00:00"/>
    <s v="Hoodie"/>
    <s v="Clothing"/>
    <s v="Website"/>
    <s v="Lagos"/>
    <s v="Returning"/>
    <x v="0"/>
    <n v="1"/>
    <n v="36771"/>
    <n v="36771"/>
    <n v="0"/>
    <n v="0"/>
    <n v="36771"/>
    <n v="20576.740000000002"/>
    <n v="16194.259999999998"/>
    <s v="Oct"/>
    <n v="2024"/>
    <n v="10"/>
  </r>
  <r>
    <s v="ORD-00159"/>
    <d v="2024-10-20T00:00:00"/>
    <s v="Polo Shirt"/>
    <s v="Clothing"/>
    <s v="WhatsApp"/>
    <s v="Abuja"/>
    <s v="Returning"/>
    <x v="0"/>
    <n v="1"/>
    <n v="23357"/>
    <n v="23357"/>
    <n v="0"/>
    <n v="0"/>
    <n v="23357"/>
    <n v="13518.16"/>
    <n v="9838.84"/>
    <s v="Oct"/>
    <n v="2024"/>
    <n v="10"/>
  </r>
  <r>
    <s v="ORD-00782"/>
    <d v="2024-10-22T00:00:00"/>
    <s v="T-Shirt"/>
    <s v="Clothing"/>
    <s v="Instagram"/>
    <s v="Delta"/>
    <s v="New"/>
    <x v="0"/>
    <n v="5"/>
    <n v="18160"/>
    <n v="90800"/>
    <n v="0"/>
    <n v="0"/>
    <n v="90800"/>
    <n v="49324.46"/>
    <n v="41475.54"/>
    <s v="Oct"/>
    <n v="2024"/>
    <n v="10"/>
  </r>
  <r>
    <s v="ORD-00063"/>
    <d v="2024-10-22T00:00:00"/>
    <s v="Jeans"/>
    <s v="Clothing"/>
    <s v="Website"/>
    <s v="Rivers"/>
    <s v="Returning"/>
    <x v="0"/>
    <n v="2"/>
    <n v="40203"/>
    <n v="80406"/>
    <n v="0"/>
    <n v="0"/>
    <n v="80406"/>
    <n v="41389.03"/>
    <n v="39016.97"/>
    <s v="Oct"/>
    <n v="2024"/>
    <n v="10"/>
  </r>
  <r>
    <s v="ORD-01047"/>
    <d v="2024-10-22T00:00:00"/>
    <s v="Jeans"/>
    <s v="Clothing"/>
    <s v="Physical Store"/>
    <s v="Oyo"/>
    <s v="New"/>
    <x v="0"/>
    <n v="4"/>
    <n v="44867"/>
    <n v="179468"/>
    <n v="0"/>
    <n v="0"/>
    <n v="179468"/>
    <n v="95375.65"/>
    <n v="84092.35"/>
    <s v="Oct"/>
    <n v="2024"/>
    <n v="10"/>
  </r>
  <r>
    <s v="ORD-00837"/>
    <d v="2024-10-28T00:00:00"/>
    <s v="T-Shirt"/>
    <s v="Clothing"/>
    <s v="Instagram"/>
    <s v="Lagos"/>
    <s v="New"/>
    <x v="0"/>
    <n v="1"/>
    <n v="16773"/>
    <n v="16773"/>
    <n v="0"/>
    <n v="0"/>
    <n v="16773"/>
    <n v="10778.09"/>
    <n v="5994.91"/>
    <s v="Oct"/>
    <n v="2024"/>
    <n v="10"/>
  </r>
  <r>
    <s v="ORD-00251"/>
    <d v="2024-10-28T00:00:00"/>
    <s v="Belt"/>
    <s v="Accessories"/>
    <s v="WhatsApp"/>
    <s v="Delta"/>
    <s v="New"/>
    <x v="0"/>
    <n v="2"/>
    <n v="14168"/>
    <n v="28336"/>
    <n v="0"/>
    <n v="0"/>
    <n v="28336"/>
    <n v="15171.17"/>
    <n v="13164.83"/>
    <s v="Oct"/>
    <n v="2024"/>
    <n v="10"/>
  </r>
  <r>
    <s v="ORD-00659"/>
    <d v="2024-10-29T00:00:00"/>
    <s v="Cap"/>
    <s v="Accessories"/>
    <s v="Website"/>
    <s v="Lagos"/>
    <s v="New"/>
    <x v="0"/>
    <n v="5"/>
    <n v="12810"/>
    <n v="64050"/>
    <n v="0"/>
    <n v="0"/>
    <n v="64050"/>
    <n v="43048.88"/>
    <n v="21001.120000000003"/>
    <s v="Oct"/>
    <n v="2024"/>
    <n v="10"/>
  </r>
  <r>
    <s v="ORD-00297"/>
    <d v="2024-10-31T00:00:00"/>
    <s v="Dress"/>
    <s v="Clothing"/>
    <s v="WhatsApp"/>
    <s v="Abuja"/>
    <s v="New"/>
    <x v="0"/>
    <n v="1"/>
    <n v="48601"/>
    <n v="48601"/>
    <n v="0"/>
    <n v="0"/>
    <n v="48601"/>
    <n v="25972.36"/>
    <n v="22628.639999999999"/>
    <s v="Oct"/>
    <n v="2024"/>
    <n v="10"/>
  </r>
  <r>
    <s v="ORD-01115"/>
    <d v="2024-11-06T00:00:00"/>
    <s v="Polo Shirt"/>
    <s v="Clothing"/>
    <s v="Instagram"/>
    <s v="Lagos"/>
    <s v="New"/>
    <x v="4"/>
    <n v="1"/>
    <n v="25777"/>
    <n v="25777"/>
    <n v="3866.55"/>
    <n v="0.15"/>
    <n v="21910.45"/>
    <n v="16682.79"/>
    <n v="5227.66"/>
    <s v="Nov"/>
    <n v="2024"/>
    <n v="11"/>
  </r>
  <r>
    <s v="ORD-00935"/>
    <d v="2024-11-08T00:00:00"/>
    <s v="Polo Shirt"/>
    <s v="Clothing"/>
    <s v="Website"/>
    <s v="Lagos"/>
    <s v="New"/>
    <x v="4"/>
    <n v="2"/>
    <n v="25996"/>
    <n v="51992"/>
    <n v="7798.8"/>
    <n v="0.15"/>
    <n v="44193.2"/>
    <n v="25516.62"/>
    <n v="18676.579999999998"/>
    <s v="Nov"/>
    <n v="2024"/>
    <n v="11"/>
  </r>
  <r>
    <s v="ORD-00869"/>
    <d v="2024-11-08T00:00:00"/>
    <s v="Dress"/>
    <s v="Clothing"/>
    <s v="Physical Store"/>
    <s v="Delta"/>
    <s v="New"/>
    <x v="4"/>
    <n v="1"/>
    <n v="50440"/>
    <n v="50440"/>
    <n v="7566"/>
    <n v="0.15"/>
    <n v="42874"/>
    <n v="30285.88"/>
    <n v="12588.119999999999"/>
    <s v="Nov"/>
    <n v="2024"/>
    <n v="11"/>
  </r>
  <r>
    <s v="ORD-00295"/>
    <d v="2024-11-09T00:00:00"/>
    <s v="Belt"/>
    <s v="Accessories"/>
    <s v="Website"/>
    <s v="Abuja"/>
    <s v="New"/>
    <x v="4"/>
    <n v="1"/>
    <n v="14555"/>
    <n v="14555"/>
    <n v="727.75"/>
    <n v="0.05"/>
    <n v="13827.25"/>
    <n v="9259.7900000000009"/>
    <n v="4567.4599999999991"/>
    <s v="Nov"/>
    <n v="2024"/>
    <n v="11"/>
  </r>
  <r>
    <s v="ORD-00703"/>
    <d v="2024-11-10T00:00:00"/>
    <s v="Belt"/>
    <s v="Accessories"/>
    <s v="WhatsApp"/>
    <s v="Lagos"/>
    <s v="New"/>
    <x v="4"/>
    <n v="1"/>
    <n v="14108"/>
    <n v="14108"/>
    <n v="2821.6"/>
    <n v="0.2"/>
    <n v="11286.4"/>
    <n v="9072.44"/>
    <n v="2213.9599999999991"/>
    <s v="Nov"/>
    <n v="2024"/>
    <n v="11"/>
  </r>
  <r>
    <s v="ORD-00038"/>
    <d v="2024-11-11T00:00:00"/>
    <s v="Cap"/>
    <s v="Accessories"/>
    <s v="Instagram"/>
    <s v="Rivers"/>
    <s v="Returning"/>
    <x v="4"/>
    <n v="2"/>
    <n v="12185"/>
    <n v="24370"/>
    <n v="2437"/>
    <n v="0.1"/>
    <n v="21933"/>
    <n v="13863.7"/>
    <n v="8069.2999999999993"/>
    <s v="Nov"/>
    <n v="2024"/>
    <n v="11"/>
  </r>
  <r>
    <s v="ORD-00762"/>
    <d v="2024-11-13T00:00:00"/>
    <s v="Jeans"/>
    <s v="Clothing"/>
    <s v="Instagram"/>
    <s v="Abuja"/>
    <s v="New"/>
    <x v="4"/>
    <n v="1"/>
    <n v="42706"/>
    <n v="42706"/>
    <n v="2135.3000000000002"/>
    <n v="0.05"/>
    <n v="40570.699999999997"/>
    <n v="23049.9"/>
    <n v="17520.799999999996"/>
    <s v="Nov"/>
    <n v="2024"/>
    <n v="11"/>
  </r>
  <r>
    <s v="ORD-00138"/>
    <d v="2024-11-13T00:00:00"/>
    <s v="Dress"/>
    <s v="Clothing"/>
    <s v="WhatsApp"/>
    <s v="Lagos"/>
    <s v="Returning"/>
    <x v="4"/>
    <n v="4"/>
    <n v="52613"/>
    <n v="210452"/>
    <n v="31567.8"/>
    <n v="0.15"/>
    <n v="178884.2"/>
    <n v="113156.06"/>
    <n v="65728.140000000014"/>
    <s v="Nov"/>
    <n v="2024"/>
    <n v="11"/>
  </r>
  <r>
    <s v="ORD-01126"/>
    <d v="2024-11-13T00:00:00"/>
    <s v="Sneakers"/>
    <s v="Footwear"/>
    <s v="Physical Store"/>
    <s v="Delta"/>
    <s v="Returning"/>
    <x v="4"/>
    <n v="4"/>
    <n v="69463"/>
    <n v="277852"/>
    <n v="41677.800000000003"/>
    <n v="0.15"/>
    <n v="236174.2"/>
    <n v="176078.99"/>
    <n v="60095.210000000021"/>
    <s v="Nov"/>
    <n v="2024"/>
    <n v="11"/>
  </r>
  <r>
    <s v="ORD-00746"/>
    <d v="2024-11-15T00:00:00"/>
    <s v="Cap"/>
    <s v="Accessories"/>
    <s v="Website"/>
    <s v="Rivers"/>
    <s v="New"/>
    <x v="0"/>
    <n v="1"/>
    <n v="11999"/>
    <n v="11999"/>
    <n v="0"/>
    <n v="0"/>
    <n v="11999"/>
    <n v="6062.36"/>
    <n v="5936.64"/>
    <s v="Nov"/>
    <n v="2024"/>
    <n v="11"/>
  </r>
  <r>
    <s v="ORD-00757"/>
    <d v="2024-11-16T00:00:00"/>
    <s v="Belt"/>
    <s v="Accessories"/>
    <s v="Website"/>
    <s v="Lagos"/>
    <s v="New"/>
    <x v="4"/>
    <n v="2"/>
    <n v="13883"/>
    <n v="27766"/>
    <n v="5553.2"/>
    <n v="0.2"/>
    <n v="22212.799999999999"/>
    <n v="16641.04"/>
    <n v="5571.7599999999984"/>
    <s v="Nov"/>
    <n v="2024"/>
    <n v="11"/>
  </r>
  <r>
    <s v="ORD-00283"/>
    <d v="2024-11-16T00:00:00"/>
    <s v="Handbag"/>
    <s v="Accessories"/>
    <s v="Physical Store"/>
    <s v="Delta"/>
    <s v="Returning"/>
    <x v="4"/>
    <n v="2"/>
    <n v="44276"/>
    <n v="88552"/>
    <n v="13282.8"/>
    <n v="0.15"/>
    <n v="75269.2"/>
    <n v="42696.43"/>
    <n v="32572.769999999997"/>
    <s v="Nov"/>
    <n v="2024"/>
    <n v="11"/>
  </r>
  <r>
    <s v="ORD-00822"/>
    <d v="2024-11-19T00:00:00"/>
    <s v="Sneakers"/>
    <s v="Footwear"/>
    <s v="Instagram"/>
    <s v="Rivers"/>
    <s v="Returning"/>
    <x v="4"/>
    <n v="4"/>
    <n v="66783"/>
    <n v="267132"/>
    <n v="13356.6"/>
    <n v="0.05"/>
    <n v="253775.4"/>
    <n v="177624.14"/>
    <n v="76151.25999999998"/>
    <s v="Nov"/>
    <n v="2024"/>
    <n v="11"/>
  </r>
  <r>
    <s v="ORD-01140"/>
    <d v="2024-11-19T00:00:00"/>
    <s v="T-Shirt"/>
    <s v="Clothing"/>
    <s v="Physical Store"/>
    <s v="Lagos"/>
    <s v="New"/>
    <x v="4"/>
    <n v="2"/>
    <n v="19402"/>
    <n v="38804"/>
    <n v="5820.6"/>
    <n v="0.15"/>
    <n v="32983.4"/>
    <n v="21201.78"/>
    <n v="11781.620000000003"/>
    <s v="Nov"/>
    <n v="2024"/>
    <n v="11"/>
  </r>
  <r>
    <s v="ORD-00735"/>
    <d v="2024-11-21T00:00:00"/>
    <s v="Sneakers"/>
    <s v="Footwear"/>
    <s v="Physical Store"/>
    <s v="Lagos"/>
    <s v="Returning"/>
    <x v="4"/>
    <n v="1"/>
    <n v="69786"/>
    <n v="69786"/>
    <n v="3489.3"/>
    <n v="0.05"/>
    <n v="66296.7"/>
    <n v="44682.18"/>
    <n v="21614.519999999997"/>
    <s v="Nov"/>
    <n v="2024"/>
    <n v="11"/>
  </r>
  <r>
    <s v="ORD-00904"/>
    <d v="2024-11-22T00:00:00"/>
    <s v="Dress"/>
    <s v="Clothing"/>
    <s v="Website"/>
    <s v="Abuja"/>
    <s v="New"/>
    <x v="4"/>
    <n v="3"/>
    <n v="48543"/>
    <n v="145629"/>
    <n v="29125.8"/>
    <n v="0.2"/>
    <n v="116503.2"/>
    <n v="84793.88"/>
    <n v="31709.319999999992"/>
    <s v="Nov"/>
    <n v="2024"/>
    <n v="11"/>
  </r>
  <r>
    <s v="ORD-01196"/>
    <d v="2024-11-23T00:00:00"/>
    <s v="Dress"/>
    <s v="Clothing"/>
    <s v="WhatsApp"/>
    <s v="Lagos"/>
    <s v="Returning"/>
    <x v="4"/>
    <n v="2"/>
    <n v="51896"/>
    <n v="103792"/>
    <n v="10379.200000000001"/>
    <n v="0.1"/>
    <n v="93412.800000000003"/>
    <n v="55229.760000000002"/>
    <n v="38183.040000000001"/>
    <s v="Nov"/>
    <n v="2024"/>
    <n v="11"/>
  </r>
  <r>
    <s v="ORD-00938"/>
    <d v="2024-11-23T00:00:00"/>
    <s v="Polo Shirt"/>
    <s v="Clothing"/>
    <s v="Physical Store"/>
    <s v="Abuja"/>
    <s v="New"/>
    <x v="4"/>
    <n v="2"/>
    <n v="23438"/>
    <n v="46876"/>
    <n v="7031.4"/>
    <n v="0.15"/>
    <n v="39844.6"/>
    <n v="23774.44"/>
    <n v="16070.16"/>
    <s v="Nov"/>
    <n v="2024"/>
    <n v="11"/>
  </r>
  <r>
    <s v="ORD-01182"/>
    <d v="2024-11-24T00:00:00"/>
    <s v="Dress"/>
    <s v="Clothing"/>
    <s v="Instagram"/>
    <s v="Oyo"/>
    <s v="New"/>
    <x v="4"/>
    <n v="1"/>
    <n v="51186"/>
    <n v="51186"/>
    <n v="7677.9"/>
    <n v="0.15"/>
    <n v="43508.1"/>
    <n v="26285.26"/>
    <n v="17222.84"/>
    <s v="Nov"/>
    <n v="2024"/>
    <n v="11"/>
  </r>
  <r>
    <s v="ORD-00758"/>
    <d v="2024-11-24T00:00:00"/>
    <s v="Hoodie"/>
    <s v="Clothing"/>
    <s v="Physical Store"/>
    <s v="Oyo"/>
    <s v="New"/>
    <x v="0"/>
    <n v="2"/>
    <n v="40345"/>
    <n v="80690"/>
    <n v="0"/>
    <n v="0"/>
    <n v="80690"/>
    <n v="41370.5"/>
    <n v="39319.5"/>
    <s v="Nov"/>
    <n v="2024"/>
    <n v="11"/>
  </r>
  <r>
    <s v="ORD-00956"/>
    <d v="2024-11-25T00:00:00"/>
    <s v="Handbag"/>
    <s v="Accessories"/>
    <s v="Website"/>
    <s v="Lagos"/>
    <s v="New"/>
    <x v="4"/>
    <n v="2"/>
    <n v="47357"/>
    <n v="94714"/>
    <n v="14207.1"/>
    <n v="0.15"/>
    <n v="80506.899999999994"/>
    <n v="46697.79"/>
    <n v="33809.109999999993"/>
    <s v="Nov"/>
    <n v="2024"/>
    <n v="11"/>
  </r>
  <r>
    <s v="ORD-01065"/>
    <d v="2024-11-25T00:00:00"/>
    <s v="Handbag"/>
    <s v="Accessories"/>
    <s v="Instagram"/>
    <s v="Oyo"/>
    <s v="Returning"/>
    <x v="4"/>
    <n v="2"/>
    <n v="42902"/>
    <n v="85804"/>
    <n v="4290.2"/>
    <n v="0.05"/>
    <n v="81513.8"/>
    <n v="42661.3"/>
    <n v="38852.5"/>
    <s v="Nov"/>
    <n v="2024"/>
    <n v="11"/>
  </r>
  <r>
    <s v="ORD-00006"/>
    <d v="2024-11-26T00:00:00"/>
    <s v="Sneakers"/>
    <s v="Footwear"/>
    <s v="Website"/>
    <s v="Delta"/>
    <s v="Returning"/>
    <x v="4"/>
    <n v="1"/>
    <n v="60500"/>
    <n v="60500"/>
    <n v="9075"/>
    <n v="0.15"/>
    <n v="51425"/>
    <n v="33225.18"/>
    <n v="18199.82"/>
    <s v="Nov"/>
    <n v="2024"/>
    <n v="11"/>
  </r>
  <r>
    <s v="ORD-00764"/>
    <d v="2024-11-29T00:00:00"/>
    <s v="Sneakers"/>
    <s v="Footwear"/>
    <s v="WhatsApp"/>
    <s v="Lagos"/>
    <s v="Returning"/>
    <x v="0"/>
    <n v="2"/>
    <n v="66242"/>
    <n v="132484"/>
    <n v="0"/>
    <n v="0"/>
    <n v="132484"/>
    <n v="75033.77"/>
    <n v="57450.229999999996"/>
    <s v="Nov"/>
    <n v="2024"/>
    <n v="11"/>
  </r>
  <r>
    <s v="ORD-01083"/>
    <d v="2024-11-30T00:00:00"/>
    <s v="Sandals"/>
    <s v="Footwear"/>
    <s v="WhatsApp"/>
    <s v="Lagos"/>
    <s v="Returning"/>
    <x v="4"/>
    <n v="1"/>
    <n v="29100"/>
    <n v="29100"/>
    <n v="2910"/>
    <n v="0.1"/>
    <n v="26190"/>
    <n v="18968.439999999999"/>
    <n v="7221.5600000000013"/>
    <s v="Nov"/>
    <n v="2024"/>
    <n v="11"/>
  </r>
  <r>
    <s v="ORD-00368"/>
    <d v="2024-12-01T00:00:00"/>
    <s v="Sneakers"/>
    <s v="Footwear"/>
    <s v="Website"/>
    <s v="Oyo"/>
    <s v="Returning"/>
    <x v="5"/>
    <n v="2"/>
    <n v="69956"/>
    <n v="139912"/>
    <n v="13991.2"/>
    <n v="0.1"/>
    <n v="125920.8"/>
    <n v="93308.54"/>
    <n v="32612.260000000009"/>
    <s v="Dec"/>
    <n v="2024"/>
    <n v="12"/>
  </r>
  <r>
    <s v="ORD-00653"/>
    <d v="2024-12-02T00:00:00"/>
    <s v="Hoodie"/>
    <s v="Clothing"/>
    <s v="Website"/>
    <s v="Lagos"/>
    <s v="New"/>
    <x v="5"/>
    <n v="2"/>
    <n v="39602"/>
    <n v="79204"/>
    <n v="7920.4"/>
    <n v="0.1"/>
    <n v="71283.600000000006"/>
    <n v="48457.56"/>
    <n v="22826.040000000008"/>
    <s v="Dec"/>
    <n v="2024"/>
    <n v="12"/>
  </r>
  <r>
    <s v="ORD-00210"/>
    <d v="2024-12-03T00:00:00"/>
    <s v="Hoodie"/>
    <s v="Clothing"/>
    <s v="WhatsApp"/>
    <s v="Lagos"/>
    <s v="Returning"/>
    <x v="5"/>
    <n v="3"/>
    <n v="39003"/>
    <n v="117009"/>
    <n v="11700.9"/>
    <n v="0.1"/>
    <n v="105308.1"/>
    <n v="73547.759999999995"/>
    <n v="31760.340000000011"/>
    <s v="Dec"/>
    <n v="2024"/>
    <n v="12"/>
  </r>
  <r>
    <s v="ORD-00065"/>
    <d v="2024-12-03T00:00:00"/>
    <s v="Sneakers"/>
    <s v="Footwear"/>
    <s v="Instagram"/>
    <s v="Delta"/>
    <s v="New"/>
    <x v="5"/>
    <n v="2"/>
    <n v="65854"/>
    <n v="131708"/>
    <n v="19756.2"/>
    <n v="0.15"/>
    <n v="111951.8"/>
    <n v="68216.710000000006"/>
    <n v="43735.09"/>
    <s v="Dec"/>
    <n v="2024"/>
    <n v="12"/>
  </r>
  <r>
    <s v="ORD-00178"/>
    <d v="2024-12-03T00:00:00"/>
    <s v="Handbag"/>
    <s v="Accessories"/>
    <s v="Website"/>
    <s v="Rivers"/>
    <s v="Returning"/>
    <x v="5"/>
    <n v="3"/>
    <n v="48194"/>
    <n v="144582"/>
    <n v="28916.400000000001"/>
    <n v="0.2"/>
    <n v="115665.60000000001"/>
    <n v="84478.1"/>
    <n v="31187.5"/>
    <s v="Dec"/>
    <n v="2024"/>
    <n v="12"/>
  </r>
  <r>
    <s v="ORD-01068"/>
    <d v="2024-12-04T00:00:00"/>
    <s v="Handbag"/>
    <s v="Accessories"/>
    <s v="Physical Store"/>
    <s v="Rivers"/>
    <s v="New"/>
    <x v="5"/>
    <n v="2"/>
    <n v="43309"/>
    <n v="86618"/>
    <n v="4330.8999999999996"/>
    <n v="0.05"/>
    <n v="82287.100000000006"/>
    <n v="47243.040000000001"/>
    <n v="35044.060000000005"/>
    <s v="Dec"/>
    <n v="2024"/>
    <n v="12"/>
  </r>
  <r>
    <s v="ORD-00457"/>
    <d v="2024-12-04T00:00:00"/>
    <s v="Cap"/>
    <s v="Accessories"/>
    <s v="WhatsApp"/>
    <s v="Lagos"/>
    <s v="Returning"/>
    <x v="0"/>
    <n v="1"/>
    <n v="12759"/>
    <n v="12759"/>
    <n v="0"/>
    <n v="0"/>
    <n v="12759"/>
    <n v="7255.89"/>
    <n v="5503.11"/>
    <s v="Dec"/>
    <n v="2024"/>
    <n v="12"/>
  </r>
  <r>
    <s v="ORD-01135"/>
    <d v="2024-12-05T00:00:00"/>
    <s v="Sneakers"/>
    <s v="Footwear"/>
    <s v="Physical Store"/>
    <s v="Rivers"/>
    <s v="New"/>
    <x v="5"/>
    <n v="2"/>
    <n v="61760"/>
    <n v="123520"/>
    <n v="24704"/>
    <n v="0.2"/>
    <n v="98816"/>
    <n v="62516.55"/>
    <n v="36299.449999999997"/>
    <s v="Dec"/>
    <n v="2024"/>
    <n v="12"/>
  </r>
  <r>
    <s v="ORD-00355"/>
    <d v="2024-12-06T00:00:00"/>
    <s v="Handbag"/>
    <s v="Accessories"/>
    <s v="Website"/>
    <s v="Oyo"/>
    <s v="New"/>
    <x v="5"/>
    <n v="1"/>
    <n v="48291"/>
    <n v="48291"/>
    <n v="2414.5500000000002"/>
    <n v="0.05"/>
    <n v="45876.45"/>
    <n v="29479.48"/>
    <n v="16396.969999999998"/>
    <s v="Dec"/>
    <n v="2024"/>
    <n v="12"/>
  </r>
  <r>
    <s v="ORD-01006"/>
    <d v="2024-12-07T00:00:00"/>
    <s v="Belt"/>
    <s v="Accessories"/>
    <s v="Website"/>
    <s v="Lagos"/>
    <s v="Returning"/>
    <x v="0"/>
    <n v="2"/>
    <n v="15356"/>
    <n v="30712"/>
    <n v="0"/>
    <n v="0"/>
    <n v="30712"/>
    <n v="19338.23"/>
    <n v="11373.77"/>
    <s v="Dec"/>
    <n v="2024"/>
    <n v="12"/>
  </r>
  <r>
    <s v="ORD-00900"/>
    <d v="2024-12-07T00:00:00"/>
    <s v="Sandals"/>
    <s v="Footwear"/>
    <s v="Website"/>
    <s v="Rivers"/>
    <s v="Returning"/>
    <x v="0"/>
    <n v="2"/>
    <n v="31138"/>
    <n v="62276"/>
    <n v="0"/>
    <n v="0"/>
    <n v="62276"/>
    <n v="32959.83"/>
    <n v="29316.17"/>
    <s v="Dec"/>
    <n v="2024"/>
    <n v="12"/>
  </r>
  <r>
    <s v="ORD-00011"/>
    <d v="2024-12-09T00:00:00"/>
    <s v="Polo Shirt"/>
    <s v="Clothing"/>
    <s v="Website"/>
    <s v="Lagos"/>
    <s v="Returning"/>
    <x v="5"/>
    <n v="4"/>
    <n v="26872"/>
    <n v="107488"/>
    <n v="10748.8"/>
    <n v="0.1"/>
    <n v="96739.199999999997"/>
    <n v="70267.55"/>
    <n v="26471.649999999994"/>
    <s v="Dec"/>
    <n v="2024"/>
    <n v="12"/>
  </r>
  <r>
    <s v="ORD-00640"/>
    <d v="2024-12-11T00:00:00"/>
    <s v="Hoodie"/>
    <s v="Clothing"/>
    <s v="Website"/>
    <s v="Rivers"/>
    <s v="Returning"/>
    <x v="0"/>
    <n v="2"/>
    <n v="35592"/>
    <n v="71184"/>
    <n v="10677.6"/>
    <n v="0.15"/>
    <n v="60506.400000000001"/>
    <n v="46842.21"/>
    <n v="13664.190000000002"/>
    <s v="Dec"/>
    <n v="2024"/>
    <n v="12"/>
  </r>
  <r>
    <s v="ORD-00836"/>
    <d v="2024-12-11T00:00:00"/>
    <s v="Sneakers"/>
    <s v="Footwear"/>
    <s v="Website"/>
    <s v="Lagos"/>
    <s v="Returning"/>
    <x v="0"/>
    <n v="2"/>
    <n v="63984"/>
    <n v="127968"/>
    <n v="0"/>
    <n v="0"/>
    <n v="127968"/>
    <n v="64453.75"/>
    <n v="63514.25"/>
    <s v="Dec"/>
    <n v="2024"/>
    <n v="12"/>
  </r>
  <r>
    <s v="ORD-00185"/>
    <d v="2024-12-11T00:00:00"/>
    <s v="T-Shirt"/>
    <s v="Clothing"/>
    <s v="Website"/>
    <s v="Oyo"/>
    <s v="New"/>
    <x v="0"/>
    <n v="2"/>
    <n v="18230"/>
    <n v="36460"/>
    <n v="0"/>
    <n v="0"/>
    <n v="36460"/>
    <n v="23033.8"/>
    <n v="13426.2"/>
    <s v="Dec"/>
    <n v="2024"/>
    <n v="12"/>
  </r>
  <r>
    <s v="ORD-00879"/>
    <d v="2024-12-12T00:00:00"/>
    <s v="Dress"/>
    <s v="Clothing"/>
    <s v="Website"/>
    <s v="Lagos"/>
    <s v="New"/>
    <x v="5"/>
    <n v="2"/>
    <n v="51613"/>
    <n v="103226"/>
    <n v="5161.3"/>
    <n v="0.05"/>
    <n v="98064.7"/>
    <n v="50772.92"/>
    <n v="47291.78"/>
    <s v="Dec"/>
    <n v="2024"/>
    <n v="12"/>
  </r>
  <r>
    <s v="ORD-00478"/>
    <d v="2024-12-13T00:00:00"/>
    <s v="Sneakers"/>
    <s v="Footwear"/>
    <s v="Physical Store"/>
    <s v="Rivers"/>
    <s v="New"/>
    <x v="5"/>
    <n v="1"/>
    <n v="60213"/>
    <n v="60213"/>
    <n v="9031.9500000000007"/>
    <n v="0.15"/>
    <n v="51181.05"/>
    <n v="39375.64"/>
    <n v="11805.410000000003"/>
    <s v="Dec"/>
    <n v="2024"/>
    <n v="12"/>
  </r>
  <r>
    <s v="ORD-00649"/>
    <d v="2024-12-15T00:00:00"/>
    <s v="Cap"/>
    <s v="Accessories"/>
    <s v="WhatsApp"/>
    <s v="Lagos"/>
    <s v="New"/>
    <x v="5"/>
    <n v="1"/>
    <n v="12898"/>
    <n v="12898"/>
    <n v="1934.7"/>
    <n v="0.15"/>
    <n v="10963.3"/>
    <n v="6248.95"/>
    <n v="4714.3499999999995"/>
    <s v="Dec"/>
    <n v="2024"/>
    <n v="12"/>
  </r>
  <r>
    <s v="ORD-00710"/>
    <d v="2024-12-15T00:00:00"/>
    <s v="Polo Shirt"/>
    <s v="Clothing"/>
    <s v="Website"/>
    <s v="Lagos"/>
    <s v="New"/>
    <x v="5"/>
    <n v="1"/>
    <n v="23919"/>
    <n v="23919"/>
    <n v="2391.9"/>
    <n v="0.1"/>
    <n v="21527.1"/>
    <n v="12693.78"/>
    <n v="8833.3199999999979"/>
    <s v="Dec"/>
    <n v="2024"/>
    <n v="12"/>
  </r>
  <r>
    <s v="ORD-00848"/>
    <d v="2024-12-21T00:00:00"/>
    <s v="Polo Shirt"/>
    <s v="Clothing"/>
    <s v="Physical Store"/>
    <s v="Abuja"/>
    <s v="New"/>
    <x v="5"/>
    <n v="2"/>
    <n v="26943"/>
    <n v="53886"/>
    <n v="8082.9"/>
    <n v="0.15"/>
    <n v="45803.1"/>
    <n v="35156.870000000003"/>
    <n v="10646.229999999996"/>
    <s v="Dec"/>
    <n v="2024"/>
    <n v="12"/>
  </r>
  <r>
    <s v="ORD-00357"/>
    <d v="2024-12-22T00:00:00"/>
    <s v="Handbag"/>
    <s v="Accessories"/>
    <s v="Physical Store"/>
    <s v="Abuja"/>
    <s v="New"/>
    <x v="5"/>
    <n v="1"/>
    <n v="46662"/>
    <n v="46662"/>
    <n v="4666.2"/>
    <n v="0.1"/>
    <n v="41995.8"/>
    <n v="27894.73"/>
    <n v="14101.070000000003"/>
    <s v="Dec"/>
    <n v="2024"/>
    <n v="12"/>
  </r>
  <r>
    <s v="ORD-00502"/>
    <d v="2024-12-23T00:00:00"/>
    <s v="Handbag"/>
    <s v="Accessories"/>
    <s v="Website"/>
    <s v="Rivers"/>
    <s v="New"/>
    <x v="5"/>
    <n v="2"/>
    <n v="43882"/>
    <n v="87764"/>
    <n v="13164.6"/>
    <n v="0.15"/>
    <n v="74599.399999999994"/>
    <n v="57766.65"/>
    <n v="16832.749999999993"/>
    <s v="Dec"/>
    <n v="2024"/>
    <n v="12"/>
  </r>
  <r>
    <s v="ORD-00623"/>
    <d v="2024-12-25T00:00:00"/>
    <s v="Belt"/>
    <s v="Accessories"/>
    <s v="Website"/>
    <s v="Lagos"/>
    <s v="New"/>
    <x v="0"/>
    <n v="3"/>
    <n v="14527"/>
    <n v="43581"/>
    <n v="0"/>
    <n v="0"/>
    <n v="43581"/>
    <n v="25021.65"/>
    <n v="18559.349999999999"/>
    <s v="Dec"/>
    <n v="2024"/>
    <n v="12"/>
  </r>
  <r>
    <s v="ORD-00676"/>
    <d v="2024-12-28T00:00:00"/>
    <s v="Sandals"/>
    <s v="Footwear"/>
    <s v="Physical Store"/>
    <s v="Lagos"/>
    <s v="New"/>
    <x v="5"/>
    <n v="2"/>
    <n v="31761"/>
    <n v="63522"/>
    <n v="6352.2"/>
    <n v="0.1"/>
    <n v="57169.8"/>
    <n v="35634.06"/>
    <n v="21535.740000000005"/>
    <s v="Dec"/>
    <n v="2024"/>
    <n v="12"/>
  </r>
  <r>
    <s v="ORD-00838"/>
    <d v="2024-12-28T00:00:00"/>
    <s v="Jeans"/>
    <s v="Clothing"/>
    <s v="Physical Store"/>
    <s v="Lagos"/>
    <s v="Returning"/>
    <x v="5"/>
    <n v="1"/>
    <n v="41206"/>
    <n v="41206"/>
    <n v="4120.6000000000004"/>
    <n v="0.1"/>
    <n v="37085.4"/>
    <n v="20722.77"/>
    <n v="16362.630000000001"/>
    <s v="Dec"/>
    <n v="2024"/>
    <n v="12"/>
  </r>
  <r>
    <s v="ORD-01106"/>
    <d v="2024-12-29T00:00:00"/>
    <s v="Sneakers"/>
    <s v="Footwear"/>
    <s v="WhatsApp"/>
    <s v="Abuja"/>
    <s v="Returning"/>
    <x v="5"/>
    <n v="3"/>
    <n v="66862"/>
    <n v="200586"/>
    <n v="30087.9"/>
    <n v="0.15"/>
    <n v="170498.1"/>
    <n v="118939.99"/>
    <n v="51558.11"/>
    <s v="Dec"/>
    <n v="2024"/>
    <n v="12"/>
  </r>
  <r>
    <s v="ORD-01041"/>
    <d v="2024-12-30T00:00:00"/>
    <s v="Hoodie"/>
    <s v="Clothing"/>
    <s v="Instagram"/>
    <s v="Lagos"/>
    <s v="Returning"/>
    <x v="5"/>
    <n v="1"/>
    <n v="36164"/>
    <n v="36164"/>
    <n v="7232.8"/>
    <n v="0.2"/>
    <n v="28931.200000000001"/>
    <n v="17505.400000000001"/>
    <n v="11425.8"/>
    <s v="Dec"/>
    <n v="2024"/>
    <n v="12"/>
  </r>
  <r>
    <s v="ORD-00667"/>
    <d v="2024-12-30T00:00:00"/>
    <s v="Belt"/>
    <s v="Accessories"/>
    <s v="Website"/>
    <s v="Rivers"/>
    <s v="New"/>
    <x v="5"/>
    <n v="1"/>
    <n v="14964"/>
    <n v="14964"/>
    <n v="2244.6"/>
    <n v="0.15"/>
    <n v="12719.4"/>
    <n v="8094.81"/>
    <n v="4624.5899999999992"/>
    <s v="Dec"/>
    <n v="2024"/>
    <n v="12"/>
  </r>
  <r>
    <s v="ORD-00319"/>
    <d v="2025-01-04T00:00:00"/>
    <s v="Sneakers"/>
    <s v="Footwear"/>
    <s v="Physical Store"/>
    <s v="Rivers"/>
    <s v="New"/>
    <x v="0"/>
    <n v="1"/>
    <n v="61125"/>
    <n v="61125"/>
    <n v="6112.5"/>
    <n v="0.1"/>
    <n v="55012.5"/>
    <n v="39890.29"/>
    <n v="15122.21"/>
    <s v="Jan"/>
    <n v="2025"/>
    <n v="1"/>
  </r>
  <r>
    <s v="ORD-00864"/>
    <d v="2025-01-05T00:00:00"/>
    <s v="Hoodie"/>
    <s v="Clothing"/>
    <s v="Instagram"/>
    <s v="Abuja"/>
    <s v="Returning"/>
    <x v="0"/>
    <n v="2"/>
    <n v="35232"/>
    <n v="70464"/>
    <n v="0"/>
    <n v="0"/>
    <n v="70464"/>
    <n v="37770.589999999997"/>
    <n v="32693.410000000003"/>
    <s v="Jan"/>
    <n v="2025"/>
    <n v="1"/>
  </r>
  <r>
    <s v="ORD-01092"/>
    <d v="2025-01-06T00:00:00"/>
    <s v="Cap"/>
    <s v="Accessories"/>
    <s v="Instagram"/>
    <s v="Oyo"/>
    <s v="New"/>
    <x v="0"/>
    <n v="3"/>
    <n v="12848"/>
    <n v="38544"/>
    <n v="0"/>
    <n v="0"/>
    <n v="38544"/>
    <n v="24909.63"/>
    <n v="13634.369999999999"/>
    <s v="Jan"/>
    <n v="2025"/>
    <n v="1"/>
  </r>
  <r>
    <s v="ORD-00505"/>
    <d v="2025-01-07T00:00:00"/>
    <s v="Belt"/>
    <s v="Accessories"/>
    <s v="Physical Store"/>
    <s v="Delta"/>
    <s v="Returning"/>
    <x v="0"/>
    <n v="2"/>
    <n v="14279"/>
    <n v="28558"/>
    <n v="0"/>
    <n v="0"/>
    <n v="28558"/>
    <n v="17971.09"/>
    <n v="10586.91"/>
    <s v="Jan"/>
    <n v="2025"/>
    <n v="1"/>
  </r>
  <r>
    <s v="ORD-00534"/>
    <d v="2025-01-08T00:00:00"/>
    <s v="Sneakers"/>
    <s v="Footwear"/>
    <s v="Website"/>
    <s v="Delta"/>
    <s v="New"/>
    <x v="0"/>
    <n v="1"/>
    <n v="66438"/>
    <n v="66438"/>
    <n v="0"/>
    <n v="0"/>
    <n v="66438"/>
    <n v="33378.61"/>
    <n v="33059.39"/>
    <s v="Jan"/>
    <n v="2025"/>
    <n v="1"/>
  </r>
  <r>
    <s v="ORD-01070"/>
    <d v="2025-01-08T00:00:00"/>
    <s v="Belt"/>
    <s v="Accessories"/>
    <s v="Website"/>
    <s v="Lagos"/>
    <s v="New"/>
    <x v="0"/>
    <n v="1"/>
    <n v="15386"/>
    <n v="15386"/>
    <n v="0"/>
    <n v="0"/>
    <n v="15386"/>
    <n v="9959.65"/>
    <n v="5426.35"/>
    <s v="Jan"/>
    <n v="2025"/>
    <n v="1"/>
  </r>
  <r>
    <s v="ORD-01139"/>
    <d v="2025-01-10T00:00:00"/>
    <s v="Hoodie"/>
    <s v="Clothing"/>
    <s v="Physical Store"/>
    <s v="Lagos"/>
    <s v="New"/>
    <x v="0"/>
    <n v="1"/>
    <n v="39569"/>
    <n v="39569"/>
    <n v="0"/>
    <n v="0"/>
    <n v="39569"/>
    <n v="19110.48"/>
    <n v="20458.52"/>
    <s v="Jan"/>
    <n v="2025"/>
    <n v="1"/>
  </r>
  <r>
    <s v="ORD-00765"/>
    <d v="2025-01-10T00:00:00"/>
    <s v="Polo Shirt"/>
    <s v="Clothing"/>
    <s v="Instagram"/>
    <s v="Lagos"/>
    <s v="New"/>
    <x v="0"/>
    <n v="1"/>
    <n v="25303"/>
    <n v="25303"/>
    <n v="0"/>
    <n v="0"/>
    <n v="25303"/>
    <n v="12777.61"/>
    <n v="12525.39"/>
    <s v="Jan"/>
    <n v="2025"/>
    <n v="1"/>
  </r>
  <r>
    <s v="ORD-01131"/>
    <d v="2025-01-11T00:00:00"/>
    <s v="Sandals"/>
    <s v="Footwear"/>
    <s v="Physical Store"/>
    <s v="Lagos"/>
    <s v="New"/>
    <x v="0"/>
    <n v="3"/>
    <n v="30799"/>
    <n v="92397"/>
    <n v="0"/>
    <n v="0"/>
    <n v="92397"/>
    <n v="60429.59"/>
    <n v="31967.410000000003"/>
    <s v="Jan"/>
    <n v="2025"/>
    <n v="1"/>
  </r>
  <r>
    <s v="ORD-00084"/>
    <d v="2025-01-13T00:00:00"/>
    <s v="Sandals"/>
    <s v="Footwear"/>
    <s v="Instagram"/>
    <s v="Rivers"/>
    <s v="New"/>
    <x v="0"/>
    <n v="2"/>
    <n v="31412"/>
    <n v="62824"/>
    <n v="0"/>
    <n v="0"/>
    <n v="62824"/>
    <n v="37546.160000000003"/>
    <n v="25277.839999999997"/>
    <s v="Jan"/>
    <n v="2025"/>
    <n v="1"/>
  </r>
  <r>
    <s v="ORD-00375"/>
    <d v="2025-01-14T00:00:00"/>
    <s v="Handbag"/>
    <s v="Accessories"/>
    <s v="Physical Store"/>
    <s v="Oyo"/>
    <s v="Returning"/>
    <x v="0"/>
    <n v="1"/>
    <n v="42348"/>
    <n v="42348"/>
    <n v="0"/>
    <n v="0"/>
    <n v="42348"/>
    <n v="26611.29"/>
    <n v="15736.71"/>
    <s v="Jan"/>
    <n v="2025"/>
    <n v="1"/>
  </r>
  <r>
    <s v="ORD-00072"/>
    <d v="2025-01-14T00:00:00"/>
    <s v="Jeans"/>
    <s v="Clothing"/>
    <s v="Website"/>
    <s v="Lagos"/>
    <s v="Returning"/>
    <x v="0"/>
    <n v="3"/>
    <n v="38780"/>
    <n v="116340"/>
    <n v="0"/>
    <n v="0"/>
    <n v="116340"/>
    <n v="78363.37"/>
    <n v="37976.630000000005"/>
    <s v="Jan"/>
    <n v="2025"/>
    <n v="1"/>
  </r>
  <r>
    <s v="ORD-00150"/>
    <d v="2025-01-19T00:00:00"/>
    <s v="Hoodie"/>
    <s v="Clothing"/>
    <s v="WhatsApp"/>
    <s v="Oyo"/>
    <s v="New"/>
    <x v="0"/>
    <n v="3"/>
    <n v="38963"/>
    <n v="116889"/>
    <n v="0"/>
    <n v="0"/>
    <n v="116889"/>
    <n v="75882.5"/>
    <n v="41006.5"/>
    <s v="Jan"/>
    <n v="2025"/>
    <n v="1"/>
  </r>
  <r>
    <s v="ORD-00546"/>
    <d v="2025-01-19T00:00:00"/>
    <s v="Jeans"/>
    <s v="Clothing"/>
    <s v="Physical Store"/>
    <s v="Oyo"/>
    <s v="Returning"/>
    <x v="0"/>
    <n v="1"/>
    <n v="43479"/>
    <n v="43479"/>
    <n v="0"/>
    <n v="0"/>
    <n v="43479"/>
    <n v="24903.119999999999"/>
    <n v="18575.88"/>
    <s v="Jan"/>
    <n v="2025"/>
    <n v="1"/>
  </r>
  <r>
    <s v="ORD-00013"/>
    <d v="2025-01-20T00:00:00"/>
    <s v="Cap"/>
    <s v="Accessories"/>
    <s v="Website"/>
    <s v="Rivers"/>
    <s v="Returning"/>
    <x v="0"/>
    <n v="1"/>
    <n v="11473"/>
    <n v="11473"/>
    <n v="0"/>
    <n v="0"/>
    <n v="11473"/>
    <n v="7002.02"/>
    <n v="4470.9799999999996"/>
    <s v="Jan"/>
    <n v="2025"/>
    <n v="1"/>
  </r>
  <r>
    <s v="ORD-00876"/>
    <d v="2025-01-20T00:00:00"/>
    <s v="Dress"/>
    <s v="Clothing"/>
    <s v="Physical Store"/>
    <s v="Rivers"/>
    <s v="Returning"/>
    <x v="0"/>
    <n v="1"/>
    <n v="48405"/>
    <n v="48405"/>
    <n v="7260.75"/>
    <n v="0.15"/>
    <n v="41144.25"/>
    <n v="26873.86"/>
    <n v="14270.39"/>
    <s v="Jan"/>
    <n v="2025"/>
    <n v="1"/>
  </r>
  <r>
    <s v="ORD-00477"/>
    <d v="2025-01-21T00:00:00"/>
    <s v="Dress"/>
    <s v="Clothing"/>
    <s v="Website"/>
    <s v="Abuja"/>
    <s v="Returning"/>
    <x v="0"/>
    <n v="1"/>
    <n v="53848"/>
    <n v="53848"/>
    <n v="0"/>
    <n v="0"/>
    <n v="53848"/>
    <n v="34644.620000000003"/>
    <n v="19203.379999999997"/>
    <s v="Jan"/>
    <n v="2025"/>
    <n v="1"/>
  </r>
  <r>
    <s v="ORD-00036"/>
    <d v="2025-01-22T00:00:00"/>
    <s v="Sandals"/>
    <s v="Footwear"/>
    <s v="Instagram"/>
    <s v="Oyo"/>
    <s v="Returning"/>
    <x v="0"/>
    <n v="3"/>
    <n v="31144"/>
    <n v="93432"/>
    <n v="14014.8"/>
    <n v="0.15"/>
    <n v="79417.2"/>
    <n v="52399.29"/>
    <n v="27017.909999999996"/>
    <s v="Jan"/>
    <n v="2025"/>
    <n v="1"/>
  </r>
  <r>
    <s v="ORD-00578"/>
    <d v="2025-01-23T00:00:00"/>
    <s v="Jeans"/>
    <s v="Clothing"/>
    <s v="Website"/>
    <s v="Oyo"/>
    <s v="Returning"/>
    <x v="0"/>
    <n v="1"/>
    <n v="40619"/>
    <n v="40619"/>
    <n v="0"/>
    <n v="0"/>
    <n v="40619"/>
    <n v="19707.490000000002"/>
    <n v="20911.509999999998"/>
    <s v="Jan"/>
    <n v="2025"/>
    <n v="1"/>
  </r>
  <r>
    <s v="ORD-01136"/>
    <d v="2025-01-23T00:00:00"/>
    <s v="Belt"/>
    <s v="Accessories"/>
    <s v="WhatsApp"/>
    <s v="Lagos"/>
    <s v="New"/>
    <x v="0"/>
    <n v="2"/>
    <n v="15652"/>
    <n v="31304"/>
    <n v="0"/>
    <n v="0"/>
    <n v="31304"/>
    <n v="18364.18"/>
    <n v="12939.82"/>
    <s v="Jan"/>
    <n v="2025"/>
    <n v="1"/>
  </r>
  <r>
    <s v="ORD-00523"/>
    <d v="2025-01-24T00:00:00"/>
    <s v="Belt"/>
    <s v="Accessories"/>
    <s v="Website"/>
    <s v="Abuja"/>
    <s v="New"/>
    <x v="0"/>
    <n v="1"/>
    <n v="16105"/>
    <n v="16105"/>
    <n v="0"/>
    <n v="0"/>
    <n v="16105"/>
    <n v="9974.65"/>
    <n v="6130.35"/>
    <s v="Jan"/>
    <n v="2025"/>
    <n v="1"/>
  </r>
  <r>
    <s v="ORD-01082"/>
    <d v="2025-01-25T00:00:00"/>
    <s v="Polo Shirt"/>
    <s v="Clothing"/>
    <s v="WhatsApp"/>
    <s v="Lagos"/>
    <s v="Returning"/>
    <x v="0"/>
    <n v="1"/>
    <n v="25542"/>
    <n v="25542"/>
    <n v="0"/>
    <n v="0"/>
    <n v="25542"/>
    <n v="16173.82"/>
    <n v="9368.18"/>
    <s v="Jan"/>
    <n v="2025"/>
    <n v="1"/>
  </r>
  <r>
    <s v="ORD-00799"/>
    <d v="2025-01-25T00:00:00"/>
    <s v="Dress"/>
    <s v="Clothing"/>
    <s v="Website"/>
    <s v="Lagos"/>
    <s v="New"/>
    <x v="0"/>
    <n v="1"/>
    <n v="48971"/>
    <n v="48971"/>
    <n v="0"/>
    <n v="0"/>
    <n v="48971"/>
    <n v="28767.22"/>
    <n v="20203.78"/>
    <s v="Jan"/>
    <n v="2025"/>
    <n v="1"/>
  </r>
  <r>
    <s v="ORD-00081"/>
    <d v="2025-01-26T00:00:00"/>
    <s v="Dress"/>
    <s v="Clothing"/>
    <s v="Physical Store"/>
    <s v="Lagos"/>
    <s v="Returning"/>
    <x v="0"/>
    <n v="3"/>
    <n v="51503"/>
    <n v="154509"/>
    <n v="0"/>
    <n v="0"/>
    <n v="154509"/>
    <n v="90810.99"/>
    <n v="63698.009999999995"/>
    <s v="Jan"/>
    <n v="2025"/>
    <n v="1"/>
  </r>
  <r>
    <s v="ORD-00110"/>
    <d v="2025-01-27T00:00:00"/>
    <s v="Handbag"/>
    <s v="Accessories"/>
    <s v="Physical Store"/>
    <s v="Lagos"/>
    <s v="Returning"/>
    <x v="0"/>
    <n v="2"/>
    <n v="45965"/>
    <n v="91930"/>
    <n v="0"/>
    <n v="0"/>
    <n v="91930"/>
    <n v="56558.6"/>
    <n v="35371.4"/>
    <s v="Jan"/>
    <n v="2025"/>
    <n v="1"/>
  </r>
  <r>
    <s v="ORD-00970"/>
    <d v="2025-01-30T00:00:00"/>
    <s v="T-Shirt"/>
    <s v="Clothing"/>
    <s v="WhatsApp"/>
    <s v="Lagos"/>
    <s v="Returning"/>
    <x v="0"/>
    <n v="4"/>
    <n v="18901"/>
    <n v="75604"/>
    <n v="7560.4"/>
    <n v="0.1"/>
    <n v="68043.600000000006"/>
    <n v="48070.44"/>
    <n v="19973.160000000003"/>
    <s v="Jan"/>
    <n v="2025"/>
    <n v="1"/>
  </r>
  <r>
    <s v="ORD-00839"/>
    <d v="2025-01-30T00:00:00"/>
    <s v="Handbag"/>
    <s v="Accessories"/>
    <s v="Website"/>
    <s v="Lagos"/>
    <s v="New"/>
    <x v="0"/>
    <n v="1"/>
    <n v="41556"/>
    <n v="41556"/>
    <n v="0"/>
    <n v="0"/>
    <n v="41556"/>
    <n v="23202.97"/>
    <n v="18353.03"/>
    <s v="Jan"/>
    <n v="2025"/>
    <n v="1"/>
  </r>
  <r>
    <s v="ORD-00421"/>
    <d v="2025-01-30T00:00:00"/>
    <s v="Handbag"/>
    <s v="Accessories"/>
    <s v="Instagram"/>
    <s v="Oyo"/>
    <s v="Returning"/>
    <x v="0"/>
    <n v="4"/>
    <n v="47535"/>
    <n v="190140"/>
    <n v="0"/>
    <n v="0"/>
    <n v="190140"/>
    <n v="93155.73"/>
    <n v="96984.27"/>
    <s v="Jan"/>
    <n v="2025"/>
    <n v="1"/>
  </r>
  <r>
    <s v="ORD-00432"/>
    <d v="2025-01-30T00:00:00"/>
    <s v="Belt"/>
    <s v="Accessories"/>
    <s v="Website"/>
    <s v="Delta"/>
    <s v="New"/>
    <x v="0"/>
    <n v="5"/>
    <n v="15740"/>
    <n v="78700"/>
    <n v="0"/>
    <n v="0"/>
    <n v="78700"/>
    <n v="37914.15"/>
    <n v="40785.85"/>
    <s v="Jan"/>
    <n v="2025"/>
    <n v="1"/>
  </r>
  <r>
    <s v="ORD-00380"/>
    <d v="2025-01-31T00:00:00"/>
    <s v="Cap"/>
    <s v="Accessories"/>
    <s v="Website"/>
    <s v="Delta"/>
    <s v="Returning"/>
    <x v="0"/>
    <n v="5"/>
    <n v="11465"/>
    <n v="57325"/>
    <n v="0"/>
    <n v="0"/>
    <n v="57325"/>
    <n v="30446.9"/>
    <n v="26878.1"/>
    <s v="Jan"/>
    <n v="2025"/>
    <n v="1"/>
  </r>
  <r>
    <s v="ORD-00417"/>
    <d v="2025-01-31T00:00:00"/>
    <s v="Sandals"/>
    <s v="Footwear"/>
    <s v="Physical Store"/>
    <s v="Lagos"/>
    <s v="New"/>
    <x v="0"/>
    <n v="3"/>
    <n v="29053"/>
    <n v="87159"/>
    <n v="0"/>
    <n v="0"/>
    <n v="87159"/>
    <n v="51675.12"/>
    <n v="35483.879999999997"/>
    <s v="Jan"/>
    <n v="2025"/>
    <n v="1"/>
  </r>
  <r>
    <s v="ORD-00107"/>
    <d v="2025-02-01T00:00:00"/>
    <s v="Sneakers"/>
    <s v="Footwear"/>
    <s v="Physical Store"/>
    <s v="Abuja"/>
    <s v="Returning"/>
    <x v="0"/>
    <n v="1"/>
    <n v="61749"/>
    <n v="61749"/>
    <n v="0"/>
    <n v="0"/>
    <n v="61749"/>
    <n v="39754.79"/>
    <n v="21994.21"/>
    <s v="Feb"/>
    <n v="2025"/>
    <n v="2"/>
  </r>
  <r>
    <s v="ORD-00441"/>
    <d v="2025-02-01T00:00:00"/>
    <s v="Hoodie"/>
    <s v="Clothing"/>
    <s v="Physical Store"/>
    <s v="Rivers"/>
    <s v="Returning"/>
    <x v="0"/>
    <n v="2"/>
    <n v="37496"/>
    <n v="74992"/>
    <n v="3749.6"/>
    <n v="0.05"/>
    <n v="71242.399999999994"/>
    <n v="39055.75"/>
    <n v="32186.649999999994"/>
    <s v="Feb"/>
    <n v="2025"/>
    <n v="2"/>
  </r>
  <r>
    <s v="ORD-00215"/>
    <d v="2025-02-01T00:00:00"/>
    <s v="Belt"/>
    <s v="Accessories"/>
    <s v="Website"/>
    <s v="Lagos"/>
    <s v="Returning"/>
    <x v="1"/>
    <n v="2"/>
    <n v="14684"/>
    <n v="29368"/>
    <n v="2936.8"/>
    <n v="0.1"/>
    <n v="26431.200000000001"/>
    <n v="18011.18"/>
    <n v="8420.02"/>
    <s v="Feb"/>
    <n v="2025"/>
    <n v="2"/>
  </r>
  <r>
    <s v="ORD-01147"/>
    <d v="2025-02-02T00:00:00"/>
    <s v="Belt"/>
    <s v="Accessories"/>
    <s v="Physical Store"/>
    <s v="Oyo"/>
    <s v="Returning"/>
    <x v="0"/>
    <n v="2"/>
    <n v="15651"/>
    <n v="31302"/>
    <n v="0"/>
    <n v="0"/>
    <n v="31302"/>
    <n v="19434.7"/>
    <n v="11867.3"/>
    <s v="Feb"/>
    <n v="2025"/>
    <n v="2"/>
  </r>
  <r>
    <s v="ORD-00285"/>
    <d v="2025-02-03T00:00:00"/>
    <s v="Polo Shirt"/>
    <s v="Clothing"/>
    <s v="Physical Store"/>
    <s v="Lagos"/>
    <s v="Returning"/>
    <x v="1"/>
    <n v="1"/>
    <n v="25271"/>
    <n v="25271"/>
    <n v="1263.55"/>
    <n v="0.05"/>
    <n v="24007.45"/>
    <n v="16872.52"/>
    <n v="7134.93"/>
    <s v="Feb"/>
    <n v="2025"/>
    <n v="2"/>
  </r>
  <r>
    <s v="ORD-00157"/>
    <d v="2025-02-04T00:00:00"/>
    <s v="Cap"/>
    <s v="Accessories"/>
    <s v="Physical Store"/>
    <s v="Lagos"/>
    <s v="New"/>
    <x v="1"/>
    <n v="1"/>
    <n v="12397"/>
    <n v="12397"/>
    <n v="1239.7"/>
    <n v="0.1"/>
    <n v="11157.3"/>
    <n v="8031.62"/>
    <n v="3125.6799999999994"/>
    <s v="Feb"/>
    <n v="2025"/>
    <n v="2"/>
  </r>
  <r>
    <s v="ORD-01079"/>
    <d v="2025-02-04T00:00:00"/>
    <s v="Polo Shirt"/>
    <s v="Clothing"/>
    <s v="Website"/>
    <s v="Lagos"/>
    <s v="New"/>
    <x v="1"/>
    <n v="2"/>
    <n v="24731"/>
    <n v="49462"/>
    <n v="4946.2"/>
    <n v="0.1"/>
    <n v="44515.8"/>
    <n v="29167.58"/>
    <n v="15348.220000000001"/>
    <s v="Feb"/>
    <n v="2025"/>
    <n v="2"/>
  </r>
  <r>
    <s v="ORD-00581"/>
    <d v="2025-02-04T00:00:00"/>
    <s v="Belt"/>
    <s v="Accessories"/>
    <s v="Website"/>
    <s v="Lagos"/>
    <s v="New"/>
    <x v="0"/>
    <n v="4"/>
    <n v="14007"/>
    <n v="56028"/>
    <n v="0"/>
    <n v="0"/>
    <n v="56028"/>
    <n v="31491.14"/>
    <n v="24536.86"/>
    <s v="Feb"/>
    <n v="2025"/>
    <n v="2"/>
  </r>
  <r>
    <s v="ORD-00217"/>
    <d v="2025-02-04T00:00:00"/>
    <s v="Polo Shirt"/>
    <s v="Clothing"/>
    <s v="WhatsApp"/>
    <s v="Lagos"/>
    <s v="New"/>
    <x v="1"/>
    <n v="1"/>
    <n v="23224"/>
    <n v="23224"/>
    <n v="2322.4"/>
    <n v="0.1"/>
    <n v="20901.599999999999"/>
    <n v="15453.76"/>
    <n v="5447.8399999999983"/>
    <s v="Feb"/>
    <n v="2025"/>
    <n v="2"/>
  </r>
  <r>
    <s v="ORD-00054"/>
    <d v="2025-02-05T00:00:00"/>
    <s v="Belt"/>
    <s v="Accessories"/>
    <s v="Physical Store"/>
    <s v="Delta"/>
    <s v="New"/>
    <x v="1"/>
    <n v="1"/>
    <n v="16024"/>
    <n v="16024"/>
    <n v="3204.8"/>
    <n v="0.2"/>
    <n v="12819.2"/>
    <n v="10390.07"/>
    <n v="2429.130000000001"/>
    <s v="Feb"/>
    <n v="2025"/>
    <n v="2"/>
  </r>
  <r>
    <s v="ORD-00781"/>
    <d v="2025-02-05T00:00:00"/>
    <s v="Cap"/>
    <s v="Accessories"/>
    <s v="Instagram"/>
    <s v="Lagos"/>
    <s v="New"/>
    <x v="1"/>
    <n v="3"/>
    <n v="12833"/>
    <n v="38499"/>
    <n v="1924.95"/>
    <n v="0.05"/>
    <n v="36574.050000000003"/>
    <n v="24633.49"/>
    <n v="11940.560000000001"/>
    <s v="Feb"/>
    <n v="2025"/>
    <n v="2"/>
  </r>
  <r>
    <s v="ORD-01095"/>
    <d v="2025-02-05T00:00:00"/>
    <s v="Jeans"/>
    <s v="Clothing"/>
    <s v="Physical Store"/>
    <s v="Abuja"/>
    <s v="Returning"/>
    <x v="1"/>
    <n v="3"/>
    <n v="44193"/>
    <n v="132579"/>
    <n v="13257.9"/>
    <n v="0.1"/>
    <n v="119321.1"/>
    <n v="70997.289999999994"/>
    <n v="48323.810000000012"/>
    <s v="Feb"/>
    <n v="2025"/>
    <n v="2"/>
  </r>
  <r>
    <s v="ORD-00172"/>
    <d v="2025-02-06T00:00:00"/>
    <s v="Sandals"/>
    <s v="Footwear"/>
    <s v="Instagram"/>
    <s v="Lagos"/>
    <s v="New"/>
    <x v="1"/>
    <n v="2"/>
    <n v="30375"/>
    <n v="60750"/>
    <n v="9112.5"/>
    <n v="0.15"/>
    <n v="51637.5"/>
    <n v="39015.15"/>
    <n v="12622.349999999999"/>
    <s v="Feb"/>
    <n v="2025"/>
    <n v="2"/>
  </r>
  <r>
    <s v="ORD-00198"/>
    <d v="2025-02-07T00:00:00"/>
    <s v="Dress"/>
    <s v="Clothing"/>
    <s v="Physical Store"/>
    <s v="Oyo"/>
    <s v="New"/>
    <x v="1"/>
    <n v="2"/>
    <n v="50274"/>
    <n v="100548"/>
    <n v="15082.2"/>
    <n v="0.15"/>
    <n v="85465.8"/>
    <n v="56902.04"/>
    <n v="28563.760000000002"/>
    <s v="Feb"/>
    <n v="2025"/>
    <n v="2"/>
  </r>
  <r>
    <s v="ORD-00547"/>
    <d v="2025-02-08T00:00:00"/>
    <s v="Handbag"/>
    <s v="Accessories"/>
    <s v="Instagram"/>
    <s v="Lagos"/>
    <s v="New"/>
    <x v="1"/>
    <n v="1"/>
    <n v="46246"/>
    <n v="46246"/>
    <n v="9249.2000000000007"/>
    <n v="0.2"/>
    <n v="36996.800000000003"/>
    <n v="30363.49"/>
    <n v="6633.3100000000013"/>
    <s v="Feb"/>
    <n v="2025"/>
    <n v="2"/>
  </r>
  <r>
    <s v="ORD-01037"/>
    <d v="2025-02-09T00:00:00"/>
    <s v="Jeans"/>
    <s v="Clothing"/>
    <s v="Instagram"/>
    <s v="Rivers"/>
    <s v="New"/>
    <x v="1"/>
    <n v="1"/>
    <n v="40739"/>
    <n v="40739"/>
    <n v="2036.95"/>
    <n v="0.05"/>
    <n v="38702.050000000003"/>
    <n v="24351.81"/>
    <n v="14350.240000000002"/>
    <s v="Feb"/>
    <n v="2025"/>
    <n v="2"/>
  </r>
  <r>
    <s v="ORD-00096"/>
    <d v="2025-02-10T00:00:00"/>
    <s v="Belt"/>
    <s v="Accessories"/>
    <s v="Instagram"/>
    <s v="Lagos"/>
    <s v="Returning"/>
    <x v="0"/>
    <n v="1"/>
    <n v="14340"/>
    <n v="14340"/>
    <n v="717"/>
    <n v="0.05"/>
    <n v="13623"/>
    <n v="9322.77"/>
    <n v="4300.2299999999996"/>
    <s v="Feb"/>
    <n v="2025"/>
    <n v="2"/>
  </r>
  <r>
    <s v="ORD-00276"/>
    <d v="2025-02-11T00:00:00"/>
    <s v="Hoodie"/>
    <s v="Clothing"/>
    <s v="Instagram"/>
    <s v="Delta"/>
    <s v="New"/>
    <x v="1"/>
    <n v="2"/>
    <n v="37069"/>
    <n v="74138"/>
    <n v="7413.8"/>
    <n v="0.1"/>
    <n v="66724.2"/>
    <n v="47366.48"/>
    <n v="19357.719999999994"/>
    <s v="Feb"/>
    <n v="2025"/>
    <n v="2"/>
  </r>
  <r>
    <s v="ORD-00396"/>
    <d v="2025-02-16T00:00:00"/>
    <s v="Sandals"/>
    <s v="Footwear"/>
    <s v="Physical Store"/>
    <s v="Abuja"/>
    <s v="Returning"/>
    <x v="1"/>
    <n v="2"/>
    <n v="28658"/>
    <n v="57316"/>
    <n v="8597.4"/>
    <n v="0.15"/>
    <n v="48718.6"/>
    <n v="38411.1"/>
    <n v="10307.5"/>
    <s v="Feb"/>
    <n v="2025"/>
    <n v="2"/>
  </r>
  <r>
    <s v="ORD-01118"/>
    <d v="2025-02-17T00:00:00"/>
    <s v="Sneakers"/>
    <s v="Footwear"/>
    <s v="WhatsApp"/>
    <s v="Abuja"/>
    <s v="New"/>
    <x v="0"/>
    <n v="4"/>
    <n v="60253"/>
    <n v="241012"/>
    <n v="0"/>
    <n v="0"/>
    <n v="241012"/>
    <n v="149225.1"/>
    <n v="91786.9"/>
    <s v="Feb"/>
    <n v="2025"/>
    <n v="2"/>
  </r>
  <r>
    <s v="ORD-00878"/>
    <d v="2025-02-21T00:00:00"/>
    <s v="Sandals"/>
    <s v="Footwear"/>
    <s v="Instagram"/>
    <s v="Oyo"/>
    <s v="New"/>
    <x v="1"/>
    <n v="2"/>
    <n v="28465"/>
    <n v="56930"/>
    <n v="5693"/>
    <n v="0.1"/>
    <n v="51237"/>
    <n v="27451.97"/>
    <n v="23785.03"/>
    <s v="Feb"/>
    <n v="2025"/>
    <n v="2"/>
  </r>
  <r>
    <s v="ORD-00392"/>
    <d v="2025-02-21T00:00:00"/>
    <s v="Polo Shirt"/>
    <s v="Clothing"/>
    <s v="Instagram"/>
    <s v="Lagos"/>
    <s v="New"/>
    <x v="1"/>
    <n v="3"/>
    <n v="25539"/>
    <n v="76617"/>
    <n v="3830.85"/>
    <n v="0.05"/>
    <n v="72786.149999999994"/>
    <n v="37857.01"/>
    <n v="34929.139999999992"/>
    <s v="Feb"/>
    <n v="2025"/>
    <n v="2"/>
  </r>
  <r>
    <s v="ORD-01173"/>
    <d v="2025-02-22T00:00:00"/>
    <s v="Jeans"/>
    <s v="Clothing"/>
    <s v="Instagram"/>
    <s v="Abuja"/>
    <s v="Returning"/>
    <x v="1"/>
    <n v="3"/>
    <n v="42697"/>
    <n v="128091"/>
    <n v="12809.1"/>
    <n v="0.1"/>
    <n v="115281.9"/>
    <n v="82569.91"/>
    <n v="32711.989999999991"/>
    <s v="Feb"/>
    <n v="2025"/>
    <n v="2"/>
  </r>
  <r>
    <s v="ORD-00082"/>
    <d v="2025-02-22T00:00:00"/>
    <s v="Hoodie"/>
    <s v="Clothing"/>
    <s v="Website"/>
    <s v="Oyo"/>
    <s v="New"/>
    <x v="0"/>
    <n v="1"/>
    <n v="37197"/>
    <n v="37197"/>
    <n v="0"/>
    <n v="0"/>
    <n v="37197"/>
    <n v="18962.2"/>
    <n v="18234.8"/>
    <s v="Feb"/>
    <n v="2025"/>
    <n v="2"/>
  </r>
  <r>
    <s v="ORD-00859"/>
    <d v="2025-02-23T00:00:00"/>
    <s v="Jeans"/>
    <s v="Clothing"/>
    <s v="Website"/>
    <s v="Lagos"/>
    <s v="New"/>
    <x v="0"/>
    <n v="3"/>
    <n v="39265"/>
    <n v="117795"/>
    <n v="0"/>
    <n v="0"/>
    <n v="117795"/>
    <n v="69077.77"/>
    <n v="48717.229999999996"/>
    <s v="Feb"/>
    <n v="2025"/>
    <n v="2"/>
  </r>
  <r>
    <s v="ORD-00804"/>
    <d v="2025-02-23T00:00:00"/>
    <s v="Handbag"/>
    <s v="Accessories"/>
    <s v="Physical Store"/>
    <s v="Abuja"/>
    <s v="New"/>
    <x v="0"/>
    <n v="3"/>
    <n v="43108"/>
    <n v="129324"/>
    <n v="0"/>
    <n v="0"/>
    <n v="129324"/>
    <n v="75122.27"/>
    <n v="54201.729999999996"/>
    <s v="Feb"/>
    <n v="2025"/>
    <n v="2"/>
  </r>
  <r>
    <s v="ORD-00785"/>
    <d v="2025-02-25T00:00:00"/>
    <s v="Sneakers"/>
    <s v="Footwear"/>
    <s v="Website"/>
    <s v="Abuja"/>
    <s v="Returning"/>
    <x v="0"/>
    <n v="1"/>
    <n v="67055"/>
    <n v="67055"/>
    <n v="0"/>
    <n v="0"/>
    <n v="67055"/>
    <n v="37439.160000000003"/>
    <n v="29615.839999999997"/>
    <s v="Feb"/>
    <n v="2025"/>
    <n v="2"/>
  </r>
  <r>
    <s v="ORD-00700"/>
    <d v="2025-02-28T00:00:00"/>
    <s v="Sneakers"/>
    <s v="Footwear"/>
    <s v="Website"/>
    <s v="Rivers"/>
    <s v="New"/>
    <x v="1"/>
    <n v="1"/>
    <n v="61645"/>
    <n v="61645"/>
    <n v="6164.5"/>
    <n v="0.1"/>
    <n v="55480.5"/>
    <n v="36580.550000000003"/>
    <n v="18899.949999999997"/>
    <s v="Feb"/>
    <n v="2025"/>
    <n v="2"/>
  </r>
  <r>
    <s v="ORD-00913"/>
    <d v="2025-03-04T00:00:00"/>
    <s v="Dress"/>
    <s v="Clothing"/>
    <s v="Instagram"/>
    <s v="Abuja"/>
    <s v="New"/>
    <x v="2"/>
    <n v="2"/>
    <n v="52736"/>
    <n v="105472"/>
    <n v="10547.2"/>
    <n v="0.1"/>
    <n v="94924.800000000003"/>
    <n v="68318.53"/>
    <n v="26606.270000000004"/>
    <s v="Mar"/>
    <n v="2025"/>
    <n v="3"/>
  </r>
  <r>
    <s v="ORD-00354"/>
    <d v="2025-03-07T00:00:00"/>
    <s v="Dress"/>
    <s v="Clothing"/>
    <s v="WhatsApp"/>
    <s v="Oyo"/>
    <s v="New"/>
    <x v="2"/>
    <n v="2"/>
    <n v="47447"/>
    <n v="94894"/>
    <n v="18978.8"/>
    <n v="0.2"/>
    <n v="75915.199999999997"/>
    <n v="51891.7"/>
    <n v="24023.5"/>
    <s v="Mar"/>
    <n v="2025"/>
    <n v="3"/>
  </r>
  <r>
    <s v="ORD-01143"/>
    <d v="2025-03-07T00:00:00"/>
    <s v="Sneakers"/>
    <s v="Footwear"/>
    <s v="Instagram"/>
    <s v="Abuja"/>
    <s v="New"/>
    <x v="0"/>
    <n v="1"/>
    <n v="64798"/>
    <n v="64798"/>
    <n v="0"/>
    <n v="0"/>
    <n v="64798"/>
    <n v="41702.39"/>
    <n v="23095.61"/>
    <s v="Mar"/>
    <n v="2025"/>
    <n v="3"/>
  </r>
  <r>
    <s v="ORD-00588"/>
    <d v="2025-03-10T00:00:00"/>
    <s v="Cap"/>
    <s v="Accessories"/>
    <s v="WhatsApp"/>
    <s v="Lagos"/>
    <s v="Returning"/>
    <x v="2"/>
    <n v="1"/>
    <n v="11842"/>
    <n v="11842"/>
    <n v="1184.2"/>
    <n v="0.1"/>
    <n v="10657.8"/>
    <n v="6443.39"/>
    <n v="4214.4099999999989"/>
    <s v="Mar"/>
    <n v="2025"/>
    <n v="3"/>
  </r>
  <r>
    <s v="ORD-00596"/>
    <d v="2025-03-10T00:00:00"/>
    <s v="Sneakers"/>
    <s v="Footwear"/>
    <s v="Website"/>
    <s v="Rivers"/>
    <s v="Returning"/>
    <x v="2"/>
    <n v="2"/>
    <n v="64730"/>
    <n v="129460"/>
    <n v="19419"/>
    <n v="0.15"/>
    <n v="110041"/>
    <n v="62425.96"/>
    <n v="47615.040000000001"/>
    <s v="Mar"/>
    <n v="2025"/>
    <n v="3"/>
  </r>
  <r>
    <s v="ORD-00907"/>
    <d v="2025-03-10T00:00:00"/>
    <s v="Sandals"/>
    <s v="Footwear"/>
    <s v="Physical Store"/>
    <s v="Abuja"/>
    <s v="New"/>
    <x v="2"/>
    <n v="2"/>
    <n v="27930"/>
    <n v="55860"/>
    <n v="11172"/>
    <n v="0.2"/>
    <n v="44688"/>
    <n v="30487.49"/>
    <n v="14200.509999999998"/>
    <s v="Mar"/>
    <n v="2025"/>
    <n v="3"/>
  </r>
  <r>
    <s v="ORD-00229"/>
    <d v="2025-03-13T00:00:00"/>
    <s v="Cap"/>
    <s v="Accessories"/>
    <s v="Physical Store"/>
    <s v="Rivers"/>
    <s v="Returning"/>
    <x v="0"/>
    <n v="4"/>
    <n v="11284"/>
    <n v="45136"/>
    <n v="0"/>
    <n v="0"/>
    <n v="45136"/>
    <n v="26463.94"/>
    <n v="18672.060000000001"/>
    <s v="Mar"/>
    <n v="2025"/>
    <n v="3"/>
  </r>
  <r>
    <s v="ORD-00572"/>
    <d v="2025-03-13T00:00:00"/>
    <s v="Dress"/>
    <s v="Clothing"/>
    <s v="Physical Store"/>
    <s v="Lagos"/>
    <s v="New"/>
    <x v="2"/>
    <n v="4"/>
    <n v="47161"/>
    <n v="188644"/>
    <n v="18864.400000000001"/>
    <n v="0.1"/>
    <n v="169779.6"/>
    <n v="126880.37"/>
    <n v="42899.23000000001"/>
    <s v="Mar"/>
    <n v="2025"/>
    <n v="3"/>
  </r>
  <r>
    <s v="ORD-00992"/>
    <d v="2025-03-17T00:00:00"/>
    <s v="Polo Shirt"/>
    <s v="Clothing"/>
    <s v="Instagram"/>
    <s v="Rivers"/>
    <s v="Returning"/>
    <x v="0"/>
    <n v="1"/>
    <n v="26641"/>
    <n v="26641"/>
    <n v="0"/>
    <n v="0"/>
    <n v="26641"/>
    <n v="15445.02"/>
    <n v="11195.98"/>
    <s v="Mar"/>
    <n v="2025"/>
    <n v="3"/>
  </r>
  <r>
    <s v="ORD-00141"/>
    <d v="2025-03-17T00:00:00"/>
    <s v="Jeans"/>
    <s v="Clothing"/>
    <s v="Website"/>
    <s v="Rivers"/>
    <s v="Returning"/>
    <x v="2"/>
    <n v="3"/>
    <n v="43897"/>
    <n v="131691"/>
    <n v="13169.1"/>
    <n v="0.1"/>
    <n v="118521.9"/>
    <n v="71126.03"/>
    <n v="47395.869999999995"/>
    <s v="Mar"/>
    <n v="2025"/>
    <n v="3"/>
  </r>
  <r>
    <s v="ORD-00362"/>
    <d v="2025-03-17T00:00:00"/>
    <s v="Hoodie"/>
    <s v="Clothing"/>
    <s v="Instagram"/>
    <s v="Abuja"/>
    <s v="Returning"/>
    <x v="2"/>
    <n v="1"/>
    <n v="38468"/>
    <n v="38468"/>
    <n v="5770.2"/>
    <n v="0.15"/>
    <n v="32697.8"/>
    <n v="23057.3"/>
    <n v="9640.5"/>
    <s v="Mar"/>
    <n v="2025"/>
    <n v="3"/>
  </r>
  <r>
    <s v="ORD-00937"/>
    <d v="2025-03-18T00:00:00"/>
    <s v="Dress"/>
    <s v="Clothing"/>
    <s v="Physical Store"/>
    <s v="Lagos"/>
    <s v="Returning"/>
    <x v="2"/>
    <n v="1"/>
    <n v="52412"/>
    <n v="52412"/>
    <n v="7861.8"/>
    <n v="0.15"/>
    <n v="44550.2"/>
    <n v="35406.129999999997"/>
    <n v="9144.07"/>
    <s v="Mar"/>
    <n v="2025"/>
    <n v="3"/>
  </r>
  <r>
    <s v="ORD-00302"/>
    <d v="2025-03-19T00:00:00"/>
    <s v="Sneakers"/>
    <s v="Footwear"/>
    <s v="WhatsApp"/>
    <s v="Delta"/>
    <s v="New"/>
    <x v="2"/>
    <n v="4"/>
    <n v="64164"/>
    <n v="256656"/>
    <n v="51331.199999999997"/>
    <n v="0.2"/>
    <n v="205324.79999999999"/>
    <n v="125216.91"/>
    <n v="80107.889999999985"/>
    <s v="Mar"/>
    <n v="2025"/>
    <n v="3"/>
  </r>
  <r>
    <s v="ORD-00422"/>
    <d v="2025-03-20T00:00:00"/>
    <s v="Jeans"/>
    <s v="Clothing"/>
    <s v="Physical Store"/>
    <s v="Abuja"/>
    <s v="New"/>
    <x v="0"/>
    <n v="2"/>
    <n v="40230"/>
    <n v="80460"/>
    <n v="0"/>
    <n v="0"/>
    <n v="80460"/>
    <n v="45526.67"/>
    <n v="34933.33"/>
    <s v="Mar"/>
    <n v="2025"/>
    <n v="3"/>
  </r>
  <r>
    <s v="ORD-00462"/>
    <d v="2025-03-20T00:00:00"/>
    <s v="T-Shirt"/>
    <s v="Clothing"/>
    <s v="Physical Store"/>
    <s v="Abuja"/>
    <s v="New"/>
    <x v="2"/>
    <n v="1"/>
    <n v="17744"/>
    <n v="17744"/>
    <n v="1774.4"/>
    <n v="0.1"/>
    <n v="15969.6"/>
    <n v="9288.82"/>
    <n v="6680.7800000000007"/>
    <s v="Mar"/>
    <n v="2025"/>
    <n v="3"/>
  </r>
  <r>
    <s v="ORD-00597"/>
    <d v="2025-03-22T00:00:00"/>
    <s v="Dress"/>
    <s v="Clothing"/>
    <s v="Instagram"/>
    <s v="Lagos"/>
    <s v="New"/>
    <x v="0"/>
    <n v="1"/>
    <n v="53507"/>
    <n v="53507"/>
    <n v="0"/>
    <n v="0"/>
    <n v="53507"/>
    <n v="26895.22"/>
    <n v="26611.78"/>
    <s v="Mar"/>
    <n v="2025"/>
    <n v="3"/>
  </r>
  <r>
    <s v="ORD-00563"/>
    <d v="2025-03-24T00:00:00"/>
    <s v="Sandals"/>
    <s v="Footwear"/>
    <s v="Instagram"/>
    <s v="Lagos"/>
    <s v="Returning"/>
    <x v="2"/>
    <n v="1"/>
    <n v="28202"/>
    <n v="28202"/>
    <n v="1410.1"/>
    <n v="0.05"/>
    <n v="26791.9"/>
    <n v="18533.919999999998"/>
    <n v="8257.9800000000032"/>
    <s v="Mar"/>
    <n v="2025"/>
    <n v="3"/>
  </r>
  <r>
    <s v="ORD-00527"/>
    <d v="2025-03-25T00:00:00"/>
    <s v="Jeans"/>
    <s v="Clothing"/>
    <s v="Website"/>
    <s v="Oyo"/>
    <s v="New"/>
    <x v="2"/>
    <n v="1"/>
    <n v="45019"/>
    <n v="45019"/>
    <n v="4501.8999999999996"/>
    <n v="0.1"/>
    <n v="40517.1"/>
    <n v="23129.5"/>
    <n v="17387.599999999999"/>
    <s v="Mar"/>
    <n v="2025"/>
    <n v="3"/>
  </r>
  <r>
    <s v="ORD-00947"/>
    <d v="2025-03-27T00:00:00"/>
    <s v="Belt"/>
    <s v="Accessories"/>
    <s v="Instagram"/>
    <s v="Lagos"/>
    <s v="New"/>
    <x v="2"/>
    <n v="2"/>
    <n v="15923"/>
    <n v="31846"/>
    <n v="4776.8999999999996"/>
    <n v="0.15"/>
    <n v="27069.1"/>
    <n v="18252.66"/>
    <n v="8816.4399999999987"/>
    <s v="Mar"/>
    <n v="2025"/>
    <n v="3"/>
  </r>
  <r>
    <s v="ORD-00192"/>
    <d v="2025-03-28T00:00:00"/>
    <s v="Cap"/>
    <s v="Accessories"/>
    <s v="Website"/>
    <s v="Lagos"/>
    <s v="New"/>
    <x v="2"/>
    <n v="5"/>
    <n v="11463"/>
    <n v="57315"/>
    <n v="5731.5"/>
    <n v="0.1"/>
    <n v="51583.5"/>
    <n v="33729.550000000003"/>
    <n v="17853.949999999997"/>
    <s v="Mar"/>
    <n v="2025"/>
    <n v="3"/>
  </r>
  <r>
    <s v="ORD-00236"/>
    <d v="2025-03-28T00:00:00"/>
    <s v="Sandals"/>
    <s v="Footwear"/>
    <s v="Physical Store"/>
    <s v="Delta"/>
    <s v="Returning"/>
    <x v="0"/>
    <n v="2"/>
    <n v="30378"/>
    <n v="60756"/>
    <n v="0"/>
    <n v="0"/>
    <n v="60756"/>
    <n v="31064.26"/>
    <n v="29691.74"/>
    <s v="Mar"/>
    <n v="2025"/>
    <n v="3"/>
  </r>
  <r>
    <s v="ORD-00350"/>
    <d v="2025-03-28T00:00:00"/>
    <s v="Cap"/>
    <s v="Accessories"/>
    <s v="Website"/>
    <s v="Lagos"/>
    <s v="Returning"/>
    <x v="0"/>
    <n v="1"/>
    <n v="11214"/>
    <n v="11214"/>
    <n v="0"/>
    <n v="0"/>
    <n v="11214"/>
    <n v="6890.76"/>
    <n v="4323.24"/>
    <s v="Mar"/>
    <n v="2025"/>
    <n v="3"/>
  </r>
  <r>
    <s v="ORD-01198"/>
    <d v="2025-03-29T00:00:00"/>
    <s v="Jeans"/>
    <s v="Clothing"/>
    <s v="WhatsApp"/>
    <s v="Lagos"/>
    <s v="Returning"/>
    <x v="2"/>
    <n v="1"/>
    <n v="42491"/>
    <n v="42491"/>
    <n v="2124.5500000000002"/>
    <n v="0.05"/>
    <n v="40366.449999999997"/>
    <n v="23511.69"/>
    <n v="16854.759999999998"/>
    <s v="Mar"/>
    <n v="2025"/>
    <n v="3"/>
  </r>
  <r>
    <s v="ORD-00425"/>
    <d v="2025-03-30T00:00:00"/>
    <s v="Polo Shirt"/>
    <s v="Clothing"/>
    <s v="Physical Store"/>
    <s v="Oyo"/>
    <s v="New"/>
    <x v="0"/>
    <n v="1"/>
    <n v="26539"/>
    <n v="26539"/>
    <n v="0"/>
    <n v="0"/>
    <n v="26539"/>
    <n v="14884.35"/>
    <n v="11654.65"/>
    <s v="Mar"/>
    <n v="2025"/>
    <n v="3"/>
  </r>
  <r>
    <s v="ORD-01014"/>
    <d v="2025-03-30T00:00:00"/>
    <s v="Belt"/>
    <s v="Accessories"/>
    <s v="Physical Store"/>
    <s v="Oyo"/>
    <s v="Returning"/>
    <x v="2"/>
    <n v="1"/>
    <n v="16090"/>
    <n v="16090"/>
    <n v="1609"/>
    <n v="0.1"/>
    <n v="14481"/>
    <n v="10077.64"/>
    <n v="4403.3600000000006"/>
    <s v="Mar"/>
    <n v="2025"/>
    <n v="3"/>
  </r>
  <r>
    <s v="ORD-00061"/>
    <d v="2025-03-31T00:00:00"/>
    <s v="Hoodie"/>
    <s v="Clothing"/>
    <s v="Instagram"/>
    <s v="Lagos"/>
    <s v="Returning"/>
    <x v="2"/>
    <n v="2"/>
    <n v="35884"/>
    <n v="71768"/>
    <n v="10765.2"/>
    <n v="0.15"/>
    <n v="61002.8"/>
    <n v="45655.38"/>
    <n v="15347.420000000006"/>
    <s v="Mar"/>
    <n v="2025"/>
    <n v="3"/>
  </r>
  <r>
    <s v="ORD-00473"/>
    <d v="2025-03-31T00:00:00"/>
    <s v="Sandals"/>
    <s v="Footwear"/>
    <s v="Instagram"/>
    <s v="Oyo"/>
    <s v="Returning"/>
    <x v="0"/>
    <n v="2"/>
    <n v="32075"/>
    <n v="64150"/>
    <n v="0"/>
    <n v="0"/>
    <n v="64150"/>
    <n v="32980.81"/>
    <n v="31169.190000000002"/>
    <s v="Mar"/>
    <n v="2025"/>
    <n v="3"/>
  </r>
  <r>
    <s v="ORD-00401"/>
    <d v="2025-04-01T00:00:00"/>
    <s v="Cap"/>
    <s v="Accessories"/>
    <s v="Physical Store"/>
    <s v="Oyo"/>
    <s v="Returning"/>
    <x v="2"/>
    <n v="2"/>
    <n v="11766"/>
    <n v="23532"/>
    <n v="2353.1999999999998"/>
    <n v="0.1"/>
    <n v="21178.799999999999"/>
    <n v="13239.61"/>
    <n v="7939.1899999999987"/>
    <s v="Apr"/>
    <n v="2025"/>
    <n v="4"/>
  </r>
  <r>
    <s v="ORD-00558"/>
    <d v="2025-04-01T00:00:00"/>
    <s v="Cap"/>
    <s v="Accessories"/>
    <s v="WhatsApp"/>
    <s v="Lagos"/>
    <s v="New"/>
    <x v="0"/>
    <n v="4"/>
    <n v="12248"/>
    <n v="48992"/>
    <n v="0"/>
    <n v="0"/>
    <n v="48992"/>
    <n v="31362.75"/>
    <n v="17629.25"/>
    <s v="Apr"/>
    <n v="2025"/>
    <n v="4"/>
  </r>
  <r>
    <s v="ORD-00016"/>
    <d v="2025-04-04T00:00:00"/>
    <s v="Sandals"/>
    <s v="Footwear"/>
    <s v="Physical Store"/>
    <s v="Rivers"/>
    <s v="New"/>
    <x v="2"/>
    <n v="1"/>
    <n v="28021"/>
    <n v="28021"/>
    <n v="2802.1"/>
    <n v="0.1"/>
    <n v="25218.9"/>
    <n v="13636.16"/>
    <n v="11582.740000000002"/>
    <s v="Apr"/>
    <n v="2025"/>
    <n v="4"/>
  </r>
  <r>
    <s v="ORD-00221"/>
    <d v="2025-04-04T00:00:00"/>
    <s v="Dress"/>
    <s v="Clothing"/>
    <s v="Website"/>
    <s v="Lagos"/>
    <s v="New"/>
    <x v="0"/>
    <n v="1"/>
    <n v="48791"/>
    <n v="48791"/>
    <n v="0"/>
    <n v="0"/>
    <n v="48791"/>
    <n v="31172.43"/>
    <n v="17618.57"/>
    <s v="Apr"/>
    <n v="2025"/>
    <n v="4"/>
  </r>
  <r>
    <s v="ORD-00518"/>
    <d v="2025-04-05T00:00:00"/>
    <s v="T-Shirt"/>
    <s v="Clothing"/>
    <s v="Instagram"/>
    <s v="Delta"/>
    <s v="New"/>
    <x v="2"/>
    <n v="5"/>
    <n v="18007"/>
    <n v="90035"/>
    <n v="9003.5"/>
    <n v="0.1"/>
    <n v="81031.5"/>
    <n v="55846.25"/>
    <n v="25185.25"/>
    <s v="Apr"/>
    <n v="2025"/>
    <n v="4"/>
  </r>
  <r>
    <s v="ORD-00168"/>
    <d v="2025-04-08T00:00:00"/>
    <s v="Sneakers"/>
    <s v="Footwear"/>
    <s v="Website"/>
    <s v="Abuja"/>
    <s v="New"/>
    <x v="2"/>
    <n v="2"/>
    <n v="63354"/>
    <n v="126708"/>
    <n v="12670.8"/>
    <n v="0.1"/>
    <n v="114037.2"/>
    <n v="66477.69"/>
    <n v="47559.509999999995"/>
    <s v="Apr"/>
    <n v="2025"/>
    <n v="4"/>
  </r>
  <r>
    <s v="ORD-01073"/>
    <d v="2025-04-10T00:00:00"/>
    <s v="Jeans"/>
    <s v="Clothing"/>
    <s v="Website"/>
    <s v="Abuja"/>
    <s v="New"/>
    <x v="0"/>
    <n v="2"/>
    <n v="44514"/>
    <n v="89028"/>
    <n v="8902.7999999999993"/>
    <n v="0.1"/>
    <n v="80125.2"/>
    <n v="50316.29"/>
    <n v="29808.909999999996"/>
    <s v="Apr"/>
    <n v="2025"/>
    <n v="4"/>
  </r>
  <r>
    <s v="ORD-00005"/>
    <d v="2025-04-11T00:00:00"/>
    <s v="Polo Shirt"/>
    <s v="Clothing"/>
    <s v="Physical Store"/>
    <s v="Abuja"/>
    <s v="Returning"/>
    <x v="2"/>
    <n v="3"/>
    <n v="26851"/>
    <n v="80553"/>
    <n v="8055.3"/>
    <n v="0.1"/>
    <n v="72497.7"/>
    <n v="48857.36"/>
    <n v="23640.339999999997"/>
    <s v="Apr"/>
    <n v="2025"/>
    <n v="4"/>
  </r>
  <r>
    <s v="ORD-00721"/>
    <d v="2025-04-12T00:00:00"/>
    <s v="T-Shirt"/>
    <s v="Clothing"/>
    <s v="Physical Store"/>
    <s v="Rivers"/>
    <s v="Returning"/>
    <x v="2"/>
    <n v="2"/>
    <n v="16871"/>
    <n v="33742"/>
    <n v="5061.3"/>
    <n v="0.15"/>
    <n v="28680.7"/>
    <n v="22755.27"/>
    <n v="5925.43"/>
    <s v="Apr"/>
    <n v="2025"/>
    <n v="4"/>
  </r>
  <r>
    <s v="ORD-00950"/>
    <d v="2025-04-13T00:00:00"/>
    <s v="Sandals"/>
    <s v="Footwear"/>
    <s v="Instagram"/>
    <s v="Delta"/>
    <s v="New"/>
    <x v="2"/>
    <n v="2"/>
    <n v="32296"/>
    <n v="64592"/>
    <n v="3229.6"/>
    <n v="0.05"/>
    <n v="61362.400000000001"/>
    <n v="38199.089999999997"/>
    <n v="23163.310000000005"/>
    <s v="Apr"/>
    <n v="2025"/>
    <n v="4"/>
  </r>
  <r>
    <s v="ORD-00223"/>
    <d v="2025-04-14T00:00:00"/>
    <s v="Hoodie"/>
    <s v="Clothing"/>
    <s v="Website"/>
    <s v="Lagos"/>
    <s v="New"/>
    <x v="2"/>
    <n v="3"/>
    <n v="38090"/>
    <n v="114270"/>
    <n v="17140.5"/>
    <n v="0.15"/>
    <n v="97129.5"/>
    <n v="56759.15"/>
    <n v="40370.35"/>
    <s v="Apr"/>
    <n v="2025"/>
    <n v="4"/>
  </r>
  <r>
    <s v="ORD-00288"/>
    <d v="2025-04-15T00:00:00"/>
    <s v="Sandals"/>
    <s v="Footwear"/>
    <s v="WhatsApp"/>
    <s v="Oyo"/>
    <s v="New"/>
    <x v="2"/>
    <n v="2"/>
    <n v="31606"/>
    <n v="63212"/>
    <n v="3160.6"/>
    <n v="0.05"/>
    <n v="60051.4"/>
    <n v="41882.910000000003"/>
    <n v="18168.489999999998"/>
    <s v="Apr"/>
    <n v="2025"/>
    <n v="4"/>
  </r>
  <r>
    <s v="ORD-00969"/>
    <d v="2025-04-15T00:00:00"/>
    <s v="Dress"/>
    <s v="Clothing"/>
    <s v="WhatsApp"/>
    <s v="Rivers"/>
    <s v="New"/>
    <x v="0"/>
    <n v="1"/>
    <n v="48168"/>
    <n v="48168"/>
    <n v="0"/>
    <n v="0"/>
    <n v="48168"/>
    <n v="28076.93"/>
    <n v="20091.07"/>
    <s v="Apr"/>
    <n v="2025"/>
    <n v="4"/>
  </r>
  <r>
    <s v="ORD-00496"/>
    <d v="2025-04-15T00:00:00"/>
    <s v="Cap"/>
    <s v="Accessories"/>
    <s v="Website"/>
    <s v="Lagos"/>
    <s v="New"/>
    <x v="2"/>
    <n v="3"/>
    <n v="11615"/>
    <n v="34845"/>
    <n v="5226.75"/>
    <n v="0.15"/>
    <n v="29618.25"/>
    <n v="17391.55"/>
    <n v="12226.7"/>
    <s v="Apr"/>
    <n v="2025"/>
    <n v="4"/>
  </r>
  <r>
    <s v="ORD-00181"/>
    <d v="2025-04-17T00:00:00"/>
    <s v="Sneakers"/>
    <s v="Footwear"/>
    <s v="Website"/>
    <s v="Lagos"/>
    <s v="Returning"/>
    <x v="0"/>
    <n v="1"/>
    <n v="60103"/>
    <n v="60103"/>
    <n v="0"/>
    <n v="0"/>
    <n v="60103"/>
    <n v="36812.29"/>
    <n v="23290.71"/>
    <s v="Apr"/>
    <n v="2025"/>
    <n v="4"/>
  </r>
  <r>
    <s v="ORD-00664"/>
    <d v="2025-04-18T00:00:00"/>
    <s v="Jeans"/>
    <s v="Clothing"/>
    <s v="Instagram"/>
    <s v="Lagos"/>
    <s v="Returning"/>
    <x v="0"/>
    <n v="3"/>
    <n v="39276"/>
    <n v="117828"/>
    <n v="0"/>
    <n v="0"/>
    <n v="117828"/>
    <n v="63303.31"/>
    <n v="54524.69"/>
    <s v="Apr"/>
    <n v="2025"/>
    <n v="4"/>
  </r>
  <r>
    <s v="ORD-00353"/>
    <d v="2025-04-18T00:00:00"/>
    <s v="Polo Shirt"/>
    <s v="Clothing"/>
    <s v="Physical Store"/>
    <s v="Lagos"/>
    <s v="New"/>
    <x v="0"/>
    <n v="2"/>
    <n v="25589"/>
    <n v="51178"/>
    <n v="0"/>
    <n v="0"/>
    <n v="51178"/>
    <n v="27891.22"/>
    <n v="23286.78"/>
    <s v="Apr"/>
    <n v="2025"/>
    <n v="4"/>
  </r>
  <r>
    <s v="ORD-00021"/>
    <d v="2025-04-19T00:00:00"/>
    <s v="Hoodie"/>
    <s v="Clothing"/>
    <s v="Physical Store"/>
    <s v="Oyo"/>
    <s v="New"/>
    <x v="2"/>
    <n v="1"/>
    <n v="38931"/>
    <n v="38931"/>
    <n v="1946.55"/>
    <n v="0.05"/>
    <n v="36984.449999999997"/>
    <n v="22910.73"/>
    <n v="14073.719999999998"/>
    <s v="Apr"/>
    <n v="2025"/>
    <n v="4"/>
  </r>
  <r>
    <s v="ORD-00877"/>
    <d v="2025-04-19T00:00:00"/>
    <s v="Dress"/>
    <s v="Clothing"/>
    <s v="Website"/>
    <s v="Oyo"/>
    <s v="Returning"/>
    <x v="0"/>
    <n v="1"/>
    <n v="53988"/>
    <n v="53988"/>
    <n v="5398.8"/>
    <n v="0.1"/>
    <n v="48589.2"/>
    <n v="33763.879999999997"/>
    <n v="14825.32"/>
    <s v="Apr"/>
    <n v="2025"/>
    <n v="4"/>
  </r>
  <r>
    <s v="ORD-00550"/>
    <d v="2025-04-20T00:00:00"/>
    <s v="Belt"/>
    <s v="Accessories"/>
    <s v="WhatsApp"/>
    <s v="Abuja"/>
    <s v="New"/>
    <x v="2"/>
    <n v="2"/>
    <n v="14045"/>
    <n v="28090"/>
    <n v="1404.5"/>
    <n v="0.05"/>
    <n v="26685.5"/>
    <n v="13961.54"/>
    <n v="12723.96"/>
    <s v="Apr"/>
    <n v="2025"/>
    <n v="4"/>
  </r>
  <r>
    <s v="ORD-00901"/>
    <d v="2025-04-20T00:00:00"/>
    <s v="Handbag"/>
    <s v="Accessories"/>
    <s v="Website"/>
    <s v="Delta"/>
    <s v="Returning"/>
    <x v="0"/>
    <n v="4"/>
    <n v="42771"/>
    <n v="171084"/>
    <n v="0"/>
    <n v="0"/>
    <n v="171084"/>
    <n v="84566.92"/>
    <n v="86517.08"/>
    <s v="Apr"/>
    <n v="2025"/>
    <n v="4"/>
  </r>
  <r>
    <s v="ORD-00472"/>
    <d v="2025-04-20T00:00:00"/>
    <s v="Sneakers"/>
    <s v="Footwear"/>
    <s v="Physical Store"/>
    <s v="Oyo"/>
    <s v="Returning"/>
    <x v="0"/>
    <n v="1"/>
    <n v="62086"/>
    <n v="62086"/>
    <n v="9312.9"/>
    <n v="0.15"/>
    <n v="52773.1"/>
    <n v="40969.47"/>
    <n v="11803.629999999997"/>
    <s v="Apr"/>
    <n v="2025"/>
    <n v="4"/>
  </r>
  <r>
    <s v="ORD-00244"/>
    <d v="2025-04-21T00:00:00"/>
    <s v="Jeans"/>
    <s v="Clothing"/>
    <s v="Physical Store"/>
    <s v="Lagos"/>
    <s v="New"/>
    <x v="0"/>
    <n v="4"/>
    <n v="41368"/>
    <n v="165472"/>
    <n v="0"/>
    <n v="0"/>
    <n v="165472"/>
    <n v="82081.47"/>
    <n v="83390.53"/>
    <s v="Apr"/>
    <n v="2025"/>
    <n v="4"/>
  </r>
  <r>
    <s v="ORD-01125"/>
    <d v="2025-04-21T00:00:00"/>
    <s v="Hoodie"/>
    <s v="Clothing"/>
    <s v="Physical Store"/>
    <s v="Rivers"/>
    <s v="New"/>
    <x v="2"/>
    <n v="3"/>
    <n v="35591"/>
    <n v="106773"/>
    <n v="5338.65"/>
    <n v="0.05"/>
    <n v="101434.35"/>
    <n v="55710.67"/>
    <n v="45723.680000000008"/>
    <s v="Apr"/>
    <n v="2025"/>
    <n v="4"/>
  </r>
  <r>
    <s v="ORD-00802"/>
    <d v="2025-04-22T00:00:00"/>
    <s v="T-Shirt"/>
    <s v="Clothing"/>
    <s v="Physical Store"/>
    <s v="Lagos"/>
    <s v="New"/>
    <x v="0"/>
    <n v="1"/>
    <n v="17530"/>
    <n v="17530"/>
    <n v="0"/>
    <n v="0"/>
    <n v="17530"/>
    <n v="9521.08"/>
    <n v="8008.92"/>
    <s v="Apr"/>
    <n v="2025"/>
    <n v="4"/>
  </r>
  <r>
    <s v="ORD-01042"/>
    <d v="2025-04-26T00:00:00"/>
    <s v="Dress"/>
    <s v="Clothing"/>
    <s v="Website"/>
    <s v="Lagos"/>
    <s v="Returning"/>
    <x v="0"/>
    <n v="4"/>
    <n v="48813"/>
    <n v="195252"/>
    <n v="0"/>
    <n v="0"/>
    <n v="195252"/>
    <n v="132056.13"/>
    <n v="63195.869999999995"/>
    <s v="Apr"/>
    <n v="2025"/>
    <n v="4"/>
  </r>
  <r>
    <s v="ORD-00680"/>
    <d v="2025-04-29T00:00:00"/>
    <s v="Polo Shirt"/>
    <s v="Clothing"/>
    <s v="Website"/>
    <s v="Lagos"/>
    <s v="New"/>
    <x v="2"/>
    <n v="2"/>
    <n v="25805"/>
    <n v="51610"/>
    <n v="7741.5"/>
    <n v="0.15"/>
    <n v="43868.5"/>
    <n v="28395.57"/>
    <n v="15472.93"/>
    <s v="Apr"/>
    <n v="2025"/>
    <n v="4"/>
  </r>
  <r>
    <s v="ORD-00119"/>
    <d v="2025-04-29T00:00:00"/>
    <s v="Polo Shirt"/>
    <s v="Clothing"/>
    <s v="Physical Store"/>
    <s v="Rivers"/>
    <s v="New"/>
    <x v="2"/>
    <n v="2"/>
    <n v="25100"/>
    <n v="50200"/>
    <n v="7530"/>
    <n v="0.15"/>
    <n v="42670"/>
    <n v="32816.26"/>
    <n v="9853.739999999998"/>
    <s v="Apr"/>
    <n v="2025"/>
    <n v="4"/>
  </r>
  <r>
    <s v="ORD-00334"/>
    <d v="2025-05-02T00:00:00"/>
    <s v="Jeans"/>
    <s v="Clothing"/>
    <s v="Website"/>
    <s v="Lagos"/>
    <s v="New"/>
    <x v="0"/>
    <n v="2"/>
    <n v="41023"/>
    <n v="82046"/>
    <n v="8204.6"/>
    <n v="0.1"/>
    <n v="73841.399999999994"/>
    <n v="41271.54"/>
    <n v="32569.859999999993"/>
    <s v="May"/>
    <n v="2025"/>
    <n v="5"/>
  </r>
  <r>
    <s v="ORD-00565"/>
    <d v="2025-05-02T00:00:00"/>
    <s v="Sneakers"/>
    <s v="Footwear"/>
    <s v="WhatsApp"/>
    <s v="Oyo"/>
    <s v="New"/>
    <x v="0"/>
    <n v="2"/>
    <n v="69589"/>
    <n v="139178"/>
    <n v="0"/>
    <n v="0"/>
    <n v="139178"/>
    <n v="81146.12"/>
    <n v="58031.880000000005"/>
    <s v="May"/>
    <n v="2025"/>
    <n v="5"/>
  </r>
  <r>
    <s v="ORD-01074"/>
    <d v="2025-05-03T00:00:00"/>
    <s v="Sandals"/>
    <s v="Footwear"/>
    <s v="Instagram"/>
    <s v="Lagos"/>
    <s v="New"/>
    <x v="0"/>
    <n v="3"/>
    <n v="31045"/>
    <n v="93135"/>
    <n v="0"/>
    <n v="0"/>
    <n v="93135"/>
    <n v="61501.54"/>
    <n v="31633.46"/>
    <s v="May"/>
    <n v="2025"/>
    <n v="5"/>
  </r>
  <r>
    <s v="ORD-00175"/>
    <d v="2025-05-03T00:00:00"/>
    <s v="Polo Shirt"/>
    <s v="Clothing"/>
    <s v="Website"/>
    <s v="Abuja"/>
    <s v="Returning"/>
    <x v="0"/>
    <n v="1"/>
    <n v="26227"/>
    <n v="26227"/>
    <n v="0"/>
    <n v="0"/>
    <n v="26227"/>
    <n v="15455.98"/>
    <n v="10771.02"/>
    <s v="May"/>
    <n v="2025"/>
    <n v="5"/>
  </r>
  <r>
    <s v="ORD-00269"/>
    <d v="2025-05-04T00:00:00"/>
    <s v="Handbag"/>
    <s v="Accessories"/>
    <s v="Website"/>
    <s v="Oyo"/>
    <s v="Returning"/>
    <x v="0"/>
    <n v="2"/>
    <n v="45093"/>
    <n v="90186"/>
    <n v="0"/>
    <n v="0"/>
    <n v="90186"/>
    <n v="60157.17"/>
    <n v="30028.83"/>
    <s v="May"/>
    <n v="2025"/>
    <n v="5"/>
  </r>
  <r>
    <s v="ORD-00946"/>
    <d v="2025-05-05T00:00:00"/>
    <s v="Jeans"/>
    <s v="Clothing"/>
    <s v="WhatsApp"/>
    <s v="Lagos"/>
    <s v="New"/>
    <x v="0"/>
    <n v="1"/>
    <n v="39585"/>
    <n v="39585"/>
    <n v="0"/>
    <n v="0"/>
    <n v="39585"/>
    <n v="23419.55"/>
    <n v="16165.45"/>
    <s v="May"/>
    <n v="2025"/>
    <n v="5"/>
  </r>
  <r>
    <s v="ORD-00450"/>
    <d v="2025-05-06T00:00:00"/>
    <s v="Hoodie"/>
    <s v="Clothing"/>
    <s v="Website"/>
    <s v="Oyo"/>
    <s v="New"/>
    <x v="0"/>
    <n v="3"/>
    <n v="36532"/>
    <n v="109596"/>
    <n v="0"/>
    <n v="0"/>
    <n v="109596"/>
    <n v="70013.919999999998"/>
    <n v="39582.080000000002"/>
    <s v="May"/>
    <n v="2025"/>
    <n v="5"/>
  </r>
  <r>
    <s v="ORD-00073"/>
    <d v="2025-05-07T00:00:00"/>
    <s v="Belt"/>
    <s v="Accessories"/>
    <s v="Physical Store"/>
    <s v="Rivers"/>
    <s v="New"/>
    <x v="0"/>
    <n v="1"/>
    <n v="15276"/>
    <n v="15276"/>
    <n v="0"/>
    <n v="0"/>
    <n v="15276"/>
    <n v="9299.74"/>
    <n v="5976.26"/>
    <s v="May"/>
    <n v="2025"/>
    <n v="5"/>
  </r>
  <r>
    <s v="ORD-01113"/>
    <d v="2025-05-07T00:00:00"/>
    <s v="Sandals"/>
    <s v="Footwear"/>
    <s v="WhatsApp"/>
    <s v="Oyo"/>
    <s v="Returning"/>
    <x v="0"/>
    <n v="1"/>
    <n v="32058"/>
    <n v="32058"/>
    <n v="0"/>
    <n v="0"/>
    <n v="32058"/>
    <n v="17942.27"/>
    <n v="14115.73"/>
    <s v="May"/>
    <n v="2025"/>
    <n v="5"/>
  </r>
  <r>
    <s v="ORD-00989"/>
    <d v="2025-05-08T00:00:00"/>
    <s v="Polo Shirt"/>
    <s v="Clothing"/>
    <s v="Website"/>
    <s v="Lagos"/>
    <s v="New"/>
    <x v="0"/>
    <n v="2"/>
    <n v="23193"/>
    <n v="46386"/>
    <n v="0"/>
    <n v="0"/>
    <n v="46386"/>
    <n v="27833.29"/>
    <n v="18552.71"/>
    <s v="May"/>
    <n v="2025"/>
    <n v="5"/>
  </r>
  <r>
    <s v="ORD-01108"/>
    <d v="2025-05-11T00:00:00"/>
    <s v="Dress"/>
    <s v="Clothing"/>
    <s v="Website"/>
    <s v="Abuja"/>
    <s v="New"/>
    <x v="0"/>
    <n v="3"/>
    <n v="49549"/>
    <n v="148647"/>
    <n v="0"/>
    <n v="0"/>
    <n v="148647"/>
    <n v="79872.77"/>
    <n v="68774.23"/>
    <s v="May"/>
    <n v="2025"/>
    <n v="5"/>
  </r>
  <r>
    <s v="ORD-00250"/>
    <d v="2025-05-11T00:00:00"/>
    <s v="Belt"/>
    <s v="Accessories"/>
    <s v="Physical Store"/>
    <s v="Abuja"/>
    <s v="Returning"/>
    <x v="0"/>
    <n v="3"/>
    <n v="13845"/>
    <n v="41535"/>
    <n v="0"/>
    <n v="0"/>
    <n v="41535"/>
    <n v="25001.56"/>
    <n v="16533.439999999999"/>
    <s v="May"/>
    <n v="2025"/>
    <n v="5"/>
  </r>
  <r>
    <s v="ORD-00370"/>
    <d v="2025-05-11T00:00:00"/>
    <s v="Handbag"/>
    <s v="Accessories"/>
    <s v="Physical Store"/>
    <s v="Oyo"/>
    <s v="New"/>
    <x v="0"/>
    <n v="1"/>
    <n v="43655"/>
    <n v="43655"/>
    <n v="0"/>
    <n v="0"/>
    <n v="43655"/>
    <n v="24431.79"/>
    <n v="19223.21"/>
    <s v="May"/>
    <n v="2025"/>
    <n v="5"/>
  </r>
  <r>
    <s v="ORD-00382"/>
    <d v="2025-05-13T00:00:00"/>
    <s v="Polo Shirt"/>
    <s v="Clothing"/>
    <s v="Website"/>
    <s v="Rivers"/>
    <s v="Returning"/>
    <x v="0"/>
    <n v="2"/>
    <n v="26140"/>
    <n v="52280"/>
    <n v="0"/>
    <n v="0"/>
    <n v="52280"/>
    <n v="33670.97"/>
    <n v="18609.03"/>
    <s v="May"/>
    <n v="2025"/>
    <n v="5"/>
  </r>
  <r>
    <s v="ORD-00458"/>
    <d v="2025-05-14T00:00:00"/>
    <s v="Polo Shirt"/>
    <s v="Clothing"/>
    <s v="Physical Store"/>
    <s v="Rivers"/>
    <s v="New"/>
    <x v="0"/>
    <n v="3"/>
    <n v="24545"/>
    <n v="73635"/>
    <n v="11045.25"/>
    <n v="0.15"/>
    <n v="62589.75"/>
    <n v="39993.129999999997"/>
    <n v="22596.620000000003"/>
    <s v="May"/>
    <n v="2025"/>
    <n v="5"/>
  </r>
  <r>
    <s v="ORD-00921"/>
    <d v="2025-05-16T00:00:00"/>
    <s v="Jeans"/>
    <s v="Clothing"/>
    <s v="WhatsApp"/>
    <s v="Oyo"/>
    <s v="New"/>
    <x v="0"/>
    <n v="1"/>
    <n v="42402"/>
    <n v="42402"/>
    <n v="0"/>
    <n v="0"/>
    <n v="42402"/>
    <n v="26618.32"/>
    <n v="15783.68"/>
    <s v="May"/>
    <n v="2025"/>
    <n v="5"/>
  </r>
  <r>
    <s v="ORD-00515"/>
    <d v="2025-05-16T00:00:00"/>
    <s v="Belt"/>
    <s v="Accessories"/>
    <s v="Website"/>
    <s v="Lagos"/>
    <s v="Returning"/>
    <x v="0"/>
    <n v="2"/>
    <n v="15319"/>
    <n v="30638"/>
    <n v="4595.7"/>
    <n v="0.15"/>
    <n v="26042.3"/>
    <n v="18528.29"/>
    <n v="7514.0099999999984"/>
    <s v="May"/>
    <n v="2025"/>
    <n v="5"/>
  </r>
  <r>
    <s v="ORD-00793"/>
    <d v="2025-05-17T00:00:00"/>
    <s v="Jeans"/>
    <s v="Clothing"/>
    <s v="Physical Store"/>
    <s v="Rivers"/>
    <s v="Returning"/>
    <x v="0"/>
    <n v="1"/>
    <n v="39085"/>
    <n v="39085"/>
    <n v="0"/>
    <n v="0"/>
    <n v="39085"/>
    <n v="21908.799999999999"/>
    <n v="17176.2"/>
    <s v="May"/>
    <n v="2025"/>
    <n v="5"/>
  </r>
  <r>
    <s v="ORD-00105"/>
    <d v="2025-05-17T00:00:00"/>
    <s v="Sneakers"/>
    <s v="Footwear"/>
    <s v="Physical Store"/>
    <s v="Oyo"/>
    <s v="New"/>
    <x v="0"/>
    <n v="3"/>
    <n v="68711"/>
    <n v="206133"/>
    <n v="0"/>
    <n v="0"/>
    <n v="206133"/>
    <n v="129440.41"/>
    <n v="76692.59"/>
    <s v="May"/>
    <n v="2025"/>
    <n v="5"/>
  </r>
  <r>
    <s v="ORD-00095"/>
    <d v="2025-05-17T00:00:00"/>
    <s v="Sneakers"/>
    <s v="Footwear"/>
    <s v="Website"/>
    <s v="Abuja"/>
    <s v="New"/>
    <x v="0"/>
    <n v="3"/>
    <n v="62467"/>
    <n v="187401"/>
    <n v="0"/>
    <n v="0"/>
    <n v="187401"/>
    <n v="97377.22"/>
    <n v="90023.78"/>
    <s v="May"/>
    <n v="2025"/>
    <n v="5"/>
  </r>
  <r>
    <s v="ORD-00727"/>
    <d v="2025-05-18T00:00:00"/>
    <s v="Jeans"/>
    <s v="Clothing"/>
    <s v="WhatsApp"/>
    <s v="Delta"/>
    <s v="Returning"/>
    <x v="0"/>
    <n v="1"/>
    <n v="42109"/>
    <n v="42109"/>
    <n v="0"/>
    <n v="0"/>
    <n v="42109"/>
    <n v="27974.92"/>
    <n v="14134.080000000002"/>
    <s v="May"/>
    <n v="2025"/>
    <n v="5"/>
  </r>
  <r>
    <s v="ORD-00480"/>
    <d v="2025-05-19T00:00:00"/>
    <s v="T-Shirt"/>
    <s v="Clothing"/>
    <s v="Physical Store"/>
    <s v="Lagos"/>
    <s v="New"/>
    <x v="0"/>
    <n v="4"/>
    <n v="18748"/>
    <n v="74992"/>
    <n v="0"/>
    <n v="0"/>
    <n v="74992"/>
    <n v="48650.74"/>
    <n v="26341.260000000002"/>
    <s v="May"/>
    <n v="2025"/>
    <n v="5"/>
  </r>
  <r>
    <s v="ORD-01166"/>
    <d v="2025-05-20T00:00:00"/>
    <s v="Hoodie"/>
    <s v="Clothing"/>
    <s v="Physical Store"/>
    <s v="Delta"/>
    <s v="Returning"/>
    <x v="0"/>
    <n v="4"/>
    <n v="37060"/>
    <n v="148240"/>
    <n v="0"/>
    <n v="0"/>
    <n v="148240"/>
    <n v="83742.59"/>
    <n v="64497.41"/>
    <s v="May"/>
    <n v="2025"/>
    <n v="5"/>
  </r>
  <r>
    <s v="ORD-00046"/>
    <d v="2025-05-23T00:00:00"/>
    <s v="Belt"/>
    <s v="Accessories"/>
    <s v="Instagram"/>
    <s v="Oyo"/>
    <s v="Returning"/>
    <x v="0"/>
    <n v="1"/>
    <n v="15673"/>
    <n v="15673"/>
    <n v="0"/>
    <n v="0"/>
    <n v="15673"/>
    <n v="10101.61"/>
    <n v="5571.3899999999994"/>
    <s v="May"/>
    <n v="2025"/>
    <n v="5"/>
  </r>
  <r>
    <s v="ORD-00205"/>
    <d v="2025-05-24T00:00:00"/>
    <s v="Cap"/>
    <s v="Accessories"/>
    <s v="Physical Store"/>
    <s v="Rivers"/>
    <s v="New"/>
    <x v="0"/>
    <n v="1"/>
    <n v="11547"/>
    <n v="11547"/>
    <n v="0"/>
    <n v="0"/>
    <n v="11547"/>
    <n v="6658.09"/>
    <n v="4888.91"/>
    <s v="May"/>
    <n v="2025"/>
    <n v="5"/>
  </r>
  <r>
    <s v="ORD-00459"/>
    <d v="2025-05-25T00:00:00"/>
    <s v="Dress"/>
    <s v="Clothing"/>
    <s v="Instagram"/>
    <s v="Lagos"/>
    <s v="New"/>
    <x v="0"/>
    <n v="5"/>
    <n v="49557"/>
    <n v="247785"/>
    <n v="0"/>
    <n v="0"/>
    <n v="247785"/>
    <n v="167668.22"/>
    <n v="80116.78"/>
    <s v="May"/>
    <n v="2025"/>
    <n v="5"/>
  </r>
  <r>
    <s v="ORD-00023"/>
    <d v="2025-05-25T00:00:00"/>
    <s v="Belt"/>
    <s v="Accessories"/>
    <s v="Instagram"/>
    <s v="Lagos"/>
    <s v="New"/>
    <x v="0"/>
    <n v="5"/>
    <n v="15033"/>
    <n v="75165"/>
    <n v="3758.25"/>
    <n v="0.05"/>
    <n v="71406.75"/>
    <n v="36521.089999999997"/>
    <n v="34885.660000000003"/>
    <s v="May"/>
    <n v="2025"/>
    <n v="5"/>
  </r>
  <r>
    <s v="ORD-00545"/>
    <d v="2025-05-25T00:00:00"/>
    <s v="Dress"/>
    <s v="Clothing"/>
    <s v="WhatsApp"/>
    <s v="Lagos"/>
    <s v="New"/>
    <x v="0"/>
    <n v="2"/>
    <n v="51326"/>
    <n v="102652"/>
    <n v="0"/>
    <n v="0"/>
    <n v="102652"/>
    <n v="53811.65"/>
    <n v="48840.35"/>
    <s v="May"/>
    <n v="2025"/>
    <n v="5"/>
  </r>
  <r>
    <s v="ORD-00284"/>
    <d v="2025-05-26T00:00:00"/>
    <s v="Handbag"/>
    <s v="Accessories"/>
    <s v="Website"/>
    <s v="Oyo"/>
    <s v="New"/>
    <x v="0"/>
    <n v="1"/>
    <n v="42063"/>
    <n v="42063"/>
    <n v="0"/>
    <n v="0"/>
    <n v="42063"/>
    <n v="22093.8"/>
    <n v="19969.2"/>
    <s v="May"/>
    <n v="2025"/>
    <n v="5"/>
  </r>
  <r>
    <s v="ORD-00331"/>
    <d v="2025-05-27T00:00:00"/>
    <s v="Belt"/>
    <s v="Accessories"/>
    <s v="Physical Store"/>
    <s v="Lagos"/>
    <s v="Returning"/>
    <x v="0"/>
    <n v="1"/>
    <n v="16191"/>
    <n v="16191"/>
    <n v="0"/>
    <n v="0"/>
    <n v="16191"/>
    <n v="10266.540000000001"/>
    <n v="5924.4599999999991"/>
    <s v="May"/>
    <n v="2025"/>
    <n v="5"/>
  </r>
  <r>
    <s v="ORD-00767"/>
    <d v="2025-05-27T00:00:00"/>
    <s v="Hoodie"/>
    <s v="Clothing"/>
    <s v="WhatsApp"/>
    <s v="Abuja"/>
    <s v="New"/>
    <x v="0"/>
    <n v="1"/>
    <n v="38187"/>
    <n v="38187"/>
    <n v="0"/>
    <n v="0"/>
    <n v="38187"/>
    <n v="19540.560000000001"/>
    <n v="18646.439999999999"/>
    <s v="May"/>
    <n v="2025"/>
    <n v="5"/>
  </r>
  <r>
    <s v="ORD-00963"/>
    <d v="2025-05-28T00:00:00"/>
    <s v="Hoodie"/>
    <s v="Clothing"/>
    <s v="Physical Store"/>
    <s v="Oyo"/>
    <s v="New"/>
    <x v="0"/>
    <n v="1"/>
    <n v="36006"/>
    <n v="36006"/>
    <n v="0"/>
    <n v="0"/>
    <n v="36006"/>
    <n v="19597.8"/>
    <n v="16408.2"/>
    <s v="May"/>
    <n v="2025"/>
    <n v="5"/>
  </r>
  <r>
    <s v="ORD-00365"/>
    <d v="2025-05-30T00:00:00"/>
    <s v="Polo Shirt"/>
    <s v="Clothing"/>
    <s v="Instagram"/>
    <s v="Abuja"/>
    <s v="Returning"/>
    <x v="0"/>
    <n v="1"/>
    <n v="25675"/>
    <n v="25675"/>
    <n v="0"/>
    <n v="0"/>
    <n v="25675"/>
    <n v="17113.689999999999"/>
    <n v="8561.3100000000013"/>
    <s v="May"/>
    <n v="2025"/>
    <n v="5"/>
  </r>
  <r>
    <s v="ORD-00708"/>
    <d v="2025-05-30T00:00:00"/>
    <s v="Sneakers"/>
    <s v="Footwear"/>
    <s v="Physical Store"/>
    <s v="Abuja"/>
    <s v="New"/>
    <x v="0"/>
    <n v="2"/>
    <n v="67362"/>
    <n v="134724"/>
    <n v="0"/>
    <n v="0"/>
    <n v="134724"/>
    <n v="89910.85"/>
    <n v="44813.149999999994"/>
    <s v="May"/>
    <n v="2025"/>
    <n v="5"/>
  </r>
  <r>
    <s v="ORD-00813"/>
    <d v="2025-05-31T00:00:00"/>
    <s v="Hoodie"/>
    <s v="Clothing"/>
    <s v="Instagram"/>
    <s v="Lagos"/>
    <s v="New"/>
    <x v="0"/>
    <n v="2"/>
    <n v="39412"/>
    <n v="78824"/>
    <n v="7882.4"/>
    <n v="0.1"/>
    <n v="70941.600000000006"/>
    <n v="48369.25"/>
    <n v="22572.350000000006"/>
    <s v="May"/>
    <n v="2025"/>
    <n v="5"/>
  </r>
  <r>
    <s v="ORD-00246"/>
    <d v="2025-06-01T00:00:00"/>
    <s v="Sneakers"/>
    <s v="Footwear"/>
    <s v="WhatsApp"/>
    <s v="Rivers"/>
    <s v="Returning"/>
    <x v="0"/>
    <n v="3"/>
    <n v="67156"/>
    <n v="201468"/>
    <n v="0"/>
    <n v="0"/>
    <n v="201468"/>
    <n v="105926.86"/>
    <n v="95541.14"/>
    <s v="Jun"/>
    <n v="2025"/>
    <n v="6"/>
  </r>
  <r>
    <s v="ORD-00549"/>
    <d v="2025-06-01T00:00:00"/>
    <s v="Polo Shirt"/>
    <s v="Clothing"/>
    <s v="WhatsApp"/>
    <s v="Lagos"/>
    <s v="New"/>
    <x v="0"/>
    <n v="2"/>
    <n v="24458"/>
    <n v="48916"/>
    <n v="0"/>
    <n v="0"/>
    <n v="48916"/>
    <n v="25386.84"/>
    <n v="23529.16"/>
    <s v="Jun"/>
    <n v="2025"/>
    <n v="6"/>
  </r>
  <r>
    <s v="ORD-00077"/>
    <d v="2025-06-04T00:00:00"/>
    <s v="Cap"/>
    <s v="Accessories"/>
    <s v="Physical Store"/>
    <s v="Rivers"/>
    <s v="New"/>
    <x v="0"/>
    <n v="3"/>
    <n v="11386"/>
    <n v="34158"/>
    <n v="0"/>
    <n v="0"/>
    <n v="34158"/>
    <n v="18582.36"/>
    <n v="15575.64"/>
    <s v="Jun"/>
    <n v="2025"/>
    <n v="6"/>
  </r>
  <r>
    <s v="ORD-01190"/>
    <d v="2025-06-04T00:00:00"/>
    <s v="Handbag"/>
    <s v="Accessories"/>
    <s v="Physical Store"/>
    <s v="Oyo"/>
    <s v="New"/>
    <x v="0"/>
    <n v="1"/>
    <n v="43919"/>
    <n v="43919"/>
    <n v="0"/>
    <n v="0"/>
    <n v="43919"/>
    <n v="29385.03"/>
    <n v="14533.970000000001"/>
    <s v="Jun"/>
    <n v="2025"/>
    <n v="6"/>
  </r>
  <r>
    <s v="ORD-00986"/>
    <d v="2025-06-04T00:00:00"/>
    <s v="Hoodie"/>
    <s v="Clothing"/>
    <s v="Physical Store"/>
    <s v="Abuja"/>
    <s v="New"/>
    <x v="0"/>
    <n v="2"/>
    <n v="37877"/>
    <n v="75754"/>
    <n v="0"/>
    <n v="0"/>
    <n v="75754"/>
    <n v="39471.949999999997"/>
    <n v="36282.050000000003"/>
    <s v="Jun"/>
    <n v="2025"/>
    <n v="6"/>
  </r>
  <r>
    <s v="ORD-00359"/>
    <d v="2025-06-05T00:00:00"/>
    <s v="Dress"/>
    <s v="Clothing"/>
    <s v="Instagram"/>
    <s v="Lagos"/>
    <s v="Returning"/>
    <x v="3"/>
    <n v="3"/>
    <n v="47566"/>
    <n v="142698"/>
    <n v="14269.8"/>
    <n v="0.1"/>
    <n v="128428.2"/>
    <n v="72219.59"/>
    <n v="56208.61"/>
    <s v="Jun"/>
    <n v="2025"/>
    <n v="6"/>
  </r>
  <r>
    <s v="ORD-00639"/>
    <d v="2025-06-07T00:00:00"/>
    <s v="Handbag"/>
    <s v="Accessories"/>
    <s v="Physical Store"/>
    <s v="Lagos"/>
    <s v="Returning"/>
    <x v="3"/>
    <n v="5"/>
    <n v="46974"/>
    <n v="234870"/>
    <n v="35230.5"/>
    <n v="0.15"/>
    <n v="199639.5"/>
    <n v="134893.51"/>
    <n v="64745.989999999991"/>
    <s v="Jun"/>
    <n v="2025"/>
    <n v="6"/>
  </r>
  <r>
    <s v="ORD-01059"/>
    <d v="2025-06-07T00:00:00"/>
    <s v="Sandals"/>
    <s v="Footwear"/>
    <s v="Instagram"/>
    <s v="Abuja"/>
    <s v="Returning"/>
    <x v="3"/>
    <n v="4"/>
    <n v="29840"/>
    <n v="119360"/>
    <n v="11936"/>
    <n v="0.1"/>
    <n v="107424"/>
    <n v="80044.639999999999"/>
    <n v="27379.360000000001"/>
    <s v="Jun"/>
    <n v="2025"/>
    <n v="6"/>
  </r>
  <r>
    <s v="ORD-00124"/>
    <d v="2025-06-08T00:00:00"/>
    <s v="Jeans"/>
    <s v="Clothing"/>
    <s v="Instagram"/>
    <s v="Abuja"/>
    <s v="Returning"/>
    <x v="0"/>
    <n v="3"/>
    <n v="44311"/>
    <n v="132933"/>
    <n v="19939.95"/>
    <n v="0.15"/>
    <n v="112993.05"/>
    <n v="76113.5"/>
    <n v="36879.550000000003"/>
    <s v="Jun"/>
    <n v="2025"/>
    <n v="6"/>
  </r>
  <r>
    <s v="ORD-00277"/>
    <d v="2025-06-08T00:00:00"/>
    <s v="Jeans"/>
    <s v="Clothing"/>
    <s v="Website"/>
    <s v="Lagos"/>
    <s v="Returning"/>
    <x v="3"/>
    <n v="5"/>
    <n v="45258"/>
    <n v="226290"/>
    <n v="22629"/>
    <n v="0.1"/>
    <n v="203661"/>
    <n v="129112.64"/>
    <n v="74548.36"/>
    <s v="Jun"/>
    <n v="2025"/>
    <n v="6"/>
  </r>
  <r>
    <s v="ORD-00985"/>
    <d v="2025-06-09T00:00:00"/>
    <s v="Polo Shirt"/>
    <s v="Clothing"/>
    <s v="Website"/>
    <s v="Rivers"/>
    <s v="Returning"/>
    <x v="3"/>
    <n v="3"/>
    <n v="23949"/>
    <n v="71847"/>
    <n v="10777.05"/>
    <n v="0.15"/>
    <n v="61069.95"/>
    <n v="47964.88"/>
    <n v="13105.07"/>
    <s v="Jun"/>
    <n v="2025"/>
    <n v="6"/>
  </r>
  <r>
    <s v="ORD-00669"/>
    <d v="2025-06-09T00:00:00"/>
    <s v="T-Shirt"/>
    <s v="Clothing"/>
    <s v="Physical Store"/>
    <s v="Lagos"/>
    <s v="Returning"/>
    <x v="0"/>
    <n v="1"/>
    <n v="17803"/>
    <n v="17803"/>
    <n v="0"/>
    <n v="0"/>
    <n v="17803"/>
    <n v="11546.85"/>
    <n v="6256.15"/>
    <s v="Jun"/>
    <n v="2025"/>
    <n v="6"/>
  </r>
  <r>
    <s v="ORD-00663"/>
    <d v="2025-06-09T00:00:00"/>
    <s v="Polo Shirt"/>
    <s v="Clothing"/>
    <s v="Physical Store"/>
    <s v="Lagos"/>
    <s v="New"/>
    <x v="3"/>
    <n v="1"/>
    <n v="24451"/>
    <n v="24451"/>
    <n v="1222.55"/>
    <n v="0.05"/>
    <n v="23228.45"/>
    <n v="15078.61"/>
    <n v="8149.84"/>
    <s v="Jun"/>
    <n v="2025"/>
    <n v="6"/>
  </r>
  <r>
    <s v="ORD-00739"/>
    <d v="2025-06-15T00:00:00"/>
    <s v="Polo Shirt"/>
    <s v="Clothing"/>
    <s v="Website"/>
    <s v="Rivers"/>
    <s v="Returning"/>
    <x v="0"/>
    <n v="3"/>
    <n v="26450"/>
    <n v="79350"/>
    <n v="7935"/>
    <n v="0.1"/>
    <n v="71415"/>
    <n v="47385.65"/>
    <n v="24029.35"/>
    <s v="Jun"/>
    <n v="2025"/>
    <n v="6"/>
  </r>
  <r>
    <s v="ORD-00635"/>
    <d v="2025-06-17T00:00:00"/>
    <s v="Sneakers"/>
    <s v="Footwear"/>
    <s v="WhatsApp"/>
    <s v="Lagos"/>
    <s v="New"/>
    <x v="0"/>
    <n v="1"/>
    <n v="69773"/>
    <n v="69773"/>
    <n v="0"/>
    <n v="0"/>
    <n v="69773"/>
    <n v="37142.559999999998"/>
    <n v="32630.440000000002"/>
    <s v="Jun"/>
    <n v="2025"/>
    <n v="6"/>
  </r>
  <r>
    <s v="ORD-00874"/>
    <d v="2025-06-20T00:00:00"/>
    <s v="Cap"/>
    <s v="Accessories"/>
    <s v="WhatsApp"/>
    <s v="Lagos"/>
    <s v="Returning"/>
    <x v="0"/>
    <n v="2"/>
    <n v="11844"/>
    <n v="23688"/>
    <n v="0"/>
    <n v="0"/>
    <n v="23688"/>
    <n v="12719.76"/>
    <n v="10968.24"/>
    <s v="Jun"/>
    <n v="2025"/>
    <n v="6"/>
  </r>
  <r>
    <s v="ORD-00687"/>
    <d v="2025-06-20T00:00:00"/>
    <s v="T-Shirt"/>
    <s v="Clothing"/>
    <s v="Website"/>
    <s v="Delta"/>
    <s v="New"/>
    <x v="3"/>
    <n v="5"/>
    <n v="18483"/>
    <n v="92415"/>
    <n v="9241.5"/>
    <n v="0.1"/>
    <n v="83173.5"/>
    <n v="55083.56"/>
    <n v="28089.940000000002"/>
    <s v="Jun"/>
    <n v="2025"/>
    <n v="6"/>
  </r>
  <r>
    <s v="ORD-00274"/>
    <d v="2025-06-21T00:00:00"/>
    <s v="Sandals"/>
    <s v="Footwear"/>
    <s v="Instagram"/>
    <s v="Lagos"/>
    <s v="Returning"/>
    <x v="3"/>
    <n v="1"/>
    <n v="29609"/>
    <n v="29609"/>
    <n v="2960.9"/>
    <n v="0.1"/>
    <n v="26648.1"/>
    <n v="16179.57"/>
    <n v="10468.529999999999"/>
    <s v="Jun"/>
    <n v="2025"/>
    <n v="6"/>
  </r>
  <r>
    <s v="ORD-00510"/>
    <d v="2025-06-23T00:00:00"/>
    <s v="Handbag"/>
    <s v="Accessories"/>
    <s v="Website"/>
    <s v="Delta"/>
    <s v="New"/>
    <x v="3"/>
    <n v="1"/>
    <n v="44771"/>
    <n v="44771"/>
    <n v="2238.5500000000002"/>
    <n v="0.05"/>
    <n v="42532.45"/>
    <n v="29849.55"/>
    <n v="12682.899999999998"/>
    <s v="Jun"/>
    <n v="2025"/>
    <n v="6"/>
  </r>
  <r>
    <s v="ORD-00122"/>
    <d v="2025-06-24T00:00:00"/>
    <s v="Hoodie"/>
    <s v="Clothing"/>
    <s v="Instagram"/>
    <s v="Abuja"/>
    <s v="Returning"/>
    <x v="0"/>
    <n v="2"/>
    <n v="38038"/>
    <n v="76076"/>
    <n v="0"/>
    <n v="0"/>
    <n v="76076"/>
    <n v="37595.730000000003"/>
    <n v="38480.269999999997"/>
    <s v="Jun"/>
    <n v="2025"/>
    <n v="6"/>
  </r>
  <r>
    <s v="ORD-00602"/>
    <d v="2025-06-25T00:00:00"/>
    <s v="Dress"/>
    <s v="Clothing"/>
    <s v="Website"/>
    <s v="Abuja"/>
    <s v="New"/>
    <x v="0"/>
    <n v="1"/>
    <n v="52226"/>
    <n v="52226"/>
    <n v="0"/>
    <n v="0"/>
    <n v="52226"/>
    <n v="34070.99"/>
    <n v="18155.010000000002"/>
    <s v="Jun"/>
    <n v="2025"/>
    <n v="6"/>
  </r>
  <r>
    <s v="ORD-00715"/>
    <d v="2025-06-26T00:00:00"/>
    <s v="Handbag"/>
    <s v="Accessories"/>
    <s v="Website"/>
    <s v="Lagos"/>
    <s v="New"/>
    <x v="3"/>
    <n v="1"/>
    <n v="45916"/>
    <n v="45916"/>
    <n v="2295.8000000000002"/>
    <n v="0.05"/>
    <n v="43620.2"/>
    <n v="30976.26"/>
    <n v="12643.939999999999"/>
    <s v="Jun"/>
    <n v="2025"/>
    <n v="6"/>
  </r>
  <r>
    <s v="ORD-01117"/>
    <d v="2025-06-29T00:00:00"/>
    <s v="Polo Shirt"/>
    <s v="Clothing"/>
    <s v="WhatsApp"/>
    <s v="Lagos"/>
    <s v="Returning"/>
    <x v="3"/>
    <n v="1"/>
    <n v="25434"/>
    <n v="25434"/>
    <n v="3815.1"/>
    <n v="0.15"/>
    <n v="21618.9"/>
    <n v="17288.759999999998"/>
    <n v="4330.1400000000031"/>
    <s v="Jun"/>
    <n v="2025"/>
    <n v="6"/>
  </r>
  <r>
    <s v="ORD-00642"/>
    <d v="2025-06-29T00:00:00"/>
    <s v="Sneakers"/>
    <s v="Footwear"/>
    <s v="WhatsApp"/>
    <s v="Abuja"/>
    <s v="New"/>
    <x v="3"/>
    <n v="2"/>
    <n v="63734"/>
    <n v="127468"/>
    <n v="19120.2"/>
    <n v="0.15"/>
    <n v="108347.8"/>
    <n v="63652.9"/>
    <n v="44694.9"/>
    <s v="Jun"/>
    <n v="2025"/>
    <n v="6"/>
  </r>
  <r>
    <s v="ORD-00613"/>
    <d v="2025-06-29T00:00:00"/>
    <s v="Dress"/>
    <s v="Clothing"/>
    <s v="Instagram"/>
    <s v="Abuja"/>
    <s v="Returning"/>
    <x v="0"/>
    <n v="1"/>
    <n v="47195"/>
    <n v="47195"/>
    <n v="0"/>
    <n v="0"/>
    <n v="47195"/>
    <n v="27001.040000000001"/>
    <n v="20193.96"/>
    <s v="Jun"/>
    <n v="2025"/>
    <n v="6"/>
  </r>
  <r>
    <s v="ORD-00240"/>
    <d v="2025-06-30T00:00:00"/>
    <s v="Hoodie"/>
    <s v="Clothing"/>
    <s v="WhatsApp"/>
    <s v="Lagos"/>
    <s v="Returning"/>
    <x v="0"/>
    <n v="2"/>
    <n v="39743"/>
    <n v="79486"/>
    <n v="0"/>
    <n v="0"/>
    <n v="79486"/>
    <n v="50041.82"/>
    <n v="29444.18"/>
    <s v="Jun"/>
    <n v="2025"/>
    <n v="6"/>
  </r>
  <r>
    <s v="ORD-00718"/>
    <d v="2025-07-01T00:00:00"/>
    <s v="Sandals"/>
    <s v="Footwear"/>
    <s v="Physical Store"/>
    <s v="Abuja"/>
    <s v="Returning"/>
    <x v="0"/>
    <n v="2"/>
    <n v="28921"/>
    <n v="57842"/>
    <n v="0"/>
    <n v="0"/>
    <n v="57842"/>
    <n v="35952.089999999997"/>
    <n v="21889.910000000003"/>
    <s v="Jul"/>
    <n v="2025"/>
    <n v="7"/>
  </r>
  <r>
    <s v="ORD-00806"/>
    <d v="2025-07-03T00:00:00"/>
    <s v="Sneakers"/>
    <s v="Footwear"/>
    <s v="WhatsApp"/>
    <s v="Oyo"/>
    <s v="Returning"/>
    <x v="0"/>
    <n v="3"/>
    <n v="68454"/>
    <n v="205362"/>
    <n v="0"/>
    <n v="0"/>
    <n v="205362"/>
    <n v="125916.29"/>
    <n v="79445.710000000006"/>
    <s v="Jul"/>
    <n v="2025"/>
    <n v="7"/>
  </r>
  <r>
    <s v="ORD-00832"/>
    <d v="2025-07-03T00:00:00"/>
    <s v="Cap"/>
    <s v="Accessories"/>
    <s v="Physical Store"/>
    <s v="Delta"/>
    <s v="Returning"/>
    <x v="0"/>
    <n v="2"/>
    <n v="11857"/>
    <n v="23714"/>
    <n v="0"/>
    <n v="0"/>
    <n v="23714"/>
    <n v="14600.33"/>
    <n v="9113.67"/>
    <s v="Jul"/>
    <n v="2025"/>
    <n v="7"/>
  </r>
  <r>
    <s v="ORD-00356"/>
    <d v="2025-07-04T00:00:00"/>
    <s v="Belt"/>
    <s v="Accessories"/>
    <s v="Physical Store"/>
    <s v="Abuja"/>
    <s v="New"/>
    <x v="0"/>
    <n v="1"/>
    <n v="14750"/>
    <n v="14750"/>
    <n v="0"/>
    <n v="0"/>
    <n v="14750"/>
    <n v="7548.27"/>
    <n v="7201.73"/>
    <s v="Jul"/>
    <n v="2025"/>
    <n v="7"/>
  </r>
  <r>
    <s v="ORD-00177"/>
    <d v="2025-07-04T00:00:00"/>
    <s v="Sandals"/>
    <s v="Footwear"/>
    <s v="Website"/>
    <s v="Rivers"/>
    <s v="New"/>
    <x v="3"/>
    <n v="5"/>
    <n v="28651"/>
    <n v="143255"/>
    <n v="14325.5"/>
    <n v="0.1"/>
    <n v="128929.5"/>
    <n v="95103.77"/>
    <n v="33825.729999999996"/>
    <s v="Jul"/>
    <n v="2025"/>
    <n v="7"/>
  </r>
  <r>
    <s v="ORD-00987"/>
    <d v="2025-07-05T00:00:00"/>
    <s v="Sandals"/>
    <s v="Footwear"/>
    <s v="Instagram"/>
    <s v="Oyo"/>
    <s v="Returning"/>
    <x v="3"/>
    <n v="1"/>
    <n v="32396"/>
    <n v="32396"/>
    <n v="4859.3999999999996"/>
    <n v="0.15"/>
    <n v="27536.6"/>
    <n v="21964.36"/>
    <n v="5572.239999999998"/>
    <s v="Jul"/>
    <n v="2025"/>
    <n v="7"/>
  </r>
  <r>
    <s v="ORD-00800"/>
    <d v="2025-07-07T00:00:00"/>
    <s v="Handbag"/>
    <s v="Accessories"/>
    <s v="Instagram"/>
    <s v="Delta"/>
    <s v="New"/>
    <x v="0"/>
    <n v="1"/>
    <n v="48104"/>
    <n v="48104"/>
    <n v="0"/>
    <n v="0"/>
    <n v="48104"/>
    <n v="23215.73"/>
    <n v="24888.27"/>
    <s v="Jul"/>
    <n v="2025"/>
    <n v="7"/>
  </r>
  <r>
    <s v="ORD-00127"/>
    <d v="2025-07-10T00:00:00"/>
    <s v="Belt"/>
    <s v="Accessories"/>
    <s v="Physical Store"/>
    <s v="Lagos"/>
    <s v="Returning"/>
    <x v="3"/>
    <n v="3"/>
    <n v="15531"/>
    <n v="46593"/>
    <n v="9318.6"/>
    <n v="0.2"/>
    <n v="37274.400000000001"/>
    <n v="22384.240000000002"/>
    <n v="14890.16"/>
    <s v="Jul"/>
    <n v="2025"/>
    <n v="7"/>
  </r>
  <r>
    <s v="ORD-00742"/>
    <d v="2025-07-12T00:00:00"/>
    <s v="Sandals"/>
    <s v="Footwear"/>
    <s v="WhatsApp"/>
    <s v="Rivers"/>
    <s v="New"/>
    <x v="3"/>
    <n v="3"/>
    <n v="28424"/>
    <n v="85272"/>
    <n v="8527.2000000000007"/>
    <n v="0.1"/>
    <n v="76744.800000000003"/>
    <n v="45876.12"/>
    <n v="30868.68"/>
    <s v="Jul"/>
    <n v="2025"/>
    <n v="7"/>
  </r>
  <r>
    <s v="ORD-00333"/>
    <d v="2025-07-13T00:00:00"/>
    <s v="T-Shirt"/>
    <s v="Clothing"/>
    <s v="Physical Store"/>
    <s v="Lagos"/>
    <s v="New"/>
    <x v="0"/>
    <n v="3"/>
    <n v="18229"/>
    <n v="54687"/>
    <n v="0"/>
    <n v="0"/>
    <n v="54687"/>
    <n v="35172.160000000003"/>
    <n v="19514.839999999997"/>
    <s v="Jul"/>
    <n v="2025"/>
    <n v="7"/>
  </r>
  <r>
    <s v="ORD-00903"/>
    <d v="2025-07-14T00:00:00"/>
    <s v="Polo Shirt"/>
    <s v="Clothing"/>
    <s v="Physical Store"/>
    <s v="Lagos"/>
    <s v="New"/>
    <x v="0"/>
    <n v="1"/>
    <n v="23086"/>
    <n v="23086"/>
    <n v="0"/>
    <n v="0"/>
    <n v="23086"/>
    <n v="13394.72"/>
    <n v="9691.2800000000007"/>
    <s v="Jul"/>
    <n v="2025"/>
    <n v="7"/>
  </r>
  <r>
    <s v="ORD-00228"/>
    <d v="2025-07-16T00:00:00"/>
    <s v="Dress"/>
    <s v="Clothing"/>
    <s v="Physical Store"/>
    <s v="Abuja"/>
    <s v="New"/>
    <x v="0"/>
    <n v="1"/>
    <n v="50485"/>
    <n v="50485"/>
    <n v="0"/>
    <n v="0"/>
    <n v="50485"/>
    <n v="31185.91"/>
    <n v="19299.09"/>
    <s v="Jul"/>
    <n v="2025"/>
    <n v="7"/>
  </r>
  <r>
    <s v="ORD-00030"/>
    <d v="2025-07-16T00:00:00"/>
    <s v="Sandals"/>
    <s v="Footwear"/>
    <s v="Website"/>
    <s v="Lagos"/>
    <s v="New"/>
    <x v="3"/>
    <n v="2"/>
    <n v="27788"/>
    <n v="55576"/>
    <n v="11115.2"/>
    <n v="0.2"/>
    <n v="44460.800000000003"/>
    <n v="31702.76"/>
    <n v="12758.040000000005"/>
    <s v="Jul"/>
    <n v="2025"/>
    <n v="7"/>
  </r>
  <r>
    <s v="ORD-01158"/>
    <d v="2025-07-17T00:00:00"/>
    <s v="Sneakers"/>
    <s v="Footwear"/>
    <s v="WhatsApp"/>
    <s v="Abuja"/>
    <s v="New"/>
    <x v="0"/>
    <n v="2"/>
    <n v="66284"/>
    <n v="132568"/>
    <n v="0"/>
    <n v="0"/>
    <n v="132568"/>
    <n v="86020.87"/>
    <n v="46547.130000000005"/>
    <s v="Jul"/>
    <n v="2025"/>
    <n v="7"/>
  </r>
  <r>
    <s v="ORD-00142"/>
    <d v="2025-07-17T00:00:00"/>
    <s v="Sandals"/>
    <s v="Footwear"/>
    <s v="Physical Store"/>
    <s v="Rivers"/>
    <s v="New"/>
    <x v="3"/>
    <n v="1"/>
    <n v="30206"/>
    <n v="30206"/>
    <n v="3020.6"/>
    <n v="0.1"/>
    <n v="27185.4"/>
    <n v="20322.77"/>
    <n v="6862.630000000001"/>
    <s v="Jul"/>
    <n v="2025"/>
    <n v="7"/>
  </r>
  <r>
    <s v="ORD-00116"/>
    <d v="2025-07-17T00:00:00"/>
    <s v="Cap"/>
    <s v="Accessories"/>
    <s v="Instagram"/>
    <s v="Oyo"/>
    <s v="New"/>
    <x v="0"/>
    <n v="1"/>
    <n v="12078"/>
    <n v="12078"/>
    <n v="0"/>
    <n v="0"/>
    <n v="12078"/>
    <n v="6381.76"/>
    <n v="5696.24"/>
    <s v="Jul"/>
    <n v="2025"/>
    <n v="7"/>
  </r>
  <r>
    <s v="ORD-00042"/>
    <d v="2025-07-18T00:00:00"/>
    <s v="Jeans"/>
    <s v="Clothing"/>
    <s v="Website"/>
    <s v="Delta"/>
    <s v="New"/>
    <x v="3"/>
    <n v="2"/>
    <n v="40554"/>
    <n v="81108"/>
    <n v="8110.8"/>
    <n v="0.1"/>
    <n v="72997.2"/>
    <n v="51958.2"/>
    <n v="21039"/>
    <s v="Jul"/>
    <n v="2025"/>
    <n v="7"/>
  </r>
  <r>
    <s v="ORD-00262"/>
    <d v="2025-07-19T00:00:00"/>
    <s v="Dress"/>
    <s v="Clothing"/>
    <s v="Website"/>
    <s v="Abuja"/>
    <s v="Returning"/>
    <x v="0"/>
    <n v="2"/>
    <n v="48891"/>
    <n v="97782"/>
    <n v="0"/>
    <n v="0"/>
    <n v="97782"/>
    <n v="54891"/>
    <n v="42891"/>
    <s v="Jul"/>
    <n v="2025"/>
    <n v="7"/>
  </r>
  <r>
    <s v="ORD-00052"/>
    <d v="2025-07-19T00:00:00"/>
    <s v="Dress"/>
    <s v="Clothing"/>
    <s v="Instagram"/>
    <s v="Rivers"/>
    <s v="Returning"/>
    <x v="0"/>
    <n v="2"/>
    <n v="49721"/>
    <n v="99442"/>
    <n v="0"/>
    <n v="0"/>
    <n v="99442"/>
    <n v="58915.34"/>
    <n v="40526.660000000003"/>
    <s v="Jul"/>
    <n v="2025"/>
    <n v="7"/>
  </r>
  <r>
    <s v="ORD-00863"/>
    <d v="2025-07-20T00:00:00"/>
    <s v="Belt"/>
    <s v="Accessories"/>
    <s v="Instagram"/>
    <s v="Rivers"/>
    <s v="Returning"/>
    <x v="3"/>
    <n v="3"/>
    <n v="14656"/>
    <n v="43968"/>
    <n v="6595.2"/>
    <n v="0.15"/>
    <n v="37372.800000000003"/>
    <n v="23413.599999999999"/>
    <n v="13959.200000000004"/>
    <s v="Jul"/>
    <n v="2025"/>
    <n v="7"/>
  </r>
  <r>
    <s v="ORD-00436"/>
    <d v="2025-07-22T00:00:00"/>
    <s v="Belt"/>
    <s v="Accessories"/>
    <s v="Instagram"/>
    <s v="Abuja"/>
    <s v="New"/>
    <x v="0"/>
    <n v="2"/>
    <n v="15578"/>
    <n v="31156"/>
    <n v="0"/>
    <n v="0"/>
    <n v="31156"/>
    <n v="19027.509999999998"/>
    <n v="12128.490000000002"/>
    <s v="Jul"/>
    <n v="2025"/>
    <n v="7"/>
  </r>
  <r>
    <s v="ORD-00263"/>
    <d v="2025-07-23T00:00:00"/>
    <s v="Handbag"/>
    <s v="Accessories"/>
    <s v="Physical Store"/>
    <s v="Abuja"/>
    <s v="New"/>
    <x v="0"/>
    <n v="4"/>
    <n v="45073"/>
    <n v="180292"/>
    <n v="0"/>
    <n v="0"/>
    <n v="180292"/>
    <n v="105034.41"/>
    <n v="75257.59"/>
    <s v="Jul"/>
    <n v="2025"/>
    <n v="7"/>
  </r>
  <r>
    <s v="ORD-00296"/>
    <d v="2025-07-23T00:00:00"/>
    <s v="Handbag"/>
    <s v="Accessories"/>
    <s v="Physical Store"/>
    <s v="Oyo"/>
    <s v="New"/>
    <x v="0"/>
    <n v="2"/>
    <n v="44505"/>
    <n v="89010"/>
    <n v="0"/>
    <n v="0"/>
    <n v="89010"/>
    <n v="59014.71"/>
    <n v="29995.29"/>
    <s v="Jul"/>
    <n v="2025"/>
    <n v="7"/>
  </r>
  <r>
    <s v="ORD-00729"/>
    <d v="2025-07-27T00:00:00"/>
    <s v="Jeans"/>
    <s v="Clothing"/>
    <s v="Instagram"/>
    <s v="Rivers"/>
    <s v="New"/>
    <x v="0"/>
    <n v="4"/>
    <n v="42402"/>
    <n v="169608"/>
    <n v="0"/>
    <n v="0"/>
    <n v="169608"/>
    <n v="102694.13"/>
    <n v="66913.87"/>
    <s v="Jul"/>
    <n v="2025"/>
    <n v="7"/>
  </r>
  <r>
    <s v="ORD-00776"/>
    <d v="2025-07-27T00:00:00"/>
    <s v="Jeans"/>
    <s v="Clothing"/>
    <s v="Instagram"/>
    <s v="Oyo"/>
    <s v="Returning"/>
    <x v="3"/>
    <n v="3"/>
    <n v="42288"/>
    <n v="126864"/>
    <n v="6343.2"/>
    <n v="0.05"/>
    <n v="120520.8"/>
    <n v="75806.06"/>
    <n v="44714.740000000005"/>
    <s v="Jul"/>
    <n v="2025"/>
    <n v="7"/>
  </r>
  <r>
    <s v="ORD-00293"/>
    <d v="2025-07-28T00:00:00"/>
    <s v="Hoodie"/>
    <s v="Clothing"/>
    <s v="Instagram"/>
    <s v="Rivers"/>
    <s v="Returning"/>
    <x v="3"/>
    <n v="2"/>
    <n v="35913"/>
    <n v="71826"/>
    <n v="3591.3"/>
    <n v="0.05"/>
    <n v="68234.7"/>
    <n v="35078.6"/>
    <n v="33156.1"/>
    <s v="Jul"/>
    <n v="2025"/>
    <n v="7"/>
  </r>
  <r>
    <s v="ORD-00872"/>
    <d v="2025-07-28T00:00:00"/>
    <s v="Sneakers"/>
    <s v="Footwear"/>
    <s v="Physical Store"/>
    <s v="Rivers"/>
    <s v="New"/>
    <x v="0"/>
    <n v="4"/>
    <n v="63782"/>
    <n v="255128"/>
    <n v="0"/>
    <n v="0"/>
    <n v="255128"/>
    <n v="153291.39000000001"/>
    <n v="101836.60999999999"/>
    <s v="Jul"/>
    <n v="2025"/>
    <n v="7"/>
  </r>
  <r>
    <s v="ORD-00787"/>
    <d v="2025-07-28T00:00:00"/>
    <s v="Hoodie"/>
    <s v="Clothing"/>
    <s v="Physical Store"/>
    <s v="Rivers"/>
    <s v="Returning"/>
    <x v="3"/>
    <n v="3"/>
    <n v="36998"/>
    <n v="110994"/>
    <n v="11099.4"/>
    <n v="0.1"/>
    <n v="99894.6"/>
    <n v="71093.09"/>
    <n v="28801.510000000009"/>
    <s v="Jul"/>
    <n v="2025"/>
    <n v="7"/>
  </r>
  <r>
    <s v="ORD-01137"/>
    <d v="2025-07-30T00:00:00"/>
    <s v="Dress"/>
    <s v="Clothing"/>
    <s v="WhatsApp"/>
    <s v="Rivers"/>
    <s v="Returning"/>
    <x v="3"/>
    <n v="1"/>
    <n v="49477"/>
    <n v="49477"/>
    <n v="7421.55"/>
    <n v="0.15"/>
    <n v="42055.45"/>
    <n v="28961.34"/>
    <n v="13094.109999999997"/>
    <s v="Jul"/>
    <n v="2025"/>
    <n v="7"/>
  </r>
  <r>
    <s v="ORD-00125"/>
    <d v="2025-07-31T00:00:00"/>
    <s v="Sneakers"/>
    <s v="Footwear"/>
    <s v="Physical Store"/>
    <s v="Abuja"/>
    <s v="New"/>
    <x v="0"/>
    <n v="2"/>
    <n v="68309"/>
    <n v="136618"/>
    <n v="6830.9"/>
    <n v="0.05"/>
    <n v="129787.1"/>
    <n v="89617.66"/>
    <n v="40169.440000000002"/>
    <s v="Jul"/>
    <n v="2025"/>
    <n v="7"/>
  </r>
  <r>
    <s v="ORD-00586"/>
    <d v="2025-07-31T00:00:00"/>
    <s v="Dress"/>
    <s v="Clothing"/>
    <s v="Physical Store"/>
    <s v="Abuja"/>
    <s v="Returning"/>
    <x v="0"/>
    <n v="4"/>
    <n v="46554"/>
    <n v="186216"/>
    <n v="0"/>
    <n v="0"/>
    <n v="186216"/>
    <n v="112090.45"/>
    <n v="74125.55"/>
    <s v="Jul"/>
    <n v="2025"/>
    <n v="7"/>
  </r>
  <r>
    <s v="ORD-00941"/>
    <d v="2025-08-01T00:00:00"/>
    <s v="Handbag"/>
    <s v="Accessories"/>
    <s v="Instagram"/>
    <s v="Lagos"/>
    <s v="New"/>
    <x v="0"/>
    <n v="3"/>
    <n v="47575"/>
    <n v="142725"/>
    <n v="0"/>
    <n v="0"/>
    <n v="142725"/>
    <n v="95531.78"/>
    <n v="47193.22"/>
    <s v="Aug"/>
    <n v="2025"/>
    <n v="8"/>
  </r>
  <r>
    <s v="ORD-00798"/>
    <d v="2025-08-01T00:00:00"/>
    <s v="Dress"/>
    <s v="Clothing"/>
    <s v="WhatsApp"/>
    <s v="Abuja"/>
    <s v="New"/>
    <x v="0"/>
    <n v="1"/>
    <n v="49593"/>
    <n v="49593"/>
    <n v="0"/>
    <n v="0"/>
    <n v="49593"/>
    <n v="24708.59"/>
    <n v="24884.41"/>
    <s v="Aug"/>
    <n v="2025"/>
    <n v="8"/>
  </r>
  <r>
    <s v="ORD-01183"/>
    <d v="2025-08-02T00:00:00"/>
    <s v="Cap"/>
    <s v="Accessories"/>
    <s v="WhatsApp"/>
    <s v="Rivers"/>
    <s v="New"/>
    <x v="0"/>
    <n v="2"/>
    <n v="12194"/>
    <n v="24388"/>
    <n v="0"/>
    <n v="0"/>
    <n v="24388"/>
    <n v="13604.43"/>
    <n v="10783.57"/>
    <s v="Aug"/>
    <n v="2025"/>
    <n v="8"/>
  </r>
  <r>
    <s v="ORD-00337"/>
    <d v="2025-08-03T00:00:00"/>
    <s v="Polo Shirt"/>
    <s v="Clothing"/>
    <s v="Website"/>
    <s v="Rivers"/>
    <s v="Returning"/>
    <x v="0"/>
    <n v="1"/>
    <n v="26487"/>
    <n v="26487"/>
    <n v="2648.7"/>
    <n v="0.1"/>
    <n v="23838.3"/>
    <n v="14543.91"/>
    <n v="9294.39"/>
    <s v="Aug"/>
    <n v="2025"/>
    <n v="8"/>
  </r>
  <r>
    <s v="ORD-01146"/>
    <d v="2025-08-07T00:00:00"/>
    <s v="Sandals"/>
    <s v="Footwear"/>
    <s v="Website"/>
    <s v="Lagos"/>
    <s v="Returning"/>
    <x v="0"/>
    <n v="1"/>
    <n v="27619"/>
    <n v="27619"/>
    <n v="0"/>
    <n v="0"/>
    <n v="27619"/>
    <n v="15830.5"/>
    <n v="11788.5"/>
    <s v="Aug"/>
    <n v="2025"/>
    <n v="8"/>
  </r>
  <r>
    <s v="ORD-00202"/>
    <d v="2025-08-09T00:00:00"/>
    <s v="T-Shirt"/>
    <s v="Clothing"/>
    <s v="Instagram"/>
    <s v="Oyo"/>
    <s v="Returning"/>
    <x v="0"/>
    <n v="1"/>
    <n v="16801"/>
    <n v="16801"/>
    <n v="0"/>
    <n v="0"/>
    <n v="16801"/>
    <n v="10341.15"/>
    <n v="6459.85"/>
    <s v="Aug"/>
    <n v="2025"/>
    <n v="8"/>
  </r>
  <r>
    <s v="ORD-01005"/>
    <d v="2025-08-10T00:00:00"/>
    <s v="Jeans"/>
    <s v="Clothing"/>
    <s v="Physical Store"/>
    <s v="Rivers"/>
    <s v="New"/>
    <x v="0"/>
    <n v="1"/>
    <n v="39875"/>
    <n v="39875"/>
    <n v="0"/>
    <n v="0"/>
    <n v="39875"/>
    <n v="19592.22"/>
    <n v="20282.78"/>
    <s v="Aug"/>
    <n v="2025"/>
    <n v="8"/>
  </r>
  <r>
    <s v="ORD-00447"/>
    <d v="2025-08-10T00:00:00"/>
    <s v="Hoodie"/>
    <s v="Clothing"/>
    <s v="Instagram"/>
    <s v="Abuja"/>
    <s v="Returning"/>
    <x v="0"/>
    <n v="4"/>
    <n v="38699"/>
    <n v="154796"/>
    <n v="0"/>
    <n v="0"/>
    <n v="154796"/>
    <n v="104086.64"/>
    <n v="50709.36"/>
    <s v="Aug"/>
    <n v="2025"/>
    <n v="8"/>
  </r>
  <r>
    <s v="ORD-00766"/>
    <d v="2025-08-10T00:00:00"/>
    <s v="Handbag"/>
    <s v="Accessories"/>
    <s v="Website"/>
    <s v="Oyo"/>
    <s v="New"/>
    <x v="0"/>
    <n v="3"/>
    <n v="42106"/>
    <n v="126318"/>
    <n v="0"/>
    <n v="0"/>
    <n v="126318"/>
    <n v="84943.88"/>
    <n v="41374.119999999995"/>
    <s v="Aug"/>
    <n v="2025"/>
    <n v="8"/>
  </r>
  <r>
    <s v="ORD-00918"/>
    <d v="2025-08-12T00:00:00"/>
    <s v="T-Shirt"/>
    <s v="Clothing"/>
    <s v="Instagram"/>
    <s v="Lagos"/>
    <s v="New"/>
    <x v="0"/>
    <n v="3"/>
    <n v="18108"/>
    <n v="54324"/>
    <n v="0"/>
    <n v="0"/>
    <n v="54324"/>
    <n v="30411.759999999998"/>
    <n v="23912.240000000002"/>
    <s v="Aug"/>
    <n v="2025"/>
    <n v="8"/>
  </r>
  <r>
    <s v="ORD-00080"/>
    <d v="2025-08-15T00:00:00"/>
    <s v="Cap"/>
    <s v="Accessories"/>
    <s v="Physical Store"/>
    <s v="Lagos"/>
    <s v="New"/>
    <x v="0"/>
    <n v="1"/>
    <n v="12434"/>
    <n v="12434"/>
    <n v="0"/>
    <n v="0"/>
    <n v="12434"/>
    <n v="6214.96"/>
    <n v="6219.04"/>
    <s v="Aug"/>
    <n v="2025"/>
    <n v="8"/>
  </r>
  <r>
    <s v="ORD-00978"/>
    <d v="2025-08-15T00:00:00"/>
    <s v="Sandals"/>
    <s v="Footwear"/>
    <s v="Physical Store"/>
    <s v="Delta"/>
    <s v="New"/>
    <x v="0"/>
    <n v="3"/>
    <n v="31792"/>
    <n v="95376"/>
    <n v="0"/>
    <n v="0"/>
    <n v="95376"/>
    <n v="45933.69"/>
    <n v="49442.31"/>
    <s v="Aug"/>
    <n v="2025"/>
    <n v="8"/>
  </r>
  <r>
    <s v="ORD-01090"/>
    <d v="2025-08-16T00:00:00"/>
    <s v="Belt"/>
    <s v="Accessories"/>
    <s v="Website"/>
    <s v="Abuja"/>
    <s v="Returning"/>
    <x v="0"/>
    <n v="2"/>
    <n v="15216"/>
    <n v="30432"/>
    <n v="0"/>
    <n v="0"/>
    <n v="30432"/>
    <n v="18144.21"/>
    <n v="12287.79"/>
    <s v="Aug"/>
    <n v="2025"/>
    <n v="8"/>
  </r>
  <r>
    <s v="ORD-00699"/>
    <d v="2025-08-17T00:00:00"/>
    <s v="Hoodie"/>
    <s v="Clothing"/>
    <s v="Instagram"/>
    <s v="Lagos"/>
    <s v="New"/>
    <x v="0"/>
    <n v="1"/>
    <n v="37189"/>
    <n v="37189"/>
    <n v="1859.45"/>
    <n v="0.05"/>
    <n v="35329.550000000003"/>
    <n v="21177.45"/>
    <n v="14152.100000000002"/>
    <s v="Aug"/>
    <n v="2025"/>
    <n v="8"/>
  </r>
  <r>
    <s v="ORD-00415"/>
    <d v="2025-08-18T00:00:00"/>
    <s v="Sneakers"/>
    <s v="Footwear"/>
    <s v="Physical Store"/>
    <s v="Oyo"/>
    <s v="New"/>
    <x v="0"/>
    <n v="2"/>
    <n v="67148"/>
    <n v="134296"/>
    <n v="0"/>
    <n v="0"/>
    <n v="134296"/>
    <n v="81526.36"/>
    <n v="52769.64"/>
    <s v="Aug"/>
    <n v="2025"/>
    <n v="8"/>
  </r>
  <r>
    <s v="ORD-00812"/>
    <d v="2025-08-20T00:00:00"/>
    <s v="Sandals"/>
    <s v="Footwear"/>
    <s v="Instagram"/>
    <s v="Delta"/>
    <s v="New"/>
    <x v="0"/>
    <n v="5"/>
    <n v="31309"/>
    <n v="156545"/>
    <n v="0"/>
    <n v="0"/>
    <n v="156545"/>
    <n v="79621.34"/>
    <n v="76923.66"/>
    <s v="Aug"/>
    <n v="2025"/>
    <n v="8"/>
  </r>
  <r>
    <s v="ORD-00037"/>
    <d v="2025-08-23T00:00:00"/>
    <s v="Hoodie"/>
    <s v="Clothing"/>
    <s v="Physical Store"/>
    <s v="Oyo"/>
    <s v="Returning"/>
    <x v="0"/>
    <n v="3"/>
    <n v="39932"/>
    <n v="119796"/>
    <n v="0"/>
    <n v="0"/>
    <n v="119796"/>
    <n v="70547.600000000006"/>
    <n v="49248.399999999994"/>
    <s v="Aug"/>
    <n v="2025"/>
    <n v="8"/>
  </r>
  <r>
    <s v="ORD-00778"/>
    <d v="2025-08-23T00:00:00"/>
    <s v="Cap"/>
    <s v="Accessories"/>
    <s v="WhatsApp"/>
    <s v="Oyo"/>
    <s v="New"/>
    <x v="0"/>
    <n v="3"/>
    <n v="12466"/>
    <n v="37398"/>
    <n v="0"/>
    <n v="0"/>
    <n v="37398"/>
    <n v="23627.23"/>
    <n v="13770.77"/>
    <s v="Aug"/>
    <n v="2025"/>
    <n v="8"/>
  </r>
  <r>
    <s v="ORD-00633"/>
    <d v="2025-08-26T00:00:00"/>
    <s v="T-Shirt"/>
    <s v="Clothing"/>
    <s v="Website"/>
    <s v="Delta"/>
    <s v="Returning"/>
    <x v="0"/>
    <n v="2"/>
    <n v="17884"/>
    <n v="35768"/>
    <n v="5365.2"/>
    <n v="0.15"/>
    <n v="30402.799999999999"/>
    <n v="17404.34"/>
    <n v="12998.46"/>
    <s v="Aug"/>
    <n v="2025"/>
    <n v="8"/>
  </r>
  <r>
    <s v="ORD-00853"/>
    <d v="2025-08-26T00:00:00"/>
    <s v="Dress"/>
    <s v="Clothing"/>
    <s v="Website"/>
    <s v="Lagos"/>
    <s v="New"/>
    <x v="0"/>
    <n v="2"/>
    <n v="52153"/>
    <n v="104306"/>
    <n v="10430.6"/>
    <n v="0.1"/>
    <n v="93875.4"/>
    <n v="70093.88"/>
    <n v="23781.51999999999"/>
    <s v="Aug"/>
    <n v="2025"/>
    <n v="8"/>
  </r>
  <r>
    <s v="ORD-00389"/>
    <d v="2025-08-27T00:00:00"/>
    <s v="T-Shirt"/>
    <s v="Clothing"/>
    <s v="WhatsApp"/>
    <s v="Lagos"/>
    <s v="Returning"/>
    <x v="0"/>
    <n v="1"/>
    <n v="17236"/>
    <n v="17236"/>
    <n v="1723.6"/>
    <n v="0.1"/>
    <n v="15512.4"/>
    <n v="9436.1299999999992"/>
    <n v="6076.27"/>
    <s v="Aug"/>
    <n v="2025"/>
    <n v="8"/>
  </r>
  <r>
    <s v="ORD-00253"/>
    <d v="2025-08-29T00:00:00"/>
    <s v="Handbag"/>
    <s v="Accessories"/>
    <s v="Physical Store"/>
    <s v="Delta"/>
    <s v="Returning"/>
    <x v="0"/>
    <n v="1"/>
    <n v="47768"/>
    <n v="47768"/>
    <n v="0"/>
    <n v="0"/>
    <n v="47768"/>
    <n v="24844.639999999999"/>
    <n v="22923.360000000001"/>
    <s v="Aug"/>
    <n v="2025"/>
    <n v="8"/>
  </r>
  <r>
    <s v="ORD-00166"/>
    <d v="2025-08-31T00:00:00"/>
    <s v="Sandals"/>
    <s v="Footwear"/>
    <s v="Physical Store"/>
    <s v="Delta"/>
    <s v="New"/>
    <x v="0"/>
    <n v="3"/>
    <n v="31949"/>
    <n v="95847"/>
    <n v="0"/>
    <n v="0"/>
    <n v="95847"/>
    <n v="59901.62"/>
    <n v="35945.379999999997"/>
    <s v="Aug"/>
    <n v="2025"/>
    <n v="8"/>
  </r>
  <r>
    <s v="ORD-01011"/>
    <d v="2025-09-01T00:00:00"/>
    <s v="Cap"/>
    <s v="Accessories"/>
    <s v="Instagram"/>
    <s v="Abuja"/>
    <s v="Returning"/>
    <x v="0"/>
    <n v="2"/>
    <n v="11651"/>
    <n v="23302"/>
    <n v="0"/>
    <n v="0"/>
    <n v="23302"/>
    <n v="13499.89"/>
    <n v="9802.11"/>
    <s v="Sep"/>
    <n v="2025"/>
    <n v="9"/>
  </r>
  <r>
    <s v="ORD-00994"/>
    <d v="2025-09-01T00:00:00"/>
    <s v="Dress"/>
    <s v="Clothing"/>
    <s v="Physical Store"/>
    <s v="Lagos"/>
    <s v="New"/>
    <x v="0"/>
    <n v="3"/>
    <n v="51687"/>
    <n v="155061"/>
    <n v="0"/>
    <n v="0"/>
    <n v="155061"/>
    <n v="90229.46"/>
    <n v="64831.539999999994"/>
    <s v="Sep"/>
    <n v="2025"/>
    <n v="9"/>
  </r>
  <r>
    <s v="ORD-00303"/>
    <d v="2025-09-04T00:00:00"/>
    <s v="T-Shirt"/>
    <s v="Clothing"/>
    <s v="Website"/>
    <s v="Oyo"/>
    <s v="Returning"/>
    <x v="0"/>
    <n v="4"/>
    <n v="17463"/>
    <n v="69852"/>
    <n v="0"/>
    <n v="0"/>
    <n v="69852"/>
    <n v="43276.34"/>
    <n v="26575.660000000003"/>
    <s v="Sep"/>
    <n v="2025"/>
    <n v="9"/>
  </r>
  <r>
    <s v="ORD-00102"/>
    <d v="2025-09-04T00:00:00"/>
    <s v="Handbag"/>
    <s v="Accessories"/>
    <s v="WhatsApp"/>
    <s v="Abuja"/>
    <s v="Returning"/>
    <x v="0"/>
    <n v="5"/>
    <n v="45167"/>
    <n v="225835"/>
    <n v="0"/>
    <n v="0"/>
    <n v="225835"/>
    <n v="144211.66"/>
    <n v="81623.34"/>
    <s v="Sep"/>
    <n v="2025"/>
    <n v="9"/>
  </r>
  <r>
    <s v="ORD-00701"/>
    <d v="2025-09-04T00:00:00"/>
    <s v="Polo Shirt"/>
    <s v="Clothing"/>
    <s v="Website"/>
    <s v="Lagos"/>
    <s v="New"/>
    <x v="0"/>
    <n v="4"/>
    <n v="25109"/>
    <n v="100436"/>
    <n v="0"/>
    <n v="0"/>
    <n v="100436"/>
    <n v="48225.14"/>
    <n v="52210.86"/>
    <s v="Sep"/>
    <n v="2025"/>
    <n v="9"/>
  </r>
  <r>
    <s v="ORD-01096"/>
    <d v="2025-09-06T00:00:00"/>
    <s v="Cap"/>
    <s v="Accessories"/>
    <s v="Instagram"/>
    <s v="Delta"/>
    <s v="New"/>
    <x v="0"/>
    <n v="2"/>
    <n v="12777"/>
    <n v="25554"/>
    <n v="0"/>
    <n v="0"/>
    <n v="25554"/>
    <n v="13480.75"/>
    <n v="12073.25"/>
    <s v="Sep"/>
    <n v="2025"/>
    <n v="9"/>
  </r>
  <r>
    <s v="ORD-00783"/>
    <d v="2025-09-07T00:00:00"/>
    <s v="Jeans"/>
    <s v="Clothing"/>
    <s v="Instagram"/>
    <s v="Lagos"/>
    <s v="Returning"/>
    <x v="0"/>
    <n v="1"/>
    <n v="38642"/>
    <n v="38642"/>
    <n v="0"/>
    <n v="0"/>
    <n v="38642"/>
    <n v="25626.93"/>
    <n v="13015.07"/>
    <s v="Sep"/>
    <n v="2025"/>
    <n v="9"/>
  </r>
  <r>
    <s v="ORD-00394"/>
    <d v="2025-09-08T00:00:00"/>
    <s v="Sandals"/>
    <s v="Footwear"/>
    <s v="Website"/>
    <s v="Abuja"/>
    <s v="Returning"/>
    <x v="0"/>
    <n v="4"/>
    <n v="31534"/>
    <n v="126136"/>
    <n v="0"/>
    <n v="0"/>
    <n v="126136"/>
    <n v="65571.03"/>
    <n v="60564.97"/>
    <s v="Sep"/>
    <n v="2025"/>
    <n v="9"/>
  </r>
  <r>
    <s v="ORD-01098"/>
    <d v="2025-09-11T00:00:00"/>
    <s v="Hoodie"/>
    <s v="Clothing"/>
    <s v="Website"/>
    <s v="Delta"/>
    <s v="New"/>
    <x v="0"/>
    <n v="3"/>
    <n v="38668"/>
    <n v="116004"/>
    <n v="0"/>
    <n v="0"/>
    <n v="116004"/>
    <n v="62978.03"/>
    <n v="53025.97"/>
    <s v="Sep"/>
    <n v="2025"/>
    <n v="9"/>
  </r>
  <r>
    <s v="ORD-00697"/>
    <d v="2025-09-14T00:00:00"/>
    <s v="T-Shirt"/>
    <s v="Clothing"/>
    <s v="Physical Store"/>
    <s v="Rivers"/>
    <s v="New"/>
    <x v="0"/>
    <n v="3"/>
    <n v="19101"/>
    <n v="57303"/>
    <n v="0"/>
    <n v="0"/>
    <n v="57303"/>
    <n v="28959.15"/>
    <n v="28343.85"/>
    <s v="Sep"/>
    <n v="2025"/>
    <n v="9"/>
  </r>
  <r>
    <s v="ORD-01034"/>
    <d v="2025-09-14T00:00:00"/>
    <s v="Cap"/>
    <s v="Accessories"/>
    <s v="Website"/>
    <s v="Lagos"/>
    <s v="Returning"/>
    <x v="0"/>
    <n v="3"/>
    <n v="12435"/>
    <n v="37305"/>
    <n v="0"/>
    <n v="0"/>
    <n v="37305"/>
    <n v="25294.77"/>
    <n v="12010.23"/>
    <s v="Sep"/>
    <n v="2025"/>
    <n v="9"/>
  </r>
  <r>
    <s v="ORD-00582"/>
    <d v="2025-09-15T00:00:00"/>
    <s v="T-Shirt"/>
    <s v="Clothing"/>
    <s v="Instagram"/>
    <s v="Lagos"/>
    <s v="New"/>
    <x v="0"/>
    <n v="1"/>
    <n v="18334"/>
    <n v="18334"/>
    <n v="0"/>
    <n v="0"/>
    <n v="18334"/>
    <n v="10231.57"/>
    <n v="8102.43"/>
    <s v="Sep"/>
    <n v="2025"/>
    <n v="9"/>
  </r>
  <r>
    <s v="ORD-00186"/>
    <d v="2025-09-15T00:00:00"/>
    <s v="Jeans"/>
    <s v="Clothing"/>
    <s v="Website"/>
    <s v="Abuja"/>
    <s v="Returning"/>
    <x v="0"/>
    <n v="3"/>
    <n v="43768"/>
    <n v="131304"/>
    <n v="0"/>
    <n v="0"/>
    <n v="131304"/>
    <n v="86368.81"/>
    <n v="44935.19"/>
    <s v="Sep"/>
    <n v="2025"/>
    <n v="9"/>
  </r>
  <r>
    <s v="ORD-00707"/>
    <d v="2025-09-15T00:00:00"/>
    <s v="Dress"/>
    <s v="Clothing"/>
    <s v="Instagram"/>
    <s v="Lagos"/>
    <s v="Returning"/>
    <x v="0"/>
    <n v="1"/>
    <n v="49913"/>
    <n v="49913"/>
    <n v="0"/>
    <n v="0"/>
    <n v="49913"/>
    <n v="33184.339999999997"/>
    <n v="16728.660000000003"/>
    <s v="Sep"/>
    <n v="2025"/>
    <n v="9"/>
  </r>
  <r>
    <s v="ORD-00657"/>
    <d v="2025-09-16T00:00:00"/>
    <s v="Polo Shirt"/>
    <s v="Clothing"/>
    <s v="Website"/>
    <s v="Abuja"/>
    <s v="Returning"/>
    <x v="0"/>
    <n v="1"/>
    <n v="26890"/>
    <n v="26890"/>
    <n v="1344.5"/>
    <n v="0.05"/>
    <n v="25545.5"/>
    <n v="13552.14"/>
    <n v="11993.36"/>
    <s v="Sep"/>
    <n v="2025"/>
    <n v="9"/>
  </r>
  <r>
    <s v="ORD-00265"/>
    <d v="2025-09-17T00:00:00"/>
    <s v="Sandals"/>
    <s v="Footwear"/>
    <s v="WhatsApp"/>
    <s v="Lagos"/>
    <s v="Returning"/>
    <x v="0"/>
    <n v="5"/>
    <n v="28286"/>
    <n v="141430"/>
    <n v="0"/>
    <n v="0"/>
    <n v="141430"/>
    <n v="90451.05"/>
    <n v="50978.95"/>
    <s v="Sep"/>
    <n v="2025"/>
    <n v="9"/>
  </r>
  <r>
    <s v="ORD-00826"/>
    <d v="2025-09-18T00:00:00"/>
    <s v="Belt"/>
    <s v="Accessories"/>
    <s v="Website"/>
    <s v="Lagos"/>
    <s v="New"/>
    <x v="0"/>
    <n v="1"/>
    <n v="14317"/>
    <n v="14317"/>
    <n v="1431.7"/>
    <n v="0.1"/>
    <n v="12885.3"/>
    <n v="8254.8799999999992"/>
    <n v="4630.42"/>
    <s v="Sep"/>
    <n v="2025"/>
    <n v="9"/>
  </r>
  <r>
    <s v="ORD-00201"/>
    <d v="2025-09-19T00:00:00"/>
    <s v="Jeans"/>
    <s v="Clothing"/>
    <s v="Physical Store"/>
    <s v="Lagos"/>
    <s v="New"/>
    <x v="0"/>
    <n v="1"/>
    <n v="40701"/>
    <n v="40701"/>
    <n v="2035.05"/>
    <n v="0.05"/>
    <n v="38665.949999999997"/>
    <n v="24593.919999999998"/>
    <n v="14072.029999999999"/>
    <s v="Sep"/>
    <n v="2025"/>
    <n v="9"/>
  </r>
  <r>
    <s v="ORD-00134"/>
    <d v="2025-09-19T00:00:00"/>
    <s v="Hoodie"/>
    <s v="Clothing"/>
    <s v="Instagram"/>
    <s v="Abuja"/>
    <s v="New"/>
    <x v="0"/>
    <n v="1"/>
    <n v="35232"/>
    <n v="35232"/>
    <n v="0"/>
    <n v="0"/>
    <n v="35232"/>
    <n v="23581.8"/>
    <n v="11650.2"/>
    <s v="Sep"/>
    <n v="2025"/>
    <n v="9"/>
  </r>
  <r>
    <s v="ORD-01084"/>
    <d v="2025-09-20T00:00:00"/>
    <s v="Dress"/>
    <s v="Clothing"/>
    <s v="WhatsApp"/>
    <s v="Abuja"/>
    <s v="Returning"/>
    <x v="0"/>
    <n v="3"/>
    <n v="46923"/>
    <n v="140769"/>
    <n v="0"/>
    <n v="0"/>
    <n v="140769"/>
    <n v="91288.08"/>
    <n v="49480.92"/>
    <s v="Sep"/>
    <n v="2025"/>
    <n v="9"/>
  </r>
  <r>
    <s v="ORD-00980"/>
    <d v="2025-09-23T00:00:00"/>
    <s v="Sandals"/>
    <s v="Footwear"/>
    <s v="Physical Store"/>
    <s v="Delta"/>
    <s v="Returning"/>
    <x v="0"/>
    <n v="5"/>
    <n v="27610"/>
    <n v="138050"/>
    <n v="0"/>
    <n v="0"/>
    <n v="138050"/>
    <n v="88863.96"/>
    <n v="49186.039999999994"/>
    <s v="Sep"/>
    <n v="2025"/>
    <n v="9"/>
  </r>
  <r>
    <s v="ORD-00133"/>
    <d v="2025-09-24T00:00:00"/>
    <s v="Polo Shirt"/>
    <s v="Clothing"/>
    <s v="Instagram"/>
    <s v="Abuja"/>
    <s v="New"/>
    <x v="0"/>
    <n v="3"/>
    <n v="25328"/>
    <n v="75984"/>
    <n v="11397.6"/>
    <n v="0.15"/>
    <n v="64586.400000000001"/>
    <n v="45606.720000000001"/>
    <n v="18979.68"/>
    <s v="Sep"/>
    <n v="2025"/>
    <n v="9"/>
  </r>
  <r>
    <s v="ORD-00442"/>
    <d v="2025-09-25T00:00:00"/>
    <s v="Handbag"/>
    <s v="Accessories"/>
    <s v="Website"/>
    <s v="Lagos"/>
    <s v="Returning"/>
    <x v="0"/>
    <n v="1"/>
    <n v="45019"/>
    <n v="45019"/>
    <n v="0"/>
    <n v="0"/>
    <n v="45019"/>
    <n v="27469.09"/>
    <n v="17549.91"/>
    <s v="Sep"/>
    <n v="2025"/>
    <n v="9"/>
  </r>
  <r>
    <s v="ORD-00330"/>
    <d v="2025-09-25T00:00:00"/>
    <s v="Dress"/>
    <s v="Clothing"/>
    <s v="WhatsApp"/>
    <s v="Lagos"/>
    <s v="New"/>
    <x v="0"/>
    <n v="3"/>
    <n v="48462"/>
    <n v="145386"/>
    <n v="0"/>
    <n v="0"/>
    <n v="145386"/>
    <n v="95894.720000000001"/>
    <n v="49491.28"/>
    <s v="Sep"/>
    <n v="2025"/>
    <n v="9"/>
  </r>
  <r>
    <s v="ORD-00455"/>
    <d v="2025-09-25T00:00:00"/>
    <s v="Hoodie"/>
    <s v="Clothing"/>
    <s v="Website"/>
    <s v="Lagos"/>
    <s v="New"/>
    <x v="0"/>
    <n v="1"/>
    <n v="36066"/>
    <n v="36066"/>
    <n v="3606.6"/>
    <n v="0.1"/>
    <n v="32459.4"/>
    <n v="23405.37"/>
    <n v="9054.0300000000025"/>
    <s v="Sep"/>
    <n v="2025"/>
    <n v="9"/>
  </r>
  <r>
    <s v="ORD-00630"/>
    <d v="2025-09-25T00:00:00"/>
    <s v="T-Shirt"/>
    <s v="Clothing"/>
    <s v="Website"/>
    <s v="Abuja"/>
    <s v="Returning"/>
    <x v="0"/>
    <n v="1"/>
    <n v="17345"/>
    <n v="17345"/>
    <n v="0"/>
    <n v="0"/>
    <n v="17345"/>
    <n v="11405.51"/>
    <n v="5939.49"/>
    <s v="Sep"/>
    <n v="2025"/>
    <n v="9"/>
  </r>
  <r>
    <s v="ORD-01019"/>
    <d v="2025-09-25T00:00:00"/>
    <s v="Dress"/>
    <s v="Clothing"/>
    <s v="Website"/>
    <s v="Oyo"/>
    <s v="New"/>
    <x v="0"/>
    <n v="3"/>
    <n v="53847"/>
    <n v="161541"/>
    <n v="0"/>
    <n v="0"/>
    <n v="161541"/>
    <n v="78347.87"/>
    <n v="83193.13"/>
    <s v="Sep"/>
    <n v="2025"/>
    <n v="9"/>
  </r>
  <r>
    <s v="ORD-01185"/>
    <d v="2025-09-26T00:00:00"/>
    <s v="Jeans"/>
    <s v="Clothing"/>
    <s v="WhatsApp"/>
    <s v="Abuja"/>
    <s v="Returning"/>
    <x v="0"/>
    <n v="4"/>
    <n v="45238"/>
    <n v="180952"/>
    <n v="0"/>
    <n v="0"/>
    <n v="180952"/>
    <n v="104811.8"/>
    <n v="76140.2"/>
    <s v="Sep"/>
    <n v="2025"/>
    <n v="9"/>
  </r>
  <r>
    <s v="ORD-00320"/>
    <d v="2025-09-27T00:00:00"/>
    <s v="Sandals"/>
    <s v="Footwear"/>
    <s v="Website"/>
    <s v="Rivers"/>
    <s v="New"/>
    <x v="0"/>
    <n v="2"/>
    <n v="31921"/>
    <n v="63842"/>
    <n v="0"/>
    <n v="0"/>
    <n v="63842"/>
    <n v="39280.21"/>
    <n v="24561.79"/>
    <s v="Sep"/>
    <n v="2025"/>
    <n v="9"/>
  </r>
  <r>
    <s v="ORD-00660"/>
    <d v="2025-09-30T00:00:00"/>
    <s v="Hoodie"/>
    <s v="Clothing"/>
    <s v="Instagram"/>
    <s v="Rivers"/>
    <s v="New"/>
    <x v="0"/>
    <n v="2"/>
    <n v="37726"/>
    <n v="75452"/>
    <n v="0"/>
    <n v="0"/>
    <n v="75452"/>
    <n v="46880.480000000003"/>
    <n v="28571.519999999997"/>
    <s v="Sep"/>
    <n v="2025"/>
    <n v="9"/>
  </r>
  <r>
    <s v="ORD-00218"/>
    <d v="2025-10-01T00:00:00"/>
    <s v="T-Shirt"/>
    <s v="Clothing"/>
    <s v="Physical Store"/>
    <s v="Abuja"/>
    <s v="Returning"/>
    <x v="0"/>
    <n v="1"/>
    <n v="17022"/>
    <n v="17022"/>
    <n v="0"/>
    <n v="0"/>
    <n v="17022"/>
    <n v="8802.58"/>
    <n v="8219.42"/>
    <s v="Oct"/>
    <n v="2025"/>
    <n v="10"/>
  </r>
  <r>
    <s v="ORD-00880"/>
    <d v="2025-10-01T00:00:00"/>
    <s v="Handbag"/>
    <s v="Accessories"/>
    <s v="Instagram"/>
    <s v="Lagos"/>
    <s v="Returning"/>
    <x v="0"/>
    <n v="1"/>
    <n v="45125"/>
    <n v="45125"/>
    <n v="0"/>
    <n v="0"/>
    <n v="45125"/>
    <n v="26615.48"/>
    <n v="18509.52"/>
    <s v="Oct"/>
    <n v="2025"/>
    <n v="10"/>
  </r>
  <r>
    <s v="ORD-00180"/>
    <d v="2025-10-02T00:00:00"/>
    <s v="Hoodie"/>
    <s v="Clothing"/>
    <s v="Physical Store"/>
    <s v="Oyo"/>
    <s v="New"/>
    <x v="0"/>
    <n v="1"/>
    <n v="37252"/>
    <n v="37252"/>
    <n v="1862.6"/>
    <n v="0.05"/>
    <n v="35389.4"/>
    <n v="23876.69"/>
    <n v="11512.710000000003"/>
    <s v="Oct"/>
    <n v="2025"/>
    <n v="10"/>
  </r>
  <r>
    <s v="ORD-00147"/>
    <d v="2025-10-03T00:00:00"/>
    <s v="T-Shirt"/>
    <s v="Clothing"/>
    <s v="WhatsApp"/>
    <s v="Lagos"/>
    <s v="Returning"/>
    <x v="0"/>
    <n v="2"/>
    <n v="18364"/>
    <n v="36728"/>
    <n v="0"/>
    <n v="0"/>
    <n v="36728"/>
    <n v="17769.86"/>
    <n v="18958.14"/>
    <s v="Oct"/>
    <n v="2025"/>
    <n v="10"/>
  </r>
  <r>
    <s v="ORD-00103"/>
    <d v="2025-10-04T00:00:00"/>
    <s v="Hoodie"/>
    <s v="Clothing"/>
    <s v="Website"/>
    <s v="Lagos"/>
    <s v="Returning"/>
    <x v="0"/>
    <n v="1"/>
    <n v="38122"/>
    <n v="38122"/>
    <n v="0"/>
    <n v="0"/>
    <n v="38122"/>
    <n v="22551.599999999999"/>
    <n v="15570.400000000001"/>
    <s v="Oct"/>
    <n v="2025"/>
    <n v="10"/>
  </r>
  <r>
    <s v="ORD-00637"/>
    <d v="2025-10-06T00:00:00"/>
    <s v="Belt"/>
    <s v="Accessories"/>
    <s v="Instagram"/>
    <s v="Lagos"/>
    <s v="New"/>
    <x v="0"/>
    <n v="3"/>
    <n v="14093"/>
    <n v="42279"/>
    <n v="2113.9499999999998"/>
    <n v="0.05"/>
    <n v="40165.050000000003"/>
    <n v="27730.48"/>
    <n v="12434.570000000003"/>
    <s v="Oct"/>
    <n v="2025"/>
    <n v="10"/>
  </r>
  <r>
    <s v="ORD-00129"/>
    <d v="2025-10-07T00:00:00"/>
    <s v="Belt"/>
    <s v="Accessories"/>
    <s v="Physical Store"/>
    <s v="Lagos"/>
    <s v="New"/>
    <x v="0"/>
    <n v="1"/>
    <n v="15404"/>
    <n v="15404"/>
    <n v="0"/>
    <n v="0"/>
    <n v="15404"/>
    <n v="8508.92"/>
    <n v="6895.08"/>
    <s v="Oct"/>
    <n v="2025"/>
    <n v="10"/>
  </r>
  <r>
    <s v="ORD-00724"/>
    <d v="2025-10-07T00:00:00"/>
    <s v="Sandals"/>
    <s v="Footwear"/>
    <s v="WhatsApp"/>
    <s v="Lagos"/>
    <s v="New"/>
    <x v="0"/>
    <n v="1"/>
    <n v="31098"/>
    <n v="31098"/>
    <n v="0"/>
    <n v="0"/>
    <n v="31098"/>
    <n v="16661.509999999998"/>
    <n v="14436.490000000002"/>
    <s v="Oct"/>
    <n v="2025"/>
    <n v="10"/>
  </r>
  <r>
    <s v="ORD-01008"/>
    <d v="2025-10-07T00:00:00"/>
    <s v="Polo Shirt"/>
    <s v="Clothing"/>
    <s v="Website"/>
    <s v="Lagos"/>
    <s v="New"/>
    <x v="0"/>
    <n v="2"/>
    <n v="26849"/>
    <n v="53698"/>
    <n v="0"/>
    <n v="0"/>
    <n v="53698"/>
    <n v="34776.53"/>
    <n v="18921.47"/>
    <s v="Oct"/>
    <n v="2025"/>
    <n v="10"/>
  </r>
  <r>
    <s v="ORD-00032"/>
    <d v="2025-10-08T00:00:00"/>
    <s v="Cap"/>
    <s v="Accessories"/>
    <s v="Physical Store"/>
    <s v="Lagos"/>
    <s v="New"/>
    <x v="0"/>
    <n v="1"/>
    <n v="11281"/>
    <n v="11281"/>
    <n v="0"/>
    <n v="0"/>
    <n v="11281"/>
    <n v="5738.74"/>
    <n v="5542.26"/>
    <s v="Oct"/>
    <n v="2025"/>
    <n v="10"/>
  </r>
  <r>
    <s v="ORD-00078"/>
    <d v="2025-10-09T00:00:00"/>
    <s v="Sandals"/>
    <s v="Footwear"/>
    <s v="WhatsApp"/>
    <s v="Delta"/>
    <s v="New"/>
    <x v="0"/>
    <n v="1"/>
    <n v="31084"/>
    <n v="31084"/>
    <n v="0"/>
    <n v="0"/>
    <n v="31084"/>
    <n v="16247.68"/>
    <n v="14836.32"/>
    <s v="Oct"/>
    <n v="2025"/>
    <n v="10"/>
  </r>
  <r>
    <s v="ORD-00137"/>
    <d v="2025-10-10T00:00:00"/>
    <s v="Hoodie"/>
    <s v="Clothing"/>
    <s v="Website"/>
    <s v="Lagos"/>
    <s v="Returning"/>
    <x v="0"/>
    <n v="2"/>
    <n v="36864"/>
    <n v="73728"/>
    <n v="0"/>
    <n v="0"/>
    <n v="73728"/>
    <n v="42583.1"/>
    <n v="31144.9"/>
    <s v="Oct"/>
    <n v="2025"/>
    <n v="10"/>
  </r>
  <r>
    <s v="ORD-00469"/>
    <d v="2025-10-14T00:00:00"/>
    <s v="Sandals"/>
    <s v="Footwear"/>
    <s v="Physical Store"/>
    <s v="Lagos"/>
    <s v="Returning"/>
    <x v="0"/>
    <n v="3"/>
    <n v="28147"/>
    <n v="84441"/>
    <n v="0"/>
    <n v="0"/>
    <n v="84441"/>
    <n v="54621.919999999998"/>
    <n v="29819.08"/>
    <s v="Oct"/>
    <n v="2025"/>
    <n v="10"/>
  </r>
  <r>
    <s v="ORD-00286"/>
    <d v="2025-10-15T00:00:00"/>
    <s v="Sandals"/>
    <s v="Footwear"/>
    <s v="Instagram"/>
    <s v="Oyo"/>
    <s v="New"/>
    <x v="0"/>
    <n v="3"/>
    <n v="28292"/>
    <n v="84876"/>
    <n v="0"/>
    <n v="0"/>
    <n v="84876"/>
    <n v="41203.050000000003"/>
    <n v="43672.95"/>
    <s v="Oct"/>
    <n v="2025"/>
    <n v="10"/>
  </r>
  <r>
    <s v="ORD-00745"/>
    <d v="2025-10-15T00:00:00"/>
    <s v="Dress"/>
    <s v="Clothing"/>
    <s v="Instagram"/>
    <s v="Abuja"/>
    <s v="New"/>
    <x v="0"/>
    <n v="2"/>
    <n v="46915"/>
    <n v="93830"/>
    <n v="0"/>
    <n v="0"/>
    <n v="93830"/>
    <n v="59699.47"/>
    <n v="34130.53"/>
    <s v="Oct"/>
    <n v="2025"/>
    <n v="10"/>
  </r>
  <r>
    <s v="ORD-00495"/>
    <d v="2025-10-17T00:00:00"/>
    <s v="Dress"/>
    <s v="Clothing"/>
    <s v="WhatsApp"/>
    <s v="Delta"/>
    <s v="New"/>
    <x v="0"/>
    <n v="4"/>
    <n v="48022"/>
    <n v="192088"/>
    <n v="0"/>
    <n v="0"/>
    <n v="192088"/>
    <n v="102498.05"/>
    <n v="89589.95"/>
    <s v="Oct"/>
    <n v="2025"/>
    <n v="10"/>
  </r>
  <r>
    <s v="ORD-00317"/>
    <d v="2025-10-17T00:00:00"/>
    <s v="Cap"/>
    <s v="Accessories"/>
    <s v="WhatsApp"/>
    <s v="Lagos"/>
    <s v="Returning"/>
    <x v="0"/>
    <n v="2"/>
    <n v="11093"/>
    <n v="22186"/>
    <n v="0"/>
    <n v="0"/>
    <n v="22186"/>
    <n v="14229.02"/>
    <n v="7956.98"/>
    <s v="Oct"/>
    <n v="2025"/>
    <n v="10"/>
  </r>
  <r>
    <s v="ORD-00321"/>
    <d v="2025-10-18T00:00:00"/>
    <s v="Hoodie"/>
    <s v="Clothing"/>
    <s v="Physical Store"/>
    <s v="Rivers"/>
    <s v="New"/>
    <x v="0"/>
    <n v="3"/>
    <n v="38983"/>
    <n v="116949"/>
    <n v="5847.45"/>
    <n v="0.05"/>
    <n v="111101.55"/>
    <n v="70016.460000000006"/>
    <n v="41085.089999999997"/>
    <s v="Oct"/>
    <n v="2025"/>
    <n v="10"/>
  </r>
  <r>
    <s v="ORD-00445"/>
    <d v="2025-10-19T00:00:00"/>
    <s v="Jeans"/>
    <s v="Clothing"/>
    <s v="Physical Store"/>
    <s v="Lagos"/>
    <s v="Returning"/>
    <x v="0"/>
    <n v="2"/>
    <n v="39172"/>
    <n v="78344"/>
    <n v="0"/>
    <n v="0"/>
    <n v="78344"/>
    <n v="37909.85"/>
    <n v="40434.15"/>
    <s v="Oct"/>
    <n v="2025"/>
    <n v="10"/>
  </r>
  <r>
    <s v="ORD-00239"/>
    <d v="2025-10-20T00:00:00"/>
    <s v="Sandals"/>
    <s v="Footwear"/>
    <s v="Physical Store"/>
    <s v="Rivers"/>
    <s v="Returning"/>
    <x v="0"/>
    <n v="1"/>
    <n v="31564"/>
    <n v="31564"/>
    <n v="0"/>
    <n v="0"/>
    <n v="31564"/>
    <n v="16908.57"/>
    <n v="14655.43"/>
    <s v="Oct"/>
    <n v="2025"/>
    <n v="10"/>
  </r>
  <r>
    <s v="ORD-00169"/>
    <d v="2025-10-21T00:00:00"/>
    <s v="Cap"/>
    <s v="Accessories"/>
    <s v="Instagram"/>
    <s v="Lagos"/>
    <s v="New"/>
    <x v="0"/>
    <n v="2"/>
    <n v="12666"/>
    <n v="25332"/>
    <n v="0"/>
    <n v="0"/>
    <n v="25332"/>
    <n v="16711.830000000002"/>
    <n v="8620.1699999999983"/>
    <s v="Oct"/>
    <n v="2025"/>
    <n v="10"/>
  </r>
  <r>
    <s v="ORD-01069"/>
    <d v="2025-10-22T00:00:00"/>
    <s v="Polo Shirt"/>
    <s v="Clothing"/>
    <s v="Instagram"/>
    <s v="Abuja"/>
    <s v="Returning"/>
    <x v="0"/>
    <n v="3"/>
    <n v="26951"/>
    <n v="80853"/>
    <n v="0"/>
    <n v="0"/>
    <n v="80853"/>
    <n v="45883.91"/>
    <n v="34969.089999999997"/>
    <s v="Oct"/>
    <n v="2025"/>
    <n v="10"/>
  </r>
  <r>
    <s v="ORD-00866"/>
    <d v="2025-10-22T00:00:00"/>
    <s v="Hoodie"/>
    <s v="Clothing"/>
    <s v="Website"/>
    <s v="Abuja"/>
    <s v="Returning"/>
    <x v="0"/>
    <n v="3"/>
    <n v="40072"/>
    <n v="120216"/>
    <n v="12021.6"/>
    <n v="0.1"/>
    <n v="108194.4"/>
    <n v="72353.289999999994"/>
    <n v="35841.11"/>
    <s v="Oct"/>
    <n v="2025"/>
    <n v="10"/>
  </r>
  <r>
    <s v="ORD-00705"/>
    <d v="2025-10-23T00:00:00"/>
    <s v="Handbag"/>
    <s v="Accessories"/>
    <s v="WhatsApp"/>
    <s v="Oyo"/>
    <s v="Returning"/>
    <x v="0"/>
    <n v="2"/>
    <n v="47450"/>
    <n v="94900"/>
    <n v="0"/>
    <n v="0"/>
    <n v="94900"/>
    <n v="51981.47"/>
    <n v="42918.53"/>
    <s v="Oct"/>
    <n v="2025"/>
    <n v="10"/>
  </r>
  <r>
    <s v="ORD-00892"/>
    <d v="2025-10-23T00:00:00"/>
    <s v="Polo Shirt"/>
    <s v="Clothing"/>
    <s v="WhatsApp"/>
    <s v="Delta"/>
    <s v="New"/>
    <x v="0"/>
    <n v="4"/>
    <n v="26378"/>
    <n v="105512"/>
    <n v="0"/>
    <n v="0"/>
    <n v="105512"/>
    <n v="59948.86"/>
    <n v="45563.14"/>
    <s v="Oct"/>
    <n v="2025"/>
    <n v="10"/>
  </r>
  <r>
    <s v="ORD-00408"/>
    <d v="2025-10-24T00:00:00"/>
    <s v="Dress"/>
    <s v="Clothing"/>
    <s v="Instagram"/>
    <s v="Oyo"/>
    <s v="Returning"/>
    <x v="0"/>
    <n v="2"/>
    <n v="52440"/>
    <n v="104880"/>
    <n v="0"/>
    <n v="0"/>
    <n v="104880"/>
    <n v="58629.04"/>
    <n v="46250.96"/>
    <s v="Oct"/>
    <n v="2025"/>
    <n v="10"/>
  </r>
  <r>
    <s v="ORD-00885"/>
    <d v="2025-10-25T00:00:00"/>
    <s v="Hoodie"/>
    <s v="Clothing"/>
    <s v="Instagram"/>
    <s v="Lagos"/>
    <s v="Returning"/>
    <x v="0"/>
    <n v="3"/>
    <n v="40038"/>
    <n v="120114"/>
    <n v="0"/>
    <n v="0"/>
    <n v="120114"/>
    <n v="75073.490000000005"/>
    <n v="45040.509999999995"/>
    <s v="Oct"/>
    <n v="2025"/>
    <n v="10"/>
  </r>
  <r>
    <s v="ORD-01035"/>
    <d v="2025-10-25T00:00:00"/>
    <s v="Polo Shirt"/>
    <s v="Clothing"/>
    <s v="WhatsApp"/>
    <s v="Lagos"/>
    <s v="New"/>
    <x v="0"/>
    <n v="2"/>
    <n v="24498"/>
    <n v="48996"/>
    <n v="2449.8000000000002"/>
    <n v="0.05"/>
    <n v="46546.2"/>
    <n v="27313.22"/>
    <n v="19232.979999999996"/>
    <s v="Oct"/>
    <n v="2025"/>
    <n v="10"/>
  </r>
  <r>
    <s v="ORD-00140"/>
    <d v="2025-10-25T00:00:00"/>
    <s v="Jeans"/>
    <s v="Clothing"/>
    <s v="Instagram"/>
    <s v="Lagos"/>
    <s v="New"/>
    <x v="0"/>
    <n v="1"/>
    <n v="40456"/>
    <n v="40456"/>
    <n v="0"/>
    <n v="0"/>
    <n v="40456"/>
    <n v="23931.41"/>
    <n v="16524.59"/>
    <s v="Oct"/>
    <n v="2025"/>
    <n v="10"/>
  </r>
  <r>
    <s v="ORD-00790"/>
    <d v="2025-10-26T00:00:00"/>
    <s v="Handbag"/>
    <s v="Accessories"/>
    <s v="Website"/>
    <s v="Abuja"/>
    <s v="New"/>
    <x v="0"/>
    <n v="1"/>
    <n v="44596"/>
    <n v="44596"/>
    <n v="0"/>
    <n v="0"/>
    <n v="44596"/>
    <n v="23177.88"/>
    <n v="21418.12"/>
    <s v="Oct"/>
    <n v="2025"/>
    <n v="10"/>
  </r>
  <r>
    <s v="ORD-00668"/>
    <d v="2025-10-27T00:00:00"/>
    <s v="T-Shirt"/>
    <s v="Clothing"/>
    <s v="Website"/>
    <s v="Rivers"/>
    <s v="New"/>
    <x v="0"/>
    <n v="3"/>
    <n v="17757"/>
    <n v="53271"/>
    <n v="0"/>
    <n v="0"/>
    <n v="53271"/>
    <n v="29487.72"/>
    <n v="23783.279999999999"/>
    <s v="Oct"/>
    <n v="2025"/>
    <n v="10"/>
  </r>
  <r>
    <s v="ORD-00893"/>
    <d v="2025-10-27T00:00:00"/>
    <s v="Cap"/>
    <s v="Accessories"/>
    <s v="Physical Store"/>
    <s v="Rivers"/>
    <s v="New"/>
    <x v="0"/>
    <n v="1"/>
    <n v="11597"/>
    <n v="11597"/>
    <n v="0"/>
    <n v="0"/>
    <n v="11597"/>
    <n v="5936.25"/>
    <n v="5660.75"/>
    <s v="Oct"/>
    <n v="2025"/>
    <n v="10"/>
  </r>
  <r>
    <s v="ORD-00991"/>
    <d v="2025-10-27T00:00:00"/>
    <s v="Sneakers"/>
    <s v="Footwear"/>
    <s v="Physical Store"/>
    <s v="Delta"/>
    <s v="Returning"/>
    <x v="0"/>
    <n v="1"/>
    <n v="64209"/>
    <n v="64209"/>
    <n v="0"/>
    <n v="0"/>
    <n v="64209"/>
    <n v="41074.449999999997"/>
    <n v="23134.550000000003"/>
    <s v="Oct"/>
    <n v="2025"/>
    <n v="10"/>
  </r>
  <r>
    <s v="ORD-00626"/>
    <d v="2025-10-28T00:00:00"/>
    <s v="Sneakers"/>
    <s v="Footwear"/>
    <s v="Website"/>
    <s v="Rivers"/>
    <s v="New"/>
    <x v="0"/>
    <n v="1"/>
    <n v="66109"/>
    <n v="66109"/>
    <n v="0"/>
    <n v="0"/>
    <n v="66109"/>
    <n v="32010.74"/>
    <n v="34098.259999999995"/>
    <s v="Oct"/>
    <n v="2025"/>
    <n v="10"/>
  </r>
  <r>
    <s v="ORD-00504"/>
    <d v="2025-10-29T00:00:00"/>
    <s v="Polo Shirt"/>
    <s v="Clothing"/>
    <s v="Instagram"/>
    <s v="Lagos"/>
    <s v="Returning"/>
    <x v="0"/>
    <n v="4"/>
    <n v="23769"/>
    <n v="95076"/>
    <n v="0"/>
    <n v="0"/>
    <n v="95076"/>
    <n v="58269.03"/>
    <n v="36806.97"/>
    <s v="Oct"/>
    <n v="2025"/>
    <n v="10"/>
  </r>
  <r>
    <s v="ORD-00911"/>
    <d v="2025-10-31T00:00:00"/>
    <s v="Dress"/>
    <s v="Clothing"/>
    <s v="Physical Store"/>
    <s v="Lagos"/>
    <s v="New"/>
    <x v="0"/>
    <n v="2"/>
    <n v="47174"/>
    <n v="94348"/>
    <n v="0"/>
    <n v="0"/>
    <n v="94348"/>
    <n v="45615.95"/>
    <n v="48732.05"/>
    <s v="Oct"/>
    <n v="2025"/>
    <n v="10"/>
  </r>
  <r>
    <s v="ORD-00628"/>
    <d v="2025-11-02T00:00:00"/>
    <s v="Hoodie"/>
    <s v="Clothing"/>
    <s v="Instagram"/>
    <s v="Lagos"/>
    <s v="Returning"/>
    <x v="4"/>
    <n v="2"/>
    <n v="37670"/>
    <n v="75340"/>
    <n v="7534"/>
    <n v="0.1"/>
    <n v="67806"/>
    <n v="40155.72"/>
    <n v="27650.28"/>
    <s v="Nov"/>
    <n v="2025"/>
    <n v="11"/>
  </r>
  <r>
    <s v="ORD-00487"/>
    <d v="2025-11-02T00:00:00"/>
    <s v="Belt"/>
    <s v="Accessories"/>
    <s v="Website"/>
    <s v="Oyo"/>
    <s v="New"/>
    <x v="0"/>
    <n v="1"/>
    <n v="14358"/>
    <n v="14358"/>
    <n v="0"/>
    <n v="0"/>
    <n v="14358"/>
    <n v="8854.3799999999992"/>
    <n v="5503.6200000000008"/>
    <s v="Nov"/>
    <n v="2025"/>
    <n v="11"/>
  </r>
  <r>
    <s v="ORD-00571"/>
    <d v="2025-11-04T00:00:00"/>
    <s v="Sneakers"/>
    <s v="Footwear"/>
    <s v="Physical Store"/>
    <s v="Lagos"/>
    <s v="New"/>
    <x v="4"/>
    <n v="5"/>
    <n v="64213"/>
    <n v="321065"/>
    <n v="32106.5"/>
    <n v="0.1"/>
    <n v="288958.5"/>
    <n v="192882.54"/>
    <n v="96075.959999999992"/>
    <s v="Nov"/>
    <n v="2025"/>
    <n v="11"/>
  </r>
  <r>
    <s v="ORD-01028"/>
    <d v="2025-11-06T00:00:00"/>
    <s v="Sandals"/>
    <s v="Footwear"/>
    <s v="Physical Store"/>
    <s v="Oyo"/>
    <s v="New"/>
    <x v="4"/>
    <n v="1"/>
    <n v="32154"/>
    <n v="32154"/>
    <n v="3215.4"/>
    <n v="0.1"/>
    <n v="28938.6"/>
    <n v="16436.490000000002"/>
    <n v="12502.109999999997"/>
    <s v="Nov"/>
    <n v="2025"/>
    <n v="11"/>
  </r>
  <r>
    <s v="ORD-00507"/>
    <d v="2025-11-06T00:00:00"/>
    <s v="Sneakers"/>
    <s v="Footwear"/>
    <s v="Physical Store"/>
    <s v="Rivers"/>
    <s v="Returning"/>
    <x v="4"/>
    <n v="2"/>
    <n v="67091"/>
    <n v="134182"/>
    <n v="6709.1"/>
    <n v="0.05"/>
    <n v="127472.9"/>
    <n v="88874.85"/>
    <n v="38598.049999999988"/>
    <s v="Nov"/>
    <n v="2025"/>
    <n v="11"/>
  </r>
  <r>
    <s v="ORD-00400"/>
    <d v="2025-11-06T00:00:00"/>
    <s v="Handbag"/>
    <s v="Accessories"/>
    <s v="WhatsApp"/>
    <s v="Rivers"/>
    <s v="New"/>
    <x v="4"/>
    <n v="2"/>
    <n v="46135"/>
    <n v="92270"/>
    <n v="18454"/>
    <n v="0.2"/>
    <n v="73816"/>
    <n v="61506.38"/>
    <n v="12309.620000000003"/>
    <s v="Nov"/>
    <n v="2025"/>
    <n v="11"/>
  </r>
  <r>
    <s v="ORD-00555"/>
    <d v="2025-11-07T00:00:00"/>
    <s v="Dress"/>
    <s v="Clothing"/>
    <s v="Website"/>
    <s v="Lagos"/>
    <s v="Returning"/>
    <x v="4"/>
    <n v="2"/>
    <n v="51958"/>
    <n v="103916"/>
    <n v="10391.6"/>
    <n v="0.1"/>
    <n v="93524.4"/>
    <n v="53827.13"/>
    <n v="39697.269999999997"/>
    <s v="Nov"/>
    <n v="2025"/>
    <n v="11"/>
  </r>
  <r>
    <s v="ORD-00298"/>
    <d v="2025-11-12T00:00:00"/>
    <s v="T-Shirt"/>
    <s v="Clothing"/>
    <s v="Physical Store"/>
    <s v="Lagos"/>
    <s v="New"/>
    <x v="4"/>
    <n v="3"/>
    <n v="17828"/>
    <n v="53484"/>
    <n v="8022.6"/>
    <n v="0.15"/>
    <n v="45461.4"/>
    <n v="29761.200000000001"/>
    <n v="15700.2"/>
    <s v="Nov"/>
    <n v="2025"/>
    <n v="11"/>
  </r>
  <r>
    <s v="ORD-00126"/>
    <d v="2025-11-12T00:00:00"/>
    <s v="Handbag"/>
    <s v="Accessories"/>
    <s v="WhatsApp"/>
    <s v="Abuja"/>
    <s v="Returning"/>
    <x v="0"/>
    <n v="1"/>
    <n v="44240"/>
    <n v="44240"/>
    <n v="0"/>
    <n v="0"/>
    <n v="44240"/>
    <n v="24871.91"/>
    <n v="19368.09"/>
    <s v="Nov"/>
    <n v="2025"/>
    <n v="11"/>
  </r>
  <r>
    <s v="ORD-00634"/>
    <d v="2025-11-12T00:00:00"/>
    <s v="Belt"/>
    <s v="Accessories"/>
    <s v="Physical Store"/>
    <s v="Lagos"/>
    <s v="New"/>
    <x v="0"/>
    <n v="2"/>
    <n v="14885"/>
    <n v="29770"/>
    <n v="0"/>
    <n v="0"/>
    <n v="29770"/>
    <n v="16132.96"/>
    <n v="13637.04"/>
    <s v="Nov"/>
    <n v="2025"/>
    <n v="11"/>
  </r>
  <r>
    <s v="ORD-00846"/>
    <d v="2025-11-13T00:00:00"/>
    <s v="Sneakers"/>
    <s v="Footwear"/>
    <s v="Physical Store"/>
    <s v="Rivers"/>
    <s v="New"/>
    <x v="0"/>
    <n v="1"/>
    <n v="65204"/>
    <n v="65204"/>
    <n v="9780.6"/>
    <n v="0.15"/>
    <n v="55423.4"/>
    <n v="38114.26"/>
    <n v="17309.14"/>
    <s v="Nov"/>
    <n v="2025"/>
    <n v="11"/>
  </r>
  <r>
    <s v="ORD-00099"/>
    <d v="2025-11-14T00:00:00"/>
    <s v="Belt"/>
    <s v="Accessories"/>
    <s v="Physical Store"/>
    <s v="Lagos"/>
    <s v="New"/>
    <x v="0"/>
    <n v="3"/>
    <n v="14615"/>
    <n v="43845"/>
    <n v="0"/>
    <n v="0"/>
    <n v="43845"/>
    <n v="25823.37"/>
    <n v="18021.63"/>
    <s v="Nov"/>
    <n v="2025"/>
    <n v="11"/>
  </r>
  <r>
    <s v="ORD-00139"/>
    <d v="2025-11-14T00:00:00"/>
    <s v="Hoodie"/>
    <s v="Clothing"/>
    <s v="Website"/>
    <s v="Delta"/>
    <s v="Returning"/>
    <x v="0"/>
    <n v="2"/>
    <n v="35983"/>
    <n v="71966"/>
    <n v="0"/>
    <n v="0"/>
    <n v="71966"/>
    <n v="46613.09"/>
    <n v="25352.910000000003"/>
    <s v="Nov"/>
    <n v="2025"/>
    <n v="11"/>
  </r>
  <r>
    <s v="ORD-00561"/>
    <d v="2025-11-15T00:00:00"/>
    <s v="Jeans"/>
    <s v="Clothing"/>
    <s v="WhatsApp"/>
    <s v="Lagos"/>
    <s v="Returning"/>
    <x v="4"/>
    <n v="2"/>
    <n v="42898"/>
    <n v="85796"/>
    <n v="12869.4"/>
    <n v="0.15"/>
    <n v="72926.600000000006"/>
    <n v="48782.76"/>
    <n v="24143.840000000004"/>
    <s v="Nov"/>
    <n v="2025"/>
    <n v="11"/>
  </r>
  <r>
    <s v="ORD-00486"/>
    <d v="2025-11-15T00:00:00"/>
    <s v="T-Shirt"/>
    <s v="Clothing"/>
    <s v="Website"/>
    <s v="Delta"/>
    <s v="New"/>
    <x v="0"/>
    <n v="3"/>
    <n v="18349"/>
    <n v="55047"/>
    <n v="0"/>
    <n v="0"/>
    <n v="55047"/>
    <n v="31746.43"/>
    <n v="23300.57"/>
    <s v="Nov"/>
    <n v="2025"/>
    <n v="11"/>
  </r>
  <r>
    <s v="ORD-00281"/>
    <d v="2025-11-15T00:00:00"/>
    <s v="Cap"/>
    <s v="Accessories"/>
    <s v="Physical Store"/>
    <s v="Delta"/>
    <s v="Returning"/>
    <x v="0"/>
    <n v="3"/>
    <n v="11972"/>
    <n v="35916"/>
    <n v="0"/>
    <n v="0"/>
    <n v="35916"/>
    <n v="22139.72"/>
    <n v="13776.279999999999"/>
    <s v="Nov"/>
    <n v="2025"/>
    <n v="11"/>
  </r>
  <r>
    <s v="ORD-00264"/>
    <d v="2025-11-16T00:00:00"/>
    <s v="Sandals"/>
    <s v="Footwear"/>
    <s v="Website"/>
    <s v="Abuja"/>
    <s v="New"/>
    <x v="4"/>
    <n v="1"/>
    <n v="28489"/>
    <n v="28489"/>
    <n v="2848.9"/>
    <n v="0.1"/>
    <n v="25640.1"/>
    <n v="14920.88"/>
    <n v="10719.22"/>
    <s v="Nov"/>
    <n v="2025"/>
    <n v="11"/>
  </r>
  <r>
    <s v="ORD-00028"/>
    <d v="2025-11-17T00:00:00"/>
    <s v="Dress"/>
    <s v="Clothing"/>
    <s v="Website"/>
    <s v="Lagos"/>
    <s v="New"/>
    <x v="4"/>
    <n v="3"/>
    <n v="47989"/>
    <n v="143967"/>
    <n v="14396.7"/>
    <n v="0.1"/>
    <n v="129570.3"/>
    <n v="89454.68"/>
    <n v="40115.62000000001"/>
    <s v="Nov"/>
    <n v="2025"/>
    <n v="11"/>
  </r>
  <r>
    <s v="ORD-01087"/>
    <d v="2025-11-18T00:00:00"/>
    <s v="T-Shirt"/>
    <s v="Clothing"/>
    <s v="Instagram"/>
    <s v="Delta"/>
    <s v="Returning"/>
    <x v="4"/>
    <n v="3"/>
    <n v="19202"/>
    <n v="57606"/>
    <n v="5760.6"/>
    <n v="0.1"/>
    <n v="51845.4"/>
    <n v="36226.15"/>
    <n v="15619.25"/>
    <s v="Nov"/>
    <n v="2025"/>
    <n v="11"/>
  </r>
  <r>
    <s v="ORD-00220"/>
    <d v="2025-11-18T00:00:00"/>
    <s v="Cap"/>
    <s v="Accessories"/>
    <s v="Instagram"/>
    <s v="Lagos"/>
    <s v="Returning"/>
    <x v="0"/>
    <n v="1"/>
    <n v="12869"/>
    <n v="12869"/>
    <n v="0"/>
    <n v="0"/>
    <n v="12869"/>
    <n v="7089.34"/>
    <n v="5779.66"/>
    <s v="Nov"/>
    <n v="2025"/>
    <n v="11"/>
  </r>
  <r>
    <s v="ORD-01171"/>
    <d v="2025-11-19T00:00:00"/>
    <s v="Handbag"/>
    <s v="Accessories"/>
    <s v="Physical Store"/>
    <s v="Oyo"/>
    <s v="Returning"/>
    <x v="4"/>
    <n v="4"/>
    <n v="47182"/>
    <n v="188728"/>
    <n v="18872.8"/>
    <n v="0.1"/>
    <n v="169855.2"/>
    <n v="104815.57"/>
    <n v="65039.630000000005"/>
    <s v="Nov"/>
    <n v="2025"/>
    <n v="11"/>
  </r>
  <r>
    <s v="ORD-00543"/>
    <d v="2025-11-19T00:00:00"/>
    <s v="Hoodie"/>
    <s v="Clothing"/>
    <s v="Physical Store"/>
    <s v="Oyo"/>
    <s v="New"/>
    <x v="4"/>
    <n v="1"/>
    <n v="39814"/>
    <n v="39814"/>
    <n v="1990.7"/>
    <n v="0.05"/>
    <n v="37823.300000000003"/>
    <n v="20626.689999999999"/>
    <n v="17196.610000000004"/>
    <s v="Nov"/>
    <n v="2025"/>
    <n v="11"/>
  </r>
  <r>
    <s v="ORD-00898"/>
    <d v="2025-11-19T00:00:00"/>
    <s v="Polo Shirt"/>
    <s v="Clothing"/>
    <s v="Instagram"/>
    <s v="Lagos"/>
    <s v="New"/>
    <x v="4"/>
    <n v="3"/>
    <n v="24783"/>
    <n v="74349"/>
    <n v="11152.35"/>
    <n v="0.15"/>
    <n v="63196.65"/>
    <n v="46495.839999999997"/>
    <n v="16700.810000000005"/>
    <s v="Nov"/>
    <n v="2025"/>
    <n v="11"/>
  </r>
  <r>
    <s v="ORD-00374"/>
    <d v="2025-11-20T00:00:00"/>
    <s v="Belt"/>
    <s v="Accessories"/>
    <s v="Website"/>
    <s v="Lagos"/>
    <s v="New"/>
    <x v="4"/>
    <n v="1"/>
    <n v="14868"/>
    <n v="14868"/>
    <n v="743.4"/>
    <n v="0.05"/>
    <n v="14124.6"/>
    <n v="9166.58"/>
    <n v="4958.0200000000004"/>
    <s v="Nov"/>
    <n v="2025"/>
    <n v="11"/>
  </r>
  <r>
    <s v="ORD-00751"/>
    <d v="2025-11-20T00:00:00"/>
    <s v="Belt"/>
    <s v="Accessories"/>
    <s v="Physical Store"/>
    <s v="Rivers"/>
    <s v="New"/>
    <x v="0"/>
    <n v="1"/>
    <n v="15650"/>
    <n v="15650"/>
    <n v="0"/>
    <n v="0"/>
    <n v="15650"/>
    <n v="10475.620000000001"/>
    <n v="5174.3799999999992"/>
    <s v="Nov"/>
    <n v="2025"/>
    <n v="11"/>
  </r>
  <r>
    <s v="ORD-01174"/>
    <d v="2025-11-20T00:00:00"/>
    <s v="T-Shirt"/>
    <s v="Clothing"/>
    <s v="Physical Store"/>
    <s v="Rivers"/>
    <s v="New"/>
    <x v="4"/>
    <n v="2"/>
    <n v="19270"/>
    <n v="38540"/>
    <n v="3854"/>
    <n v="0.1"/>
    <n v="34686"/>
    <n v="20897.87"/>
    <n v="13788.130000000001"/>
    <s v="Nov"/>
    <n v="2025"/>
    <n v="11"/>
  </r>
  <r>
    <s v="ORD-00377"/>
    <d v="2025-11-21T00:00:00"/>
    <s v="Handbag"/>
    <s v="Accessories"/>
    <s v="Website"/>
    <s v="Oyo"/>
    <s v="New"/>
    <x v="4"/>
    <n v="3"/>
    <n v="45751"/>
    <n v="137253"/>
    <n v="13725.3"/>
    <n v="0.1"/>
    <n v="123527.7"/>
    <n v="88630"/>
    <n v="34897.699999999997"/>
    <s v="Nov"/>
    <n v="2025"/>
    <n v="11"/>
  </r>
  <r>
    <s v="ORD-00702"/>
    <d v="2025-11-22T00:00:00"/>
    <s v="Dress"/>
    <s v="Clothing"/>
    <s v="Instagram"/>
    <s v="Oyo"/>
    <s v="New"/>
    <x v="4"/>
    <n v="3"/>
    <n v="47300"/>
    <n v="141900"/>
    <n v="14190"/>
    <n v="0.1"/>
    <n v="127710"/>
    <n v="71899.850000000006"/>
    <n v="55810.149999999994"/>
    <s v="Nov"/>
    <n v="2025"/>
    <n v="11"/>
  </r>
  <r>
    <s v="ORD-01023"/>
    <d v="2025-11-23T00:00:00"/>
    <s v="Belt"/>
    <s v="Accessories"/>
    <s v="WhatsApp"/>
    <s v="Delta"/>
    <s v="Returning"/>
    <x v="4"/>
    <n v="1"/>
    <n v="14082"/>
    <n v="14082"/>
    <n v="2112.3000000000002"/>
    <n v="0.15"/>
    <n v="11969.7"/>
    <n v="7392.52"/>
    <n v="4577.18"/>
    <s v="Nov"/>
    <n v="2025"/>
    <n v="11"/>
  </r>
  <r>
    <s v="ORD-01129"/>
    <d v="2025-11-27T00:00:00"/>
    <s v="Handbag"/>
    <s v="Accessories"/>
    <s v="Website"/>
    <s v="Rivers"/>
    <s v="New"/>
    <x v="4"/>
    <n v="2"/>
    <n v="41775"/>
    <n v="83550"/>
    <n v="8355"/>
    <n v="0.1"/>
    <n v="75195"/>
    <n v="40474.29"/>
    <n v="34720.71"/>
    <s v="Nov"/>
    <n v="2025"/>
    <n v="11"/>
  </r>
  <r>
    <s v="ORD-00343"/>
    <d v="2025-11-27T00:00:00"/>
    <s v="Sandals"/>
    <s v="Footwear"/>
    <s v="Website"/>
    <s v="Lagos"/>
    <s v="New"/>
    <x v="0"/>
    <n v="4"/>
    <n v="28545"/>
    <n v="114180"/>
    <n v="0"/>
    <n v="0"/>
    <n v="114180"/>
    <n v="59360.160000000003"/>
    <n v="54819.839999999997"/>
    <s v="Nov"/>
    <n v="2025"/>
    <n v="11"/>
  </r>
  <r>
    <s v="ORD-00509"/>
    <d v="2025-11-28T00:00:00"/>
    <s v="Dress"/>
    <s v="Clothing"/>
    <s v="Website"/>
    <s v="Lagos"/>
    <s v="New"/>
    <x v="0"/>
    <n v="2"/>
    <n v="53479"/>
    <n v="106958"/>
    <n v="0"/>
    <n v="0"/>
    <n v="106958"/>
    <n v="70563.78"/>
    <n v="36394.22"/>
    <s v="Nov"/>
    <n v="2025"/>
    <n v="11"/>
  </r>
  <r>
    <s v="ORD-00144"/>
    <d v="2025-11-29T00:00:00"/>
    <s v="Cap"/>
    <s v="Accessories"/>
    <s v="WhatsApp"/>
    <s v="Delta"/>
    <s v="New"/>
    <x v="4"/>
    <n v="5"/>
    <n v="12698"/>
    <n v="63490"/>
    <n v="6349"/>
    <n v="0.1"/>
    <n v="57141"/>
    <n v="35241.14"/>
    <n v="21899.86"/>
    <s v="Nov"/>
    <n v="2025"/>
    <n v="11"/>
  </r>
  <r>
    <s v="ORD-00670"/>
    <d v="2025-11-29T00:00:00"/>
    <s v="Jeans"/>
    <s v="Clothing"/>
    <s v="Website"/>
    <s v="Lagos"/>
    <s v="New"/>
    <x v="4"/>
    <n v="2"/>
    <n v="39541"/>
    <n v="79082"/>
    <n v="3954.1"/>
    <n v="0.05"/>
    <n v="75127.899999999994"/>
    <n v="43331.57"/>
    <n v="31796.329999999994"/>
    <s v="Nov"/>
    <n v="2025"/>
    <n v="11"/>
  </r>
  <r>
    <s v="ORD-00418"/>
    <d v="2025-11-29T00:00:00"/>
    <s v="Hoodie"/>
    <s v="Clothing"/>
    <s v="Website"/>
    <s v="Rivers"/>
    <s v="Returning"/>
    <x v="0"/>
    <n v="2"/>
    <n v="35698"/>
    <n v="71396"/>
    <n v="0"/>
    <n v="0"/>
    <n v="71396"/>
    <n v="36894.379999999997"/>
    <n v="34501.620000000003"/>
    <s v="Nov"/>
    <n v="2025"/>
    <n v="11"/>
  </r>
  <r>
    <s v="ORD-00961"/>
    <d v="2025-11-30T00:00:00"/>
    <s v="Polo Shirt"/>
    <s v="Clothing"/>
    <s v="Physical Store"/>
    <s v="Abuja"/>
    <s v="New"/>
    <x v="4"/>
    <n v="2"/>
    <n v="24001"/>
    <n v="48002"/>
    <n v="4800.2"/>
    <n v="0.1"/>
    <n v="43201.8"/>
    <n v="26238.71"/>
    <n v="16963.090000000004"/>
    <s v="Nov"/>
    <n v="2025"/>
    <n v="11"/>
  </r>
  <r>
    <s v="ORD-00024"/>
    <d v="2025-11-30T00:00:00"/>
    <s v="Polo Shirt"/>
    <s v="Clothing"/>
    <s v="Physical Store"/>
    <s v="Oyo"/>
    <s v="Returning"/>
    <x v="4"/>
    <n v="1"/>
    <n v="26649"/>
    <n v="26649"/>
    <n v="2664.9"/>
    <n v="0.1"/>
    <n v="23984.1"/>
    <n v="16111.81"/>
    <n v="7872.2899999999991"/>
    <s v="Nov"/>
    <n v="2025"/>
    <n v="11"/>
  </r>
  <r>
    <s v="ORD-00254"/>
    <d v="2025-11-30T00:00:00"/>
    <s v="Sneakers"/>
    <s v="Footwear"/>
    <s v="WhatsApp"/>
    <s v="Rivers"/>
    <s v="Returning"/>
    <x v="4"/>
    <n v="3"/>
    <n v="63286"/>
    <n v="189858"/>
    <n v="9492.9"/>
    <n v="0.05"/>
    <n v="180365.1"/>
    <n v="128167.18"/>
    <n v="52197.920000000013"/>
    <s v="Nov"/>
    <n v="2025"/>
    <n v="11"/>
  </r>
  <r>
    <s v="ORD-01018"/>
    <d v="2025-12-02T00:00:00"/>
    <s v="Cap"/>
    <s v="Accessories"/>
    <s v="WhatsApp"/>
    <s v="Lagos"/>
    <s v="New"/>
    <x v="5"/>
    <n v="1"/>
    <n v="12343"/>
    <n v="12343"/>
    <n v="1234.3"/>
    <n v="0.1"/>
    <n v="11108.7"/>
    <n v="7181.17"/>
    <n v="3927.5300000000007"/>
    <s v="Dec"/>
    <n v="2025"/>
    <n v="12"/>
  </r>
  <r>
    <s v="ORD-00053"/>
    <d v="2025-12-03T00:00:00"/>
    <s v="Hoodie"/>
    <s v="Clothing"/>
    <s v="WhatsApp"/>
    <s v="Rivers"/>
    <s v="Returning"/>
    <x v="5"/>
    <n v="2"/>
    <n v="39956"/>
    <n v="79912"/>
    <n v="7991.2"/>
    <n v="0.1"/>
    <n v="71920.800000000003"/>
    <n v="43166.11"/>
    <n v="28754.690000000002"/>
    <s v="Dec"/>
    <n v="2025"/>
    <n v="12"/>
  </r>
  <r>
    <s v="ORD-00336"/>
    <d v="2025-12-04T00:00:00"/>
    <s v="T-Shirt"/>
    <s v="Clothing"/>
    <s v="WhatsApp"/>
    <s v="Lagos"/>
    <s v="New"/>
    <x v="5"/>
    <n v="2"/>
    <n v="17533"/>
    <n v="35066"/>
    <n v="3506.6"/>
    <n v="0.1"/>
    <n v="31559.4"/>
    <n v="19579.05"/>
    <n v="11980.350000000002"/>
    <s v="Dec"/>
    <n v="2025"/>
    <n v="12"/>
  </r>
  <r>
    <s v="ORD-01144"/>
    <d v="2025-12-05T00:00:00"/>
    <s v="Belt"/>
    <s v="Accessories"/>
    <s v="Physical Store"/>
    <s v="Abuja"/>
    <s v="New"/>
    <x v="5"/>
    <n v="5"/>
    <n v="15553"/>
    <n v="77765"/>
    <n v="15553"/>
    <n v="0.2"/>
    <n v="62212"/>
    <n v="38911.910000000003"/>
    <n v="23300.089999999997"/>
    <s v="Dec"/>
    <n v="2025"/>
    <n v="12"/>
  </r>
  <r>
    <s v="ORD-00968"/>
    <d v="2025-12-07T00:00:00"/>
    <s v="Hoodie"/>
    <s v="Clothing"/>
    <s v="Physical Store"/>
    <s v="Abuja"/>
    <s v="New"/>
    <x v="0"/>
    <n v="1"/>
    <n v="40623"/>
    <n v="40623"/>
    <n v="0"/>
    <n v="0"/>
    <n v="40623"/>
    <n v="27023.58"/>
    <n v="13599.419999999998"/>
    <s v="Dec"/>
    <n v="2025"/>
    <n v="12"/>
  </r>
  <r>
    <s v="ORD-00965"/>
    <d v="2025-12-09T00:00:00"/>
    <s v="Handbag"/>
    <s v="Accessories"/>
    <s v="Physical Store"/>
    <s v="Abuja"/>
    <s v="New"/>
    <x v="0"/>
    <n v="1"/>
    <n v="43115"/>
    <n v="43115"/>
    <n v="0"/>
    <n v="0"/>
    <n v="43115"/>
    <n v="28179.66"/>
    <n v="14935.34"/>
    <s v="Dec"/>
    <n v="2025"/>
    <n v="12"/>
  </r>
  <r>
    <s v="ORD-00526"/>
    <d v="2025-12-09T00:00:00"/>
    <s v="Hoodie"/>
    <s v="Clothing"/>
    <s v="Physical Store"/>
    <s v="Oyo"/>
    <s v="New"/>
    <x v="0"/>
    <n v="1"/>
    <n v="38534"/>
    <n v="38534"/>
    <n v="3853.4"/>
    <n v="0.1"/>
    <n v="34680.6"/>
    <n v="24091.93"/>
    <n v="10588.669999999998"/>
    <s v="Dec"/>
    <n v="2025"/>
    <n v="12"/>
  </r>
  <r>
    <s v="ORD-00551"/>
    <d v="2025-12-09T00:00:00"/>
    <s v="Cap"/>
    <s v="Accessories"/>
    <s v="Website"/>
    <s v="Abuja"/>
    <s v="Returning"/>
    <x v="5"/>
    <n v="4"/>
    <n v="11712"/>
    <n v="46848"/>
    <n v="7027.2"/>
    <n v="0.15"/>
    <n v="39820.800000000003"/>
    <n v="29275.86"/>
    <n v="10544.940000000002"/>
    <s v="Dec"/>
    <n v="2025"/>
    <n v="12"/>
  </r>
  <r>
    <s v="ORD-01153"/>
    <d v="2025-12-10T00:00:00"/>
    <s v="Jeans"/>
    <s v="Clothing"/>
    <s v="Website"/>
    <s v="Oyo"/>
    <s v="Returning"/>
    <x v="5"/>
    <n v="1"/>
    <n v="38893"/>
    <n v="38893"/>
    <n v="7778.6"/>
    <n v="0.2"/>
    <n v="31114.400000000001"/>
    <n v="18704.77"/>
    <n v="12409.630000000001"/>
    <s v="Dec"/>
    <n v="2025"/>
    <n v="12"/>
  </r>
  <r>
    <s v="ORD-00887"/>
    <d v="2025-12-10T00:00:00"/>
    <s v="Belt"/>
    <s v="Accessories"/>
    <s v="Website"/>
    <s v="Lagos"/>
    <s v="Returning"/>
    <x v="5"/>
    <n v="1"/>
    <n v="14838"/>
    <n v="14838"/>
    <n v="741.9"/>
    <n v="0.05"/>
    <n v="14096.1"/>
    <n v="9014.57"/>
    <n v="5081.5300000000007"/>
    <s v="Dec"/>
    <n v="2025"/>
    <n v="12"/>
  </r>
  <r>
    <s v="ORD-01072"/>
    <d v="2025-12-10T00:00:00"/>
    <s v="Handbag"/>
    <s v="Accessories"/>
    <s v="Instagram"/>
    <s v="Rivers"/>
    <s v="Returning"/>
    <x v="5"/>
    <n v="2"/>
    <n v="45789"/>
    <n v="91578"/>
    <n v="13736.7"/>
    <n v="0.15"/>
    <n v="77841.3"/>
    <n v="55454.74"/>
    <n v="22386.560000000005"/>
    <s v="Dec"/>
    <n v="2025"/>
    <n v="12"/>
  </r>
  <r>
    <s v="ORD-00136"/>
    <d v="2025-12-10T00:00:00"/>
    <s v="Belt"/>
    <s v="Accessories"/>
    <s v="Instagram"/>
    <s v="Lagos"/>
    <s v="Returning"/>
    <x v="5"/>
    <n v="3"/>
    <n v="14965"/>
    <n v="44895"/>
    <n v="2244.75"/>
    <n v="0.05"/>
    <n v="42650.25"/>
    <n v="26088.080000000002"/>
    <n v="16562.169999999998"/>
    <s v="Dec"/>
    <n v="2025"/>
    <n v="12"/>
  </r>
  <r>
    <s v="ORD-01078"/>
    <d v="2025-12-11T00:00:00"/>
    <s v="Belt"/>
    <s v="Accessories"/>
    <s v="Website"/>
    <s v="Lagos"/>
    <s v="Returning"/>
    <x v="5"/>
    <n v="2"/>
    <n v="15971"/>
    <n v="31942"/>
    <n v="3194.2"/>
    <n v="0.1"/>
    <n v="28747.8"/>
    <n v="16762.77"/>
    <n v="11985.029999999999"/>
    <s v="Dec"/>
    <n v="2025"/>
    <n v="12"/>
  </r>
  <r>
    <s v="ORD-00833"/>
    <d v="2025-12-12T00:00:00"/>
    <s v="T-Shirt"/>
    <s v="Clothing"/>
    <s v="Instagram"/>
    <s v="Lagos"/>
    <s v="New"/>
    <x v="5"/>
    <n v="2"/>
    <n v="17632"/>
    <n v="35264"/>
    <n v="5289.6"/>
    <n v="0.15"/>
    <n v="29974.400000000001"/>
    <n v="22284.880000000001"/>
    <n v="7689.52"/>
    <s v="Dec"/>
    <n v="2025"/>
    <n v="12"/>
  </r>
  <r>
    <s v="ORD-01046"/>
    <d v="2025-12-13T00:00:00"/>
    <s v="Cap"/>
    <s v="Accessories"/>
    <s v="Physical Store"/>
    <s v="Lagos"/>
    <s v="New"/>
    <x v="5"/>
    <n v="4"/>
    <n v="12137"/>
    <n v="48548"/>
    <n v="2427.4"/>
    <n v="0.05"/>
    <n v="46120.6"/>
    <n v="31084.04"/>
    <n v="15036.559999999998"/>
    <s v="Dec"/>
    <n v="2025"/>
    <n v="12"/>
  </r>
  <r>
    <s v="ORD-00556"/>
    <d v="2025-12-14T00:00:00"/>
    <s v="Hoodie"/>
    <s v="Clothing"/>
    <s v="WhatsApp"/>
    <s v="Rivers"/>
    <s v="New"/>
    <x v="5"/>
    <n v="2"/>
    <n v="39977"/>
    <n v="79954"/>
    <n v="11993.1"/>
    <n v="0.15"/>
    <n v="67960.899999999994"/>
    <n v="45000.21"/>
    <n v="22960.689999999995"/>
    <s v="Dec"/>
    <n v="2025"/>
    <n v="12"/>
  </r>
  <r>
    <s v="ORD-00466"/>
    <d v="2025-12-14T00:00:00"/>
    <s v="Sneakers"/>
    <s v="Footwear"/>
    <s v="Physical Store"/>
    <s v="Delta"/>
    <s v="New"/>
    <x v="5"/>
    <n v="2"/>
    <n v="61426"/>
    <n v="122852"/>
    <n v="24570.400000000001"/>
    <n v="0.2"/>
    <n v="98281.600000000006"/>
    <n v="72931.55"/>
    <n v="25350.050000000003"/>
    <s v="Dec"/>
    <n v="2025"/>
    <n v="12"/>
  </r>
  <r>
    <s v="ORD-00682"/>
    <d v="2025-12-14T00:00:00"/>
    <s v="Cap"/>
    <s v="Accessories"/>
    <s v="Website"/>
    <s v="Oyo"/>
    <s v="Returning"/>
    <x v="0"/>
    <n v="2"/>
    <n v="11932"/>
    <n v="23864"/>
    <n v="0"/>
    <n v="0"/>
    <n v="23864"/>
    <n v="13600.57"/>
    <n v="10263.43"/>
    <s v="Dec"/>
    <n v="2025"/>
    <n v="12"/>
  </r>
  <r>
    <s v="ORD-00979"/>
    <d v="2025-12-14T00:00:00"/>
    <s v="Polo Shirt"/>
    <s v="Clothing"/>
    <s v="Physical Store"/>
    <s v="Lagos"/>
    <s v="New"/>
    <x v="0"/>
    <n v="2"/>
    <n v="25490"/>
    <n v="50980"/>
    <n v="0"/>
    <n v="0"/>
    <n v="50980"/>
    <n v="32315.16"/>
    <n v="18664.84"/>
    <s v="Dec"/>
    <n v="2025"/>
    <n v="12"/>
  </r>
  <r>
    <s v="ORD-00732"/>
    <d v="2025-12-15T00:00:00"/>
    <s v="Polo Shirt"/>
    <s v="Clothing"/>
    <s v="WhatsApp"/>
    <s v="Lagos"/>
    <s v="Returning"/>
    <x v="5"/>
    <n v="1"/>
    <n v="25356"/>
    <n v="25356"/>
    <n v="2535.6"/>
    <n v="0.1"/>
    <n v="22820.400000000001"/>
    <n v="15949.66"/>
    <n v="6870.7400000000016"/>
    <s v="Dec"/>
    <n v="2025"/>
    <n v="12"/>
  </r>
  <r>
    <s v="ORD-00562"/>
    <d v="2025-12-17T00:00:00"/>
    <s v="Belt"/>
    <s v="Accessories"/>
    <s v="Instagram"/>
    <s v="Oyo"/>
    <s v="Returning"/>
    <x v="0"/>
    <n v="1"/>
    <n v="13943"/>
    <n v="13943"/>
    <n v="0"/>
    <n v="0"/>
    <n v="13943"/>
    <n v="7610.3"/>
    <n v="6332.7"/>
    <s v="Dec"/>
    <n v="2025"/>
    <n v="12"/>
  </r>
  <r>
    <s v="ORD-00426"/>
    <d v="2025-12-18T00:00:00"/>
    <s v="T-Shirt"/>
    <s v="Clothing"/>
    <s v="WhatsApp"/>
    <s v="Delta"/>
    <s v="Returning"/>
    <x v="5"/>
    <n v="3"/>
    <n v="18376"/>
    <n v="55128"/>
    <n v="5512.8"/>
    <n v="0.1"/>
    <n v="49615.199999999997"/>
    <n v="31775.97"/>
    <n v="17839.229999999996"/>
    <s v="Dec"/>
    <n v="2025"/>
    <n v="12"/>
  </r>
  <r>
    <s v="ORD-00658"/>
    <d v="2025-12-19T00:00:00"/>
    <s v="Belt"/>
    <s v="Accessories"/>
    <s v="WhatsApp"/>
    <s v="Lagos"/>
    <s v="New"/>
    <x v="5"/>
    <n v="3"/>
    <n v="14265"/>
    <n v="42795"/>
    <n v="2139.75"/>
    <n v="0.05"/>
    <n v="40655.25"/>
    <n v="26859.43"/>
    <n v="13795.82"/>
    <s v="Dec"/>
    <n v="2025"/>
    <n v="12"/>
  </r>
  <r>
    <s v="ORD-00064"/>
    <d v="2025-12-20T00:00:00"/>
    <s v="Hoodie"/>
    <s v="Clothing"/>
    <s v="Physical Store"/>
    <s v="Abuja"/>
    <s v="New"/>
    <x v="0"/>
    <n v="2"/>
    <n v="37195"/>
    <n v="74390"/>
    <n v="0"/>
    <n v="0"/>
    <n v="74390"/>
    <n v="48019.31"/>
    <n v="26370.690000000002"/>
    <s v="Dec"/>
    <n v="2025"/>
    <n v="12"/>
  </r>
  <r>
    <s v="ORD-00984"/>
    <d v="2025-12-21T00:00:00"/>
    <s v="Dress"/>
    <s v="Clothing"/>
    <s v="Instagram"/>
    <s v="Abuja"/>
    <s v="New"/>
    <x v="5"/>
    <n v="1"/>
    <n v="50869"/>
    <n v="50869"/>
    <n v="10173.799999999999"/>
    <n v="0.2"/>
    <n v="40695.199999999997"/>
    <n v="30979.32"/>
    <n v="9715.8799999999974"/>
    <s v="Dec"/>
    <n v="2025"/>
    <n v="12"/>
  </r>
  <r>
    <s v="ORD-01111"/>
    <d v="2025-12-22T00:00:00"/>
    <s v="Belt"/>
    <s v="Accessories"/>
    <s v="Instagram"/>
    <s v="Oyo"/>
    <s v="Returning"/>
    <x v="5"/>
    <n v="1"/>
    <n v="14418"/>
    <n v="14418"/>
    <n v="2162.6999999999998"/>
    <n v="0.15"/>
    <n v="12255.3"/>
    <n v="7293.34"/>
    <n v="4961.9599999999991"/>
    <s v="Dec"/>
    <n v="2025"/>
    <n v="12"/>
  </r>
  <r>
    <s v="ORD-00909"/>
    <d v="2025-12-23T00:00:00"/>
    <s v="T-Shirt"/>
    <s v="Clothing"/>
    <s v="WhatsApp"/>
    <s v="Delta"/>
    <s v="New"/>
    <x v="5"/>
    <n v="3"/>
    <n v="18149"/>
    <n v="54447"/>
    <n v="5444.7"/>
    <n v="0.1"/>
    <n v="49002.3"/>
    <n v="34230.86"/>
    <n v="14771.440000000002"/>
    <s v="Dec"/>
    <n v="2025"/>
    <n v="12"/>
  </r>
  <r>
    <s v="ORD-00737"/>
    <d v="2025-12-24T00:00:00"/>
    <s v="Belt"/>
    <s v="Accessories"/>
    <s v="Website"/>
    <s v="Abuja"/>
    <s v="New"/>
    <x v="5"/>
    <n v="2"/>
    <n v="14795"/>
    <n v="29590"/>
    <n v="2959"/>
    <n v="0.1"/>
    <n v="26631"/>
    <n v="18262.22"/>
    <n v="8368.7799999999988"/>
    <s v="Dec"/>
    <n v="2025"/>
    <n v="12"/>
  </r>
  <r>
    <s v="ORD-00772"/>
    <d v="2025-12-25T00:00:00"/>
    <s v="Belt"/>
    <s v="Accessories"/>
    <s v="WhatsApp"/>
    <s v="Lagos"/>
    <s v="New"/>
    <x v="0"/>
    <n v="3"/>
    <n v="15797"/>
    <n v="47391"/>
    <n v="0"/>
    <n v="0"/>
    <n v="47391"/>
    <n v="26765.78"/>
    <n v="20625.22"/>
    <s v="Dec"/>
    <n v="2025"/>
    <n v="12"/>
  </r>
  <r>
    <s v="ORD-00100"/>
    <d v="2025-12-26T00:00:00"/>
    <s v="Hoodie"/>
    <s v="Clothing"/>
    <s v="Physical Store"/>
    <s v="Abuja"/>
    <s v="New"/>
    <x v="0"/>
    <n v="4"/>
    <n v="36411"/>
    <n v="145644"/>
    <n v="0"/>
    <n v="0"/>
    <n v="145644"/>
    <n v="98600.69"/>
    <n v="47043.31"/>
    <s v="Dec"/>
    <n v="2025"/>
    <n v="12"/>
  </r>
  <r>
    <s v="ORD-00662"/>
    <d v="2025-12-26T00:00:00"/>
    <s v="Handbag"/>
    <s v="Accessories"/>
    <s v="WhatsApp"/>
    <s v="Rivers"/>
    <s v="New"/>
    <x v="5"/>
    <n v="3"/>
    <n v="44087"/>
    <n v="132261"/>
    <n v="13226.1"/>
    <n v="0.1"/>
    <n v="119034.9"/>
    <n v="78804.539999999994"/>
    <n v="40230.36"/>
    <s v="Dec"/>
    <n v="2025"/>
    <n v="12"/>
  </r>
  <r>
    <s v="ORD-00290"/>
    <d v="2025-12-27T00:00:00"/>
    <s v="Sandals"/>
    <s v="Footwear"/>
    <s v="Website"/>
    <s v="Abuja"/>
    <s v="Returning"/>
    <x v="0"/>
    <n v="1"/>
    <n v="30739"/>
    <n v="30739"/>
    <n v="0"/>
    <n v="0"/>
    <n v="30739"/>
    <n v="16796.46"/>
    <n v="13942.54"/>
    <s v="Dec"/>
    <n v="2025"/>
    <n v="12"/>
  </r>
  <r>
    <s v="ORD-01089"/>
    <d v="2025-12-27T00:00:00"/>
    <s v="Polo Shirt"/>
    <s v="Clothing"/>
    <s v="Website"/>
    <s v="Lagos"/>
    <s v="Returning"/>
    <x v="5"/>
    <n v="3"/>
    <n v="26054"/>
    <n v="78162"/>
    <n v="7816.2"/>
    <n v="0.1"/>
    <n v="70345.8"/>
    <n v="42564.13"/>
    <n v="27781.670000000006"/>
    <s v="Dec"/>
    <n v="2025"/>
    <n v="12"/>
  </r>
  <r>
    <s v="ORD-01170"/>
    <d v="2025-12-27T00:00:00"/>
    <s v="Belt"/>
    <s v="Accessories"/>
    <s v="Website"/>
    <s v="Lagos"/>
    <s v="New"/>
    <x v="5"/>
    <n v="1"/>
    <n v="15230"/>
    <n v="15230"/>
    <n v="2284.5"/>
    <n v="0.15"/>
    <n v="12945.5"/>
    <n v="7352.01"/>
    <n v="5593.49"/>
    <s v="Dec"/>
    <n v="2025"/>
    <n v="12"/>
  </r>
  <r>
    <s v="ORD-00385"/>
    <d v="2025-12-27T00:00:00"/>
    <s v="Sandals"/>
    <s v="Footwear"/>
    <s v="Physical Store"/>
    <s v="Lagos"/>
    <s v="New"/>
    <x v="5"/>
    <n v="3"/>
    <n v="29666"/>
    <n v="88998"/>
    <n v="17799.599999999999"/>
    <n v="0.2"/>
    <n v="71198.399999999994"/>
    <n v="51839.43"/>
    <n v="19358.969999999994"/>
    <s v="Dec"/>
    <n v="2025"/>
    <n v="12"/>
  </r>
  <r>
    <s v="ORD-00397"/>
    <d v="2025-12-29T00:00:00"/>
    <s v="Handbag"/>
    <s v="Accessories"/>
    <s v="Website"/>
    <s v="Delta"/>
    <s v="Returning"/>
    <x v="5"/>
    <n v="3"/>
    <n v="46482"/>
    <n v="139446"/>
    <n v="6972.3"/>
    <n v="0.05"/>
    <n v="132473.70000000001"/>
    <n v="90058.43"/>
    <n v="42415.270000000019"/>
    <s v="Dec"/>
    <n v="2025"/>
    <n v="12"/>
  </r>
  <r>
    <s v="ORD-00416"/>
    <d v="2025-12-29T00:00:00"/>
    <s v="Sandals"/>
    <s v="Footwear"/>
    <s v="Website"/>
    <s v="Lagos"/>
    <s v="New"/>
    <x v="5"/>
    <n v="3"/>
    <n v="29689"/>
    <n v="89067"/>
    <n v="13360.05"/>
    <n v="0.15"/>
    <n v="75706.95"/>
    <n v="55564.36"/>
    <n v="20142.589999999997"/>
    <s v="Dec"/>
    <n v="2025"/>
    <n v="12"/>
  </r>
  <r>
    <s v="ORD-00055"/>
    <d v="2025-12-30T00:00:00"/>
    <s v="Sneakers"/>
    <s v="Footwear"/>
    <s v="Website"/>
    <s v="Lagos"/>
    <s v="Returning"/>
    <x v="0"/>
    <n v="2"/>
    <n v="61456"/>
    <n v="122912"/>
    <n v="0"/>
    <n v="0"/>
    <n v="122912"/>
    <n v="61889.86"/>
    <n v="61022.14"/>
    <s v="Dec"/>
    <n v="2025"/>
    <n v="12"/>
  </r>
  <r>
    <s v="ORD-00152"/>
    <d v="2025-12-30T00:00:00"/>
    <s v="Polo Shirt"/>
    <s v="Clothing"/>
    <s v="Website"/>
    <s v="Lagos"/>
    <s v="Returning"/>
    <x v="5"/>
    <n v="1"/>
    <n v="23968"/>
    <n v="23968"/>
    <n v="3595.2"/>
    <n v="0.15"/>
    <n v="20372.8"/>
    <n v="12200.65"/>
    <n v="8172.15"/>
    <s v="Dec"/>
    <n v="2025"/>
    <n v="12"/>
  </r>
  <r>
    <s v="ORD-01009"/>
    <d v="2025-12-31T00:00:00"/>
    <s v="Sandals"/>
    <s v="Footwear"/>
    <s v="Website"/>
    <s v="Abuja"/>
    <s v="New"/>
    <x v="5"/>
    <n v="2"/>
    <n v="30875"/>
    <n v="61750"/>
    <n v="6175"/>
    <n v="0.1"/>
    <n v="55575"/>
    <n v="38206.18"/>
    <n v="17368.82"/>
    <s v="Dec"/>
    <n v="2025"/>
    <n v="12"/>
  </r>
  <r>
    <s v="ORD-00511"/>
    <d v="2026-01-01T00:00:00"/>
    <s v="Dress"/>
    <s v="Clothing"/>
    <s v="Instagram"/>
    <s v="Abuja"/>
    <s v="New"/>
    <x v="0"/>
    <n v="5"/>
    <n v="48283"/>
    <n v="241415"/>
    <n v="0"/>
    <n v="0"/>
    <n v="241415"/>
    <n v="121165.34"/>
    <n v="120249.66"/>
    <s v="Jan"/>
    <n v="2026"/>
    <n v="1"/>
  </r>
  <r>
    <s v="ORD-00519"/>
    <d v="2026-01-01T00:00:00"/>
    <s v="Jeans"/>
    <s v="Clothing"/>
    <s v="Website"/>
    <s v="Rivers"/>
    <s v="New"/>
    <x v="0"/>
    <n v="5"/>
    <n v="43436"/>
    <n v="217180"/>
    <n v="0"/>
    <n v="0"/>
    <n v="217180"/>
    <n v="133232.63"/>
    <n v="83947.37"/>
    <s v="Jan"/>
    <n v="2026"/>
    <n v="1"/>
  </r>
  <r>
    <s v="ORD-00443"/>
    <d v="2026-01-02T00:00:00"/>
    <s v="Polo Shirt"/>
    <s v="Clothing"/>
    <s v="Website"/>
    <s v="Abuja"/>
    <s v="Returning"/>
    <x v="0"/>
    <n v="5"/>
    <n v="23038"/>
    <n v="115190"/>
    <n v="0"/>
    <n v="0"/>
    <n v="115190"/>
    <n v="63950.09"/>
    <n v="51239.91"/>
    <s v="Jan"/>
    <n v="2026"/>
    <n v="1"/>
  </r>
  <r>
    <s v="ORD-00427"/>
    <d v="2026-01-04T00:00:00"/>
    <s v="Handbag"/>
    <s v="Accessories"/>
    <s v="Website"/>
    <s v="Lagos"/>
    <s v="New"/>
    <x v="0"/>
    <n v="2"/>
    <n v="47972"/>
    <n v="95944"/>
    <n v="9594.4"/>
    <n v="0.1"/>
    <n v="86349.6"/>
    <n v="56538.02"/>
    <n v="29811.580000000009"/>
    <s v="Jan"/>
    <n v="2026"/>
    <n v="1"/>
  </r>
  <r>
    <s v="ORD-00952"/>
    <d v="2026-01-04T00:00:00"/>
    <s v="Cap"/>
    <s v="Accessories"/>
    <s v="WhatsApp"/>
    <s v="Delta"/>
    <s v="New"/>
    <x v="0"/>
    <n v="1"/>
    <n v="11556"/>
    <n v="11556"/>
    <n v="0"/>
    <n v="0"/>
    <n v="11556"/>
    <n v="6949.45"/>
    <n v="4606.55"/>
    <s v="Jan"/>
    <n v="2026"/>
    <n v="1"/>
  </r>
  <r>
    <s v="ORD-00499"/>
    <d v="2026-01-05T00:00:00"/>
    <s v="Cap"/>
    <s v="Accessories"/>
    <s v="Website"/>
    <s v="Oyo"/>
    <s v="New"/>
    <x v="0"/>
    <n v="1"/>
    <n v="11431"/>
    <n v="11431"/>
    <n v="0"/>
    <n v="0"/>
    <n v="11431"/>
    <n v="5698.42"/>
    <n v="5732.58"/>
    <s v="Jan"/>
    <n v="2026"/>
    <n v="1"/>
  </r>
  <r>
    <s v="ORD-00983"/>
    <d v="2026-01-05T00:00:00"/>
    <s v="Sneakers"/>
    <s v="Footwear"/>
    <s v="WhatsApp"/>
    <s v="Oyo"/>
    <s v="Returning"/>
    <x v="0"/>
    <n v="4"/>
    <n v="66522"/>
    <n v="266088"/>
    <n v="0"/>
    <n v="0"/>
    <n v="266088"/>
    <n v="130447.32"/>
    <n v="135640.68"/>
    <s v="Jan"/>
    <n v="2026"/>
    <n v="1"/>
  </r>
  <r>
    <s v="ORD-01188"/>
    <d v="2026-01-07T00:00:00"/>
    <s v="Sneakers"/>
    <s v="Footwear"/>
    <s v="Instagram"/>
    <s v="Lagos"/>
    <s v="New"/>
    <x v="0"/>
    <n v="5"/>
    <n v="69881"/>
    <n v="349405"/>
    <n v="0"/>
    <n v="0"/>
    <n v="349405"/>
    <n v="208760.18"/>
    <n v="140644.82"/>
    <s v="Jan"/>
    <n v="2026"/>
    <n v="1"/>
  </r>
  <r>
    <s v="ORD-00591"/>
    <d v="2026-01-07T00:00:00"/>
    <s v="Sandals"/>
    <s v="Footwear"/>
    <s v="Physical Store"/>
    <s v="Abuja"/>
    <s v="Returning"/>
    <x v="0"/>
    <n v="1"/>
    <n v="29084"/>
    <n v="29084"/>
    <n v="0"/>
    <n v="0"/>
    <n v="29084"/>
    <n v="14054.11"/>
    <n v="15029.89"/>
    <s v="Jan"/>
    <n v="2026"/>
    <n v="1"/>
  </r>
  <r>
    <s v="ORD-00678"/>
    <d v="2026-01-08T00:00:00"/>
    <s v="Hoodie"/>
    <s v="Clothing"/>
    <s v="Website"/>
    <s v="Abuja"/>
    <s v="Returning"/>
    <x v="0"/>
    <n v="3"/>
    <n v="37013"/>
    <n v="111039"/>
    <n v="0"/>
    <n v="0"/>
    <n v="111039"/>
    <n v="69918.17"/>
    <n v="41120.83"/>
    <s v="Jan"/>
    <n v="2026"/>
    <n v="1"/>
  </r>
  <r>
    <s v="ORD-00404"/>
    <d v="2026-01-08T00:00:00"/>
    <s v="Polo Shirt"/>
    <s v="Clothing"/>
    <s v="WhatsApp"/>
    <s v="Lagos"/>
    <s v="Returning"/>
    <x v="0"/>
    <n v="2"/>
    <n v="25215"/>
    <n v="50430"/>
    <n v="0"/>
    <n v="0"/>
    <n v="50430"/>
    <n v="26177.79"/>
    <n v="24252.21"/>
    <s v="Jan"/>
    <n v="2026"/>
    <n v="1"/>
  </r>
  <r>
    <s v="ORD-01116"/>
    <d v="2026-01-08T00:00:00"/>
    <s v="T-Shirt"/>
    <s v="Clothing"/>
    <s v="WhatsApp"/>
    <s v="Oyo"/>
    <s v="New"/>
    <x v="0"/>
    <n v="3"/>
    <n v="16848"/>
    <n v="50544"/>
    <n v="0"/>
    <n v="0"/>
    <n v="50544"/>
    <n v="28334.69"/>
    <n v="22209.31"/>
    <s v="Jan"/>
    <n v="2026"/>
    <n v="1"/>
  </r>
  <r>
    <s v="ORD-00514"/>
    <d v="2026-01-09T00:00:00"/>
    <s v="Dress"/>
    <s v="Clothing"/>
    <s v="WhatsApp"/>
    <s v="Lagos"/>
    <s v="New"/>
    <x v="0"/>
    <n v="3"/>
    <n v="48150"/>
    <n v="144450"/>
    <n v="0"/>
    <n v="0"/>
    <n v="144450"/>
    <n v="94127.63"/>
    <n v="50322.369999999995"/>
    <s v="Jan"/>
    <n v="2026"/>
    <n v="1"/>
  </r>
  <r>
    <s v="ORD-00325"/>
    <d v="2026-01-10T00:00:00"/>
    <s v="Cap"/>
    <s v="Accessories"/>
    <s v="Instagram"/>
    <s v="Abuja"/>
    <s v="New"/>
    <x v="0"/>
    <n v="1"/>
    <n v="12915"/>
    <n v="12915"/>
    <n v="0"/>
    <n v="0"/>
    <n v="12915"/>
    <n v="6425.6"/>
    <n v="6489.4"/>
    <s v="Jan"/>
    <n v="2026"/>
    <n v="1"/>
  </r>
  <r>
    <s v="ORD-00115"/>
    <d v="2026-01-12T00:00:00"/>
    <s v="Handbag"/>
    <s v="Accessories"/>
    <s v="Website"/>
    <s v="Rivers"/>
    <s v="Returning"/>
    <x v="0"/>
    <n v="3"/>
    <n v="47444"/>
    <n v="142332"/>
    <n v="0"/>
    <n v="0"/>
    <n v="142332"/>
    <n v="86006.8"/>
    <n v="56325.2"/>
    <s v="Jan"/>
    <n v="2026"/>
    <n v="1"/>
  </r>
  <r>
    <s v="ORD-01031"/>
    <d v="2026-01-13T00:00:00"/>
    <s v="Sandals"/>
    <s v="Footwear"/>
    <s v="Physical Store"/>
    <s v="Abuja"/>
    <s v="Returning"/>
    <x v="0"/>
    <n v="2"/>
    <n v="28999"/>
    <n v="57998"/>
    <n v="0"/>
    <n v="0"/>
    <n v="57998"/>
    <n v="37760.35"/>
    <n v="20237.650000000001"/>
    <s v="Jan"/>
    <n v="2026"/>
    <n v="1"/>
  </r>
  <r>
    <s v="ORD-00966"/>
    <d v="2026-01-15T00:00:00"/>
    <s v="Sneakers"/>
    <s v="Footwear"/>
    <s v="Physical Store"/>
    <s v="Rivers"/>
    <s v="Returning"/>
    <x v="0"/>
    <n v="1"/>
    <n v="65130"/>
    <n v="65130"/>
    <n v="0"/>
    <n v="0"/>
    <n v="65130"/>
    <n v="42471.42"/>
    <n v="22658.58"/>
    <s v="Jan"/>
    <n v="2026"/>
    <n v="1"/>
  </r>
  <r>
    <s v="ORD-00698"/>
    <d v="2026-01-17T00:00:00"/>
    <s v="Jeans"/>
    <s v="Clothing"/>
    <s v="WhatsApp"/>
    <s v="Delta"/>
    <s v="New"/>
    <x v="0"/>
    <n v="3"/>
    <n v="42972"/>
    <n v="128916"/>
    <n v="12891.6"/>
    <n v="0.1"/>
    <n v="116024.4"/>
    <n v="63147.199999999997"/>
    <n v="52877.2"/>
    <s v="Jan"/>
    <n v="2026"/>
    <n v="1"/>
  </r>
  <r>
    <s v="ORD-00019"/>
    <d v="2026-01-17T00:00:00"/>
    <s v="Hoodie"/>
    <s v="Clothing"/>
    <s v="Instagram"/>
    <s v="Oyo"/>
    <s v="New"/>
    <x v="0"/>
    <n v="4"/>
    <n v="39929"/>
    <n v="159716"/>
    <n v="0"/>
    <n v="0"/>
    <n v="159716"/>
    <n v="97221.61"/>
    <n v="62494.39"/>
    <s v="Jan"/>
    <n v="2026"/>
    <n v="1"/>
  </r>
  <r>
    <s v="ORD-01128"/>
    <d v="2026-01-17T00:00:00"/>
    <s v="Hoodie"/>
    <s v="Clothing"/>
    <s v="Physical Store"/>
    <s v="Rivers"/>
    <s v="Returning"/>
    <x v="0"/>
    <n v="4"/>
    <n v="35474"/>
    <n v="141896"/>
    <n v="0"/>
    <n v="0"/>
    <n v="141896"/>
    <n v="82790.259999999995"/>
    <n v="59105.740000000005"/>
    <s v="Jan"/>
    <n v="2026"/>
    <n v="1"/>
  </r>
  <r>
    <s v="ORD-00121"/>
    <d v="2026-01-18T00:00:00"/>
    <s v="Dress"/>
    <s v="Clothing"/>
    <s v="Website"/>
    <s v="Lagos"/>
    <s v="Returning"/>
    <x v="0"/>
    <n v="2"/>
    <n v="51116"/>
    <n v="102232"/>
    <n v="0"/>
    <n v="0"/>
    <n v="102232"/>
    <n v="51764.02"/>
    <n v="50467.98"/>
    <s v="Jan"/>
    <n v="2026"/>
    <n v="1"/>
  </r>
  <r>
    <s v="ORD-00225"/>
    <d v="2026-01-19T00:00:00"/>
    <s v="Handbag"/>
    <s v="Accessories"/>
    <s v="Website"/>
    <s v="Abuja"/>
    <s v="New"/>
    <x v="0"/>
    <n v="1"/>
    <n v="45837"/>
    <n v="45837"/>
    <n v="0"/>
    <n v="0"/>
    <n v="45837"/>
    <n v="25813.34"/>
    <n v="20023.66"/>
    <s v="Jan"/>
    <n v="2026"/>
    <n v="1"/>
  </r>
  <r>
    <s v="ORD-00675"/>
    <d v="2026-01-19T00:00:00"/>
    <s v="Jeans"/>
    <s v="Clothing"/>
    <s v="Physical Store"/>
    <s v="Abuja"/>
    <s v="Returning"/>
    <x v="0"/>
    <n v="2"/>
    <n v="42667"/>
    <n v="85334"/>
    <n v="0"/>
    <n v="0"/>
    <n v="85334"/>
    <n v="42826.68"/>
    <n v="42507.32"/>
    <s v="Jan"/>
    <n v="2026"/>
    <n v="1"/>
  </r>
  <r>
    <s v="ORD-01039"/>
    <d v="2026-01-20T00:00:00"/>
    <s v="Belt"/>
    <s v="Accessories"/>
    <s v="Instagram"/>
    <s v="Lagos"/>
    <s v="Returning"/>
    <x v="0"/>
    <n v="2"/>
    <n v="15343"/>
    <n v="30686"/>
    <n v="3068.6"/>
    <n v="0.1"/>
    <n v="27617.4"/>
    <n v="20688.36"/>
    <n v="6929.0400000000009"/>
    <s v="Jan"/>
    <n v="2026"/>
    <n v="1"/>
  </r>
  <r>
    <s v="ORD-00446"/>
    <d v="2026-01-20T00:00:00"/>
    <s v="Hoodie"/>
    <s v="Clothing"/>
    <s v="Physical Store"/>
    <s v="Abuja"/>
    <s v="New"/>
    <x v="0"/>
    <n v="3"/>
    <n v="38665"/>
    <n v="115995"/>
    <n v="11599.5"/>
    <n v="0.1"/>
    <n v="104395.5"/>
    <n v="74051.05"/>
    <n v="30344.449999999997"/>
    <s v="Jan"/>
    <n v="2026"/>
    <n v="1"/>
  </r>
  <r>
    <s v="ORD-00164"/>
    <d v="2026-01-21T00:00:00"/>
    <s v="Belt"/>
    <s v="Accessories"/>
    <s v="WhatsApp"/>
    <s v="Lagos"/>
    <s v="Returning"/>
    <x v="0"/>
    <n v="5"/>
    <n v="14278"/>
    <n v="71390"/>
    <n v="7139"/>
    <n v="0.1"/>
    <n v="64251"/>
    <n v="38370.83"/>
    <n v="25880.17"/>
    <s v="Jan"/>
    <n v="2026"/>
    <n v="1"/>
  </r>
  <r>
    <s v="ORD-00520"/>
    <d v="2026-01-21T00:00:00"/>
    <s v="Cap"/>
    <s v="Accessories"/>
    <s v="Physical Store"/>
    <s v="Oyo"/>
    <s v="New"/>
    <x v="0"/>
    <n v="1"/>
    <n v="11370"/>
    <n v="11370"/>
    <n v="0"/>
    <n v="0"/>
    <n v="11370"/>
    <n v="6851.83"/>
    <n v="4518.17"/>
    <s v="Jan"/>
    <n v="2026"/>
    <n v="1"/>
  </r>
  <r>
    <s v="ORD-01165"/>
    <d v="2026-01-22T00:00:00"/>
    <s v="Polo Shirt"/>
    <s v="Clothing"/>
    <s v="WhatsApp"/>
    <s v="Oyo"/>
    <s v="New"/>
    <x v="0"/>
    <n v="3"/>
    <n v="24188"/>
    <n v="72564"/>
    <n v="0"/>
    <n v="0"/>
    <n v="72564"/>
    <n v="37529.43"/>
    <n v="35034.57"/>
    <s v="Jan"/>
    <n v="2026"/>
    <n v="1"/>
  </r>
  <r>
    <s v="ORD-00470"/>
    <d v="2026-01-23T00:00:00"/>
    <s v="Sneakers"/>
    <s v="Footwear"/>
    <s v="Physical Store"/>
    <s v="Lagos"/>
    <s v="Returning"/>
    <x v="0"/>
    <n v="1"/>
    <n v="60686"/>
    <n v="60686"/>
    <n v="0"/>
    <n v="0"/>
    <n v="60686"/>
    <n v="35188.01"/>
    <n v="25497.989999999998"/>
    <s v="Jan"/>
    <n v="2026"/>
    <n v="1"/>
  </r>
  <r>
    <s v="ORD-00383"/>
    <d v="2026-01-23T00:00:00"/>
    <s v="Dress"/>
    <s v="Clothing"/>
    <s v="Physical Store"/>
    <s v="Lagos"/>
    <s v="New"/>
    <x v="0"/>
    <n v="1"/>
    <n v="51286"/>
    <n v="51286"/>
    <n v="0"/>
    <n v="0"/>
    <n v="51286"/>
    <n v="27813.13"/>
    <n v="23472.87"/>
    <s v="Jan"/>
    <n v="2026"/>
    <n v="1"/>
  </r>
  <r>
    <s v="ORD-00827"/>
    <d v="2026-01-24T00:00:00"/>
    <s v="Cap"/>
    <s v="Accessories"/>
    <s v="WhatsApp"/>
    <s v="Rivers"/>
    <s v="Returning"/>
    <x v="0"/>
    <n v="1"/>
    <n v="12651"/>
    <n v="12651"/>
    <n v="0"/>
    <n v="0"/>
    <n v="12651"/>
    <n v="7343.34"/>
    <n v="5307.66"/>
    <s v="Jan"/>
    <n v="2026"/>
    <n v="1"/>
  </r>
  <r>
    <s v="ORD-01036"/>
    <d v="2026-01-27T00:00:00"/>
    <s v="Hoodie"/>
    <s v="Clothing"/>
    <s v="Physical Store"/>
    <s v="Rivers"/>
    <s v="New"/>
    <x v="0"/>
    <n v="1"/>
    <n v="35445"/>
    <n v="35445"/>
    <n v="0"/>
    <n v="0"/>
    <n v="35445"/>
    <n v="17665.05"/>
    <n v="17779.95"/>
    <s v="Jan"/>
    <n v="2026"/>
    <n v="1"/>
  </r>
  <r>
    <s v="ORD-01120"/>
    <d v="2026-01-28T00:00:00"/>
    <s v="Handbag"/>
    <s v="Accessories"/>
    <s v="Website"/>
    <s v="Rivers"/>
    <s v="New"/>
    <x v="0"/>
    <n v="1"/>
    <n v="42828"/>
    <n v="42828"/>
    <n v="0"/>
    <n v="0"/>
    <n v="42828"/>
    <n v="22974.9"/>
    <n v="19853.099999999999"/>
    <s v="Jan"/>
    <n v="2026"/>
    <n v="1"/>
  </r>
  <r>
    <s v="ORD-00936"/>
    <d v="2026-01-28T00:00:00"/>
    <s v="Belt"/>
    <s v="Accessories"/>
    <s v="WhatsApp"/>
    <s v="Lagos"/>
    <s v="New"/>
    <x v="0"/>
    <n v="2"/>
    <n v="15992"/>
    <n v="31984"/>
    <n v="0"/>
    <n v="0"/>
    <n v="31984"/>
    <n v="18993.060000000001"/>
    <n v="12990.939999999999"/>
    <s v="Jan"/>
    <n v="2026"/>
    <n v="1"/>
  </r>
  <r>
    <s v="ORD-00603"/>
    <d v="2026-01-28T00:00:00"/>
    <s v="T-Shirt"/>
    <s v="Clothing"/>
    <s v="Physical Store"/>
    <s v="Oyo"/>
    <s v="New"/>
    <x v="0"/>
    <n v="2"/>
    <n v="17906"/>
    <n v="35812"/>
    <n v="0"/>
    <n v="0"/>
    <n v="35812"/>
    <n v="24077.21"/>
    <n v="11734.79"/>
    <s v="Jan"/>
    <n v="2026"/>
    <n v="1"/>
  </r>
  <r>
    <s v="ORD-00712"/>
    <d v="2026-01-28T00:00:00"/>
    <s v="Cap"/>
    <s v="Accessories"/>
    <s v="Instagram"/>
    <s v="Abuja"/>
    <s v="New"/>
    <x v="0"/>
    <n v="3"/>
    <n v="11343"/>
    <n v="34029"/>
    <n v="1701.45"/>
    <n v="0.05"/>
    <n v="32327.55"/>
    <n v="20456.189999999999"/>
    <n v="11871.36"/>
    <s v="Jan"/>
    <n v="2026"/>
    <n v="1"/>
  </r>
  <r>
    <s v="ORD-00273"/>
    <d v="2026-01-28T00:00:00"/>
    <s v="Dress"/>
    <s v="Clothing"/>
    <s v="Instagram"/>
    <s v="Oyo"/>
    <s v="New"/>
    <x v="0"/>
    <n v="3"/>
    <n v="51419"/>
    <n v="154257"/>
    <n v="0"/>
    <n v="0"/>
    <n v="154257"/>
    <n v="102708.78"/>
    <n v="51548.22"/>
    <s v="Jan"/>
    <n v="2026"/>
    <n v="1"/>
  </r>
  <r>
    <s v="ORD-00399"/>
    <d v="2026-01-30T00:00:00"/>
    <s v="Handbag"/>
    <s v="Accessories"/>
    <s v="WhatsApp"/>
    <s v="Rivers"/>
    <s v="Returning"/>
    <x v="0"/>
    <n v="1"/>
    <n v="43658"/>
    <n v="43658"/>
    <n v="0"/>
    <n v="0"/>
    <n v="43658"/>
    <n v="24063.919999999998"/>
    <n v="19594.080000000002"/>
    <s v="Jan"/>
    <n v="2026"/>
    <n v="1"/>
  </r>
  <r>
    <s v="ORD-00619"/>
    <d v="2026-01-30T00:00:00"/>
    <s v="T-Shirt"/>
    <s v="Clothing"/>
    <s v="Physical Store"/>
    <s v="Lagos"/>
    <s v="New"/>
    <x v="0"/>
    <n v="1"/>
    <n v="16983"/>
    <n v="16983"/>
    <n v="0"/>
    <n v="0"/>
    <n v="16983"/>
    <n v="11457.98"/>
    <n v="5525.02"/>
    <s v="Jan"/>
    <n v="2026"/>
    <n v="1"/>
  </r>
  <r>
    <s v="ORD-00940"/>
    <d v="2026-01-30T00:00:00"/>
    <s v="Hoodie"/>
    <s v="Clothing"/>
    <s v="Physical Store"/>
    <s v="Rivers"/>
    <s v="New"/>
    <x v="0"/>
    <n v="5"/>
    <n v="36297"/>
    <n v="181485"/>
    <n v="0"/>
    <n v="0"/>
    <n v="181485"/>
    <n v="111627.95"/>
    <n v="69857.05"/>
    <s v="Jan"/>
    <n v="2026"/>
    <n v="1"/>
  </r>
  <r>
    <s v="ORD-00361"/>
    <d v="2026-01-31T00:00:00"/>
    <s v="Sandals"/>
    <s v="Footwear"/>
    <s v="Website"/>
    <s v="Lagos"/>
    <s v="New"/>
    <x v="0"/>
    <n v="1"/>
    <n v="27892"/>
    <n v="27892"/>
    <n v="0"/>
    <n v="0"/>
    <n v="27892"/>
    <n v="17373.45"/>
    <n v="10518.55"/>
    <s v="Jan"/>
    <n v="2026"/>
    <n v="1"/>
  </r>
  <r>
    <s v="ORD-00884"/>
    <d v="2026-02-01T00:00:00"/>
    <s v="Belt"/>
    <s v="Accessories"/>
    <s v="WhatsApp"/>
    <s v="Lagos"/>
    <s v="New"/>
    <x v="0"/>
    <n v="2"/>
    <n v="15440"/>
    <n v="30880"/>
    <n v="0"/>
    <n v="0"/>
    <n v="30880"/>
    <n v="19365.73"/>
    <n v="11514.27"/>
    <s v="Feb"/>
    <n v="2026"/>
    <n v="2"/>
  </r>
  <r>
    <s v="ORD-00580"/>
    <d v="2026-02-01T00:00:00"/>
    <s v="Hoodie"/>
    <s v="Clothing"/>
    <s v="WhatsApp"/>
    <s v="Lagos"/>
    <s v="Returning"/>
    <x v="1"/>
    <n v="3"/>
    <n v="37710"/>
    <n v="113130"/>
    <n v="11313"/>
    <n v="0.1"/>
    <n v="101817"/>
    <n v="68711.12"/>
    <n v="33105.880000000005"/>
    <s v="Feb"/>
    <n v="2026"/>
    <n v="2"/>
  </r>
  <r>
    <s v="ORD-00070"/>
    <d v="2026-02-02T00:00:00"/>
    <s v="Handbag"/>
    <s v="Accessories"/>
    <s v="Physical Store"/>
    <s v="Lagos"/>
    <s v="Returning"/>
    <x v="1"/>
    <n v="3"/>
    <n v="42010"/>
    <n v="126030"/>
    <n v="6301.5"/>
    <n v="0.05"/>
    <n v="119728.5"/>
    <n v="62311.360000000001"/>
    <n v="57417.14"/>
    <s v="Feb"/>
    <n v="2026"/>
    <n v="2"/>
  </r>
  <r>
    <s v="ORD-00590"/>
    <d v="2026-02-02T00:00:00"/>
    <s v="Hoodie"/>
    <s v="Clothing"/>
    <s v="Website"/>
    <s v="Lagos"/>
    <s v="New"/>
    <x v="0"/>
    <n v="1"/>
    <n v="38433"/>
    <n v="38433"/>
    <n v="5764.95"/>
    <n v="0.15"/>
    <n v="32668.05"/>
    <n v="22469.15"/>
    <n v="10198.899999999998"/>
    <s v="Feb"/>
    <n v="2026"/>
    <n v="2"/>
  </r>
  <r>
    <s v="ORD-00493"/>
    <d v="2026-02-02T00:00:00"/>
    <s v="Jeans"/>
    <s v="Clothing"/>
    <s v="WhatsApp"/>
    <s v="Delta"/>
    <s v="New"/>
    <x v="0"/>
    <n v="2"/>
    <n v="45263"/>
    <n v="90526"/>
    <n v="0"/>
    <n v="0"/>
    <n v="90526"/>
    <n v="47863.17"/>
    <n v="42662.83"/>
    <s v="Feb"/>
    <n v="2026"/>
    <n v="2"/>
  </r>
  <r>
    <s v="ORD-00170"/>
    <d v="2026-02-02T00:00:00"/>
    <s v="T-Shirt"/>
    <s v="Clothing"/>
    <s v="Physical Store"/>
    <s v="Lagos"/>
    <s v="New"/>
    <x v="1"/>
    <n v="4"/>
    <n v="19259"/>
    <n v="77036"/>
    <n v="11555.4"/>
    <n v="0.15"/>
    <n v="65480.6"/>
    <n v="44271.06"/>
    <n v="21209.54"/>
    <s v="Feb"/>
    <n v="2026"/>
    <n v="2"/>
  </r>
  <r>
    <s v="ORD-00158"/>
    <d v="2026-02-05T00:00:00"/>
    <s v="Cap"/>
    <s v="Accessories"/>
    <s v="Instagram"/>
    <s v="Delta"/>
    <s v="New"/>
    <x v="0"/>
    <n v="3"/>
    <n v="12124"/>
    <n v="36372"/>
    <n v="0"/>
    <n v="0"/>
    <n v="36372"/>
    <n v="21618.13"/>
    <n v="14753.869999999999"/>
    <s v="Feb"/>
    <n v="2026"/>
    <n v="2"/>
  </r>
  <r>
    <s v="ORD-00583"/>
    <d v="2026-02-05T00:00:00"/>
    <s v="T-Shirt"/>
    <s v="Clothing"/>
    <s v="Instagram"/>
    <s v="Abuja"/>
    <s v="Returning"/>
    <x v="1"/>
    <n v="2"/>
    <n v="17304"/>
    <n v="34608"/>
    <n v="3460.8"/>
    <n v="0.1"/>
    <n v="31147.200000000001"/>
    <n v="22838.52"/>
    <n v="8308.68"/>
    <s v="Feb"/>
    <n v="2026"/>
    <n v="2"/>
  </r>
  <r>
    <s v="ORD-00106"/>
    <d v="2026-02-05T00:00:00"/>
    <s v="Handbag"/>
    <s v="Accessories"/>
    <s v="WhatsApp"/>
    <s v="Abuja"/>
    <s v="Returning"/>
    <x v="0"/>
    <n v="2"/>
    <n v="47749"/>
    <n v="95498"/>
    <n v="0"/>
    <n v="0"/>
    <n v="95498"/>
    <n v="48937.63"/>
    <n v="46560.37"/>
    <s v="Feb"/>
    <n v="2026"/>
    <n v="2"/>
  </r>
  <r>
    <s v="ORD-00363"/>
    <d v="2026-02-07T00:00:00"/>
    <s v="Jeans"/>
    <s v="Clothing"/>
    <s v="WhatsApp"/>
    <s v="Rivers"/>
    <s v="New"/>
    <x v="1"/>
    <n v="1"/>
    <n v="39857"/>
    <n v="39857"/>
    <n v="1992.85"/>
    <n v="0.05"/>
    <n v="37864.15"/>
    <n v="22198.22"/>
    <n v="15665.93"/>
    <s v="Feb"/>
    <n v="2026"/>
    <n v="2"/>
  </r>
  <r>
    <s v="ORD-00917"/>
    <d v="2026-02-07T00:00:00"/>
    <s v="Handbag"/>
    <s v="Accessories"/>
    <s v="Physical Store"/>
    <s v="Rivers"/>
    <s v="Returning"/>
    <x v="1"/>
    <n v="3"/>
    <n v="46839"/>
    <n v="140517"/>
    <n v="7025.85"/>
    <n v="0.05"/>
    <n v="133491.15"/>
    <n v="80848.92"/>
    <n v="52642.229999999996"/>
    <s v="Feb"/>
    <n v="2026"/>
    <n v="2"/>
  </r>
  <r>
    <s v="ORD-00010"/>
    <d v="2026-02-08T00:00:00"/>
    <s v="Belt"/>
    <s v="Accessories"/>
    <s v="Instagram"/>
    <s v="Delta"/>
    <s v="New"/>
    <x v="1"/>
    <n v="2"/>
    <n v="16161"/>
    <n v="32322"/>
    <n v="3232.2"/>
    <n v="0.1"/>
    <n v="29089.8"/>
    <n v="21294.37"/>
    <n v="7795.43"/>
    <s v="Feb"/>
    <n v="2026"/>
    <n v="2"/>
  </r>
  <r>
    <s v="ORD-00574"/>
    <d v="2026-02-09T00:00:00"/>
    <s v="Handbag"/>
    <s v="Accessories"/>
    <s v="Website"/>
    <s v="Oyo"/>
    <s v="New"/>
    <x v="1"/>
    <n v="3"/>
    <n v="46780"/>
    <n v="140340"/>
    <n v="21051"/>
    <n v="0.15"/>
    <n v="119289"/>
    <n v="82438.06"/>
    <n v="36850.94"/>
    <s v="Feb"/>
    <n v="2026"/>
    <n v="2"/>
  </r>
  <r>
    <s v="ORD-00552"/>
    <d v="2026-02-09T00:00:00"/>
    <s v="Sandals"/>
    <s v="Footwear"/>
    <s v="Physical Store"/>
    <s v="Abuja"/>
    <s v="New"/>
    <x v="0"/>
    <n v="2"/>
    <n v="29405"/>
    <n v="58810"/>
    <n v="0"/>
    <n v="0"/>
    <n v="58810"/>
    <n v="34414.980000000003"/>
    <n v="24395.019999999997"/>
    <s v="Feb"/>
    <n v="2026"/>
    <n v="2"/>
  </r>
  <r>
    <s v="ORD-01159"/>
    <d v="2026-02-10T00:00:00"/>
    <s v="Jeans"/>
    <s v="Clothing"/>
    <s v="Physical Store"/>
    <s v="Oyo"/>
    <s v="Returning"/>
    <x v="0"/>
    <n v="1"/>
    <n v="42155"/>
    <n v="42155"/>
    <n v="4215.5"/>
    <n v="0.1"/>
    <n v="37939.5"/>
    <n v="26360.43"/>
    <n v="11579.07"/>
    <s v="Feb"/>
    <n v="2026"/>
    <n v="2"/>
  </r>
  <r>
    <s v="ORD-00309"/>
    <d v="2026-02-12T00:00:00"/>
    <s v="Sandals"/>
    <s v="Footwear"/>
    <s v="Website"/>
    <s v="Delta"/>
    <s v="Returning"/>
    <x v="1"/>
    <n v="1"/>
    <n v="28754"/>
    <n v="28754"/>
    <n v="2875.4"/>
    <n v="0.1"/>
    <n v="25878.6"/>
    <n v="18552.45"/>
    <n v="7326.1499999999978"/>
    <s v="Feb"/>
    <n v="2026"/>
    <n v="2"/>
  </r>
  <r>
    <s v="ORD-00957"/>
    <d v="2026-02-13T00:00:00"/>
    <s v="Handbag"/>
    <s v="Accessories"/>
    <s v="Website"/>
    <s v="Abuja"/>
    <s v="Returning"/>
    <x v="1"/>
    <n v="2"/>
    <n v="47044"/>
    <n v="94088"/>
    <n v="14113.2"/>
    <n v="0.15"/>
    <n v="79974.8"/>
    <n v="61306.84"/>
    <n v="18667.960000000006"/>
    <s v="Feb"/>
    <n v="2026"/>
    <n v="2"/>
  </r>
  <r>
    <s v="ORD-00047"/>
    <d v="2026-02-14T00:00:00"/>
    <s v="Handbag"/>
    <s v="Accessories"/>
    <s v="Physical Store"/>
    <s v="Lagos"/>
    <s v="Returning"/>
    <x v="1"/>
    <n v="2"/>
    <n v="46705"/>
    <n v="93410"/>
    <n v="4670.5"/>
    <n v="0.05"/>
    <n v="88739.5"/>
    <n v="48885.93"/>
    <n v="39853.57"/>
    <s v="Feb"/>
    <n v="2026"/>
    <n v="2"/>
  </r>
  <r>
    <s v="ORD-00388"/>
    <d v="2026-02-14T00:00:00"/>
    <s v="Jeans"/>
    <s v="Clothing"/>
    <s v="Website"/>
    <s v="Abuja"/>
    <s v="New"/>
    <x v="0"/>
    <n v="1"/>
    <n v="40517"/>
    <n v="40517"/>
    <n v="0"/>
    <n v="0"/>
    <n v="40517"/>
    <n v="26631.84"/>
    <n v="13885.16"/>
    <s v="Feb"/>
    <n v="2026"/>
    <n v="2"/>
  </r>
  <r>
    <s v="ORD-00041"/>
    <d v="2026-02-15T00:00:00"/>
    <s v="Handbag"/>
    <s v="Accessories"/>
    <s v="WhatsApp"/>
    <s v="Rivers"/>
    <s v="Returning"/>
    <x v="1"/>
    <n v="1"/>
    <n v="46061"/>
    <n v="46061"/>
    <n v="2303.0500000000002"/>
    <n v="0.05"/>
    <n v="43757.95"/>
    <n v="24352.29"/>
    <n v="19405.659999999996"/>
    <s v="Feb"/>
    <n v="2026"/>
    <n v="2"/>
  </r>
  <r>
    <s v="ORD-00760"/>
    <d v="2026-02-15T00:00:00"/>
    <s v="Dress"/>
    <s v="Clothing"/>
    <s v="Physical Store"/>
    <s v="Delta"/>
    <s v="New"/>
    <x v="1"/>
    <n v="3"/>
    <n v="50166"/>
    <n v="150498"/>
    <n v="7524.9"/>
    <n v="0.05"/>
    <n v="142973.1"/>
    <n v="97227.5"/>
    <n v="45745.600000000006"/>
    <s v="Feb"/>
    <n v="2026"/>
    <n v="2"/>
  </r>
  <r>
    <s v="ORD-01076"/>
    <d v="2026-02-16T00:00:00"/>
    <s v="Hoodie"/>
    <s v="Clothing"/>
    <s v="WhatsApp"/>
    <s v="Rivers"/>
    <s v="New"/>
    <x v="0"/>
    <n v="1"/>
    <n v="35507"/>
    <n v="35507"/>
    <n v="0"/>
    <n v="0"/>
    <n v="35507"/>
    <n v="17851.23"/>
    <n v="17655.77"/>
    <s v="Feb"/>
    <n v="2026"/>
    <n v="2"/>
  </r>
  <r>
    <s v="ORD-00929"/>
    <d v="2026-02-16T00:00:00"/>
    <s v="Polo Shirt"/>
    <s v="Clothing"/>
    <s v="Website"/>
    <s v="Abuja"/>
    <s v="New"/>
    <x v="0"/>
    <n v="3"/>
    <n v="26289"/>
    <n v="78867"/>
    <n v="0"/>
    <n v="0"/>
    <n v="78867"/>
    <n v="53067.86"/>
    <n v="25799.14"/>
    <s v="Feb"/>
    <n v="2026"/>
    <n v="2"/>
  </r>
  <r>
    <s v="ORD-00857"/>
    <d v="2026-02-17T00:00:00"/>
    <s v="Cap"/>
    <s v="Accessories"/>
    <s v="WhatsApp"/>
    <s v="Lagos"/>
    <s v="Returning"/>
    <x v="0"/>
    <n v="2"/>
    <n v="12855"/>
    <n v="25710"/>
    <n v="0"/>
    <n v="0"/>
    <n v="25710"/>
    <n v="15422.37"/>
    <n v="10287.629999999999"/>
    <s v="Feb"/>
    <n v="2026"/>
    <n v="2"/>
  </r>
  <r>
    <s v="ORD-00091"/>
    <d v="2026-02-18T00:00:00"/>
    <s v="Dress"/>
    <s v="Clothing"/>
    <s v="WhatsApp"/>
    <s v="Rivers"/>
    <s v="Returning"/>
    <x v="1"/>
    <n v="4"/>
    <n v="52241"/>
    <n v="208964"/>
    <n v="41792.800000000003"/>
    <n v="0.2"/>
    <n v="167171.20000000001"/>
    <n v="102696.62"/>
    <n v="64474.580000000016"/>
    <s v="Feb"/>
    <n v="2026"/>
    <n v="2"/>
  </r>
  <r>
    <s v="ORD-01180"/>
    <d v="2026-02-19T00:00:00"/>
    <s v="Cap"/>
    <s v="Accessories"/>
    <s v="Website"/>
    <s v="Oyo"/>
    <s v="New"/>
    <x v="1"/>
    <n v="2"/>
    <n v="12529"/>
    <n v="25058"/>
    <n v="1252.9000000000001"/>
    <n v="0.05"/>
    <n v="23805.1"/>
    <n v="13093.43"/>
    <n v="10711.669999999998"/>
    <s v="Feb"/>
    <n v="2026"/>
    <n v="2"/>
  </r>
  <r>
    <s v="ORD-00500"/>
    <d v="2026-02-22T00:00:00"/>
    <s v="Polo Shirt"/>
    <s v="Clothing"/>
    <s v="WhatsApp"/>
    <s v="Rivers"/>
    <s v="New"/>
    <x v="1"/>
    <n v="5"/>
    <n v="24125"/>
    <n v="120625"/>
    <n v="18093.75"/>
    <n v="0.15"/>
    <n v="102531.25"/>
    <n v="59266.09"/>
    <n v="43265.16"/>
    <s v="Feb"/>
    <n v="2026"/>
    <n v="2"/>
  </r>
  <r>
    <s v="ORD-00610"/>
    <d v="2026-02-23T00:00:00"/>
    <s v="Jeans"/>
    <s v="Clothing"/>
    <s v="Website"/>
    <s v="Lagos"/>
    <s v="Returning"/>
    <x v="1"/>
    <n v="4"/>
    <n v="39123"/>
    <n v="156492"/>
    <n v="23473.8"/>
    <n v="0.15"/>
    <n v="133018.20000000001"/>
    <n v="105092.72"/>
    <n v="27925.48000000001"/>
    <s v="Feb"/>
    <n v="2026"/>
    <n v="2"/>
  </r>
  <r>
    <s v="ORD-00759"/>
    <d v="2026-02-23T00:00:00"/>
    <s v="Belt"/>
    <s v="Accessories"/>
    <s v="Instagram"/>
    <s v="Abuja"/>
    <s v="New"/>
    <x v="1"/>
    <n v="5"/>
    <n v="14590"/>
    <n v="72950"/>
    <n v="10942.5"/>
    <n v="0.15"/>
    <n v="62007.5"/>
    <n v="47378.06"/>
    <n v="14629.440000000002"/>
    <s v="Feb"/>
    <n v="2026"/>
    <n v="2"/>
  </r>
  <r>
    <s v="ORD-00270"/>
    <d v="2026-02-23T00:00:00"/>
    <s v="Polo Shirt"/>
    <s v="Clothing"/>
    <s v="Instagram"/>
    <s v="Oyo"/>
    <s v="New"/>
    <x v="1"/>
    <n v="1"/>
    <n v="25042"/>
    <n v="25042"/>
    <n v="2504.1999999999998"/>
    <n v="0.1"/>
    <n v="22537.8"/>
    <n v="16580.84"/>
    <n v="5956.9599999999991"/>
    <s v="Feb"/>
    <n v="2026"/>
    <n v="2"/>
  </r>
  <r>
    <s v="ORD-00338"/>
    <d v="2026-02-28T00:00:00"/>
    <s v="Jeans"/>
    <s v="Clothing"/>
    <s v="Instagram"/>
    <s v="Abuja"/>
    <s v="Returning"/>
    <x v="1"/>
    <n v="1"/>
    <n v="44545"/>
    <n v="44545"/>
    <n v="2227.25"/>
    <n v="0.05"/>
    <n v="42317.75"/>
    <n v="29131.88"/>
    <n v="13185.869999999999"/>
    <s v="Feb"/>
    <n v="2026"/>
    <n v="2"/>
  </r>
  <r>
    <s v="ORD-00327"/>
    <d v="2026-03-01T00:00:00"/>
    <s v="T-Shirt"/>
    <s v="Clothing"/>
    <s v="Physical Store"/>
    <s v="Lagos"/>
    <s v="New"/>
    <x v="0"/>
    <n v="3"/>
    <n v="19073"/>
    <n v="57219"/>
    <n v="0"/>
    <n v="0"/>
    <n v="57219"/>
    <n v="35821.949999999997"/>
    <n v="21397.050000000003"/>
    <s v="Mar"/>
    <n v="2026"/>
    <n v="3"/>
  </r>
  <r>
    <s v="ORD-00068"/>
    <d v="2026-03-02T00:00:00"/>
    <s v="Sandals"/>
    <s v="Footwear"/>
    <s v="Instagram"/>
    <s v="Delta"/>
    <s v="New"/>
    <x v="2"/>
    <n v="2"/>
    <n v="31482"/>
    <n v="62964"/>
    <n v="12592.8"/>
    <n v="0.2"/>
    <n v="50371.199999999997"/>
    <n v="33740.74"/>
    <n v="16630.46"/>
    <s v="Mar"/>
    <n v="2026"/>
    <n v="3"/>
  </r>
  <r>
    <s v="ORD-00367"/>
    <d v="2026-03-02T00:00:00"/>
    <s v="Cap"/>
    <s v="Accessories"/>
    <s v="WhatsApp"/>
    <s v="Lagos"/>
    <s v="New"/>
    <x v="0"/>
    <n v="1"/>
    <n v="11305"/>
    <n v="11305"/>
    <n v="0"/>
    <n v="0"/>
    <n v="11305"/>
    <n v="6557.03"/>
    <n v="4747.97"/>
    <s v="Mar"/>
    <n v="2026"/>
    <n v="3"/>
  </r>
  <r>
    <s v="ORD-00828"/>
    <d v="2026-03-04T00:00:00"/>
    <s v="T-Shirt"/>
    <s v="Clothing"/>
    <s v="Website"/>
    <s v="Rivers"/>
    <s v="Returning"/>
    <x v="2"/>
    <n v="1"/>
    <n v="18654"/>
    <n v="18654"/>
    <n v="1865.4"/>
    <n v="0.1"/>
    <n v="16788.599999999999"/>
    <n v="9722.65"/>
    <n v="7065.9499999999989"/>
    <s v="Mar"/>
    <n v="2026"/>
    <n v="3"/>
  </r>
  <r>
    <s v="ORD-00643"/>
    <d v="2026-03-04T00:00:00"/>
    <s v="Dress"/>
    <s v="Clothing"/>
    <s v="WhatsApp"/>
    <s v="Rivers"/>
    <s v="New"/>
    <x v="2"/>
    <n v="1"/>
    <n v="47077"/>
    <n v="47077"/>
    <n v="9415.4"/>
    <n v="0.2"/>
    <n v="37661.599999999999"/>
    <n v="27168.11"/>
    <n v="10493.489999999998"/>
    <s v="Mar"/>
    <n v="2026"/>
    <n v="3"/>
  </r>
  <r>
    <s v="ORD-01024"/>
    <d v="2026-03-04T00:00:00"/>
    <s v="Cap"/>
    <s v="Accessories"/>
    <s v="Physical Store"/>
    <s v="Oyo"/>
    <s v="New"/>
    <x v="0"/>
    <n v="1"/>
    <n v="12588"/>
    <n v="12588"/>
    <n v="0"/>
    <n v="0"/>
    <n v="12588"/>
    <n v="7156.3"/>
    <n v="5431.7"/>
    <s v="Mar"/>
    <n v="2026"/>
    <n v="3"/>
  </r>
  <r>
    <s v="ORD-00109"/>
    <d v="2026-03-05T00:00:00"/>
    <s v="Dress"/>
    <s v="Clothing"/>
    <s v="Website"/>
    <s v="Lagos"/>
    <s v="New"/>
    <x v="0"/>
    <n v="2"/>
    <n v="51917"/>
    <n v="103834"/>
    <n v="0"/>
    <n v="0"/>
    <n v="103834"/>
    <n v="62586.51"/>
    <n v="41247.49"/>
    <s v="Mar"/>
    <n v="2026"/>
    <n v="3"/>
  </r>
  <r>
    <s v="ORD-00454"/>
    <d v="2026-03-05T00:00:00"/>
    <s v="Belt"/>
    <s v="Accessories"/>
    <s v="WhatsApp"/>
    <s v="Lagos"/>
    <s v="Returning"/>
    <x v="2"/>
    <n v="1"/>
    <n v="14606"/>
    <n v="14606"/>
    <n v="730.3"/>
    <n v="0.05"/>
    <n v="13875.7"/>
    <n v="9338.0400000000009"/>
    <n v="4537.66"/>
    <s v="Mar"/>
    <n v="2026"/>
    <n v="3"/>
  </r>
  <r>
    <s v="ORD-00542"/>
    <d v="2026-03-05T00:00:00"/>
    <s v="Jeans"/>
    <s v="Clothing"/>
    <s v="Physical Store"/>
    <s v="Delta"/>
    <s v="New"/>
    <x v="2"/>
    <n v="3"/>
    <n v="44612"/>
    <n v="133836"/>
    <n v="20075.400000000001"/>
    <n v="0.15"/>
    <n v="113760.6"/>
    <n v="70759.850000000006"/>
    <n v="43000.75"/>
    <s v="Mar"/>
    <n v="2026"/>
    <n v="3"/>
  </r>
  <r>
    <s v="ORD-00130"/>
    <d v="2026-03-06T00:00:00"/>
    <s v="Dress"/>
    <s v="Clothing"/>
    <s v="Physical Store"/>
    <s v="Lagos"/>
    <s v="New"/>
    <x v="2"/>
    <n v="1"/>
    <n v="51927"/>
    <n v="51927"/>
    <n v="7789.05"/>
    <n v="0.15"/>
    <n v="44137.95"/>
    <n v="33534.639999999999"/>
    <n v="10603.309999999998"/>
    <s v="Mar"/>
    <n v="2026"/>
    <n v="3"/>
  </r>
  <r>
    <s v="ORD-00606"/>
    <d v="2026-03-07T00:00:00"/>
    <s v="Hoodie"/>
    <s v="Clothing"/>
    <s v="WhatsApp"/>
    <s v="Oyo"/>
    <s v="Returning"/>
    <x v="0"/>
    <n v="2"/>
    <n v="40831"/>
    <n v="81662"/>
    <n v="0"/>
    <n v="0"/>
    <n v="81662"/>
    <n v="52445.04"/>
    <n v="29216.959999999999"/>
    <s v="Mar"/>
    <n v="2026"/>
    <n v="3"/>
  </r>
  <r>
    <s v="ORD-00530"/>
    <d v="2026-03-08T00:00:00"/>
    <s v="Handbag"/>
    <s v="Accessories"/>
    <s v="Physical Store"/>
    <s v="Lagos"/>
    <s v="Returning"/>
    <x v="2"/>
    <n v="3"/>
    <n v="47695"/>
    <n v="143085"/>
    <n v="7154.25"/>
    <n v="0.05"/>
    <n v="135930.75"/>
    <n v="89361.84"/>
    <n v="46568.91"/>
    <s v="Mar"/>
    <n v="2026"/>
    <n v="3"/>
  </r>
  <r>
    <s v="ORD-00232"/>
    <d v="2026-03-08T00:00:00"/>
    <s v="Polo Shirt"/>
    <s v="Clothing"/>
    <s v="Physical Store"/>
    <s v="Delta"/>
    <s v="New"/>
    <x v="0"/>
    <n v="1"/>
    <n v="23280"/>
    <n v="23280"/>
    <n v="0"/>
    <n v="0"/>
    <n v="23280"/>
    <n v="14007.15"/>
    <n v="9272.85"/>
    <s v="Mar"/>
    <n v="2026"/>
    <n v="3"/>
  </r>
  <r>
    <s v="ORD-00594"/>
    <d v="2026-03-08T00:00:00"/>
    <s v="T-Shirt"/>
    <s v="Clothing"/>
    <s v="Physical Store"/>
    <s v="Lagos"/>
    <s v="New"/>
    <x v="2"/>
    <n v="1"/>
    <n v="17823"/>
    <n v="17823"/>
    <n v="1782.3"/>
    <n v="0.1"/>
    <n v="16040.7"/>
    <n v="9020.0499999999993"/>
    <n v="7020.6500000000015"/>
    <s v="Mar"/>
    <n v="2026"/>
    <n v="3"/>
  </r>
  <r>
    <s v="ORD-00771"/>
    <d v="2026-03-08T00:00:00"/>
    <s v="Cap"/>
    <s v="Accessories"/>
    <s v="Instagram"/>
    <s v="Delta"/>
    <s v="Returning"/>
    <x v="0"/>
    <n v="3"/>
    <n v="11163"/>
    <n v="33489"/>
    <n v="0"/>
    <n v="0"/>
    <n v="33489"/>
    <n v="18471.28"/>
    <n v="15017.720000000001"/>
    <s v="Mar"/>
    <n v="2026"/>
    <n v="3"/>
  </r>
  <r>
    <s v="ORD-00928"/>
    <d v="2026-03-10T00:00:00"/>
    <s v="Handbag"/>
    <s v="Accessories"/>
    <s v="Website"/>
    <s v="Abuja"/>
    <s v="New"/>
    <x v="0"/>
    <n v="1"/>
    <n v="45121"/>
    <n v="45121"/>
    <n v="0"/>
    <n v="0"/>
    <n v="45121"/>
    <n v="23551.94"/>
    <n v="21569.06"/>
    <s v="Mar"/>
    <n v="2026"/>
    <n v="3"/>
  </r>
  <r>
    <s v="ORD-00784"/>
    <d v="2026-03-10T00:00:00"/>
    <s v="T-Shirt"/>
    <s v="Clothing"/>
    <s v="Website"/>
    <s v="Rivers"/>
    <s v="Returning"/>
    <x v="0"/>
    <n v="1"/>
    <n v="19313"/>
    <n v="19313"/>
    <n v="0"/>
    <n v="0"/>
    <n v="19313"/>
    <n v="11036.67"/>
    <n v="8276.33"/>
    <s v="Mar"/>
    <n v="2026"/>
    <n v="3"/>
  </r>
  <r>
    <s v="ORD-00214"/>
    <d v="2026-03-11T00:00:00"/>
    <s v="Handbag"/>
    <s v="Accessories"/>
    <s v="WhatsApp"/>
    <s v="Oyo"/>
    <s v="Returning"/>
    <x v="0"/>
    <n v="2"/>
    <n v="45840"/>
    <n v="91680"/>
    <n v="0"/>
    <n v="0"/>
    <n v="91680"/>
    <n v="57536.85"/>
    <n v="34143.15"/>
    <s v="Mar"/>
    <n v="2026"/>
    <n v="3"/>
  </r>
  <r>
    <s v="ORD-00332"/>
    <d v="2026-03-12T00:00:00"/>
    <s v="Jeans"/>
    <s v="Clothing"/>
    <s v="WhatsApp"/>
    <s v="Lagos"/>
    <s v="New"/>
    <x v="2"/>
    <n v="3"/>
    <n v="40866"/>
    <n v="122598"/>
    <n v="18389.7"/>
    <n v="0.15"/>
    <n v="104208.3"/>
    <n v="68555.259999999995"/>
    <n v="35653.040000000008"/>
    <s v="Mar"/>
    <n v="2026"/>
    <n v="3"/>
  </r>
  <r>
    <s v="ORD-00360"/>
    <d v="2026-03-12T00:00:00"/>
    <s v="T-Shirt"/>
    <s v="Clothing"/>
    <s v="Website"/>
    <s v="Lagos"/>
    <s v="New"/>
    <x v="0"/>
    <n v="2"/>
    <n v="16578"/>
    <n v="33156"/>
    <n v="0"/>
    <n v="0"/>
    <n v="33156"/>
    <n v="17808.919999999998"/>
    <n v="15347.080000000002"/>
    <s v="Mar"/>
    <n v="2026"/>
    <n v="3"/>
  </r>
  <r>
    <s v="ORD-00655"/>
    <d v="2026-03-14T00:00:00"/>
    <s v="Sneakers"/>
    <s v="Footwear"/>
    <s v="WhatsApp"/>
    <s v="Abuja"/>
    <s v="New"/>
    <x v="0"/>
    <n v="2"/>
    <n v="66593"/>
    <n v="133186"/>
    <n v="0"/>
    <n v="0"/>
    <n v="133186"/>
    <n v="89666.83"/>
    <n v="43519.17"/>
    <s v="Mar"/>
    <n v="2026"/>
    <n v="3"/>
  </r>
  <r>
    <s v="ORD-00995"/>
    <d v="2026-03-15T00:00:00"/>
    <s v="Polo Shirt"/>
    <s v="Clothing"/>
    <s v="Physical Store"/>
    <s v="Lagos"/>
    <s v="New"/>
    <x v="2"/>
    <n v="1"/>
    <n v="24272"/>
    <n v="24272"/>
    <n v="3640.8"/>
    <n v="0.15"/>
    <n v="20631.2"/>
    <n v="13746.36"/>
    <n v="6884.84"/>
    <s v="Mar"/>
    <n v="2026"/>
    <n v="3"/>
  </r>
  <r>
    <s v="ORD-00097"/>
    <d v="2026-03-15T00:00:00"/>
    <s v="Handbag"/>
    <s v="Accessories"/>
    <s v="Physical Store"/>
    <s v="Delta"/>
    <s v="New"/>
    <x v="2"/>
    <n v="2"/>
    <n v="45351"/>
    <n v="90702"/>
    <n v="13605.3"/>
    <n v="0.15"/>
    <n v="77096.7"/>
    <n v="47639.360000000001"/>
    <n v="29457.339999999997"/>
    <s v="Mar"/>
    <n v="2026"/>
    <n v="3"/>
  </r>
  <r>
    <s v="ORD-01101"/>
    <d v="2026-03-15T00:00:00"/>
    <s v="Sandals"/>
    <s v="Footwear"/>
    <s v="WhatsApp"/>
    <s v="Lagos"/>
    <s v="Returning"/>
    <x v="0"/>
    <n v="1"/>
    <n v="31634"/>
    <n v="31634"/>
    <n v="0"/>
    <n v="0"/>
    <n v="31634"/>
    <n v="16199.1"/>
    <n v="15434.9"/>
    <s v="Mar"/>
    <n v="2026"/>
    <n v="3"/>
  </r>
  <r>
    <s v="ORD-00972"/>
    <d v="2026-03-15T00:00:00"/>
    <s v="Handbag"/>
    <s v="Accessories"/>
    <s v="WhatsApp"/>
    <s v="Oyo"/>
    <s v="New"/>
    <x v="2"/>
    <n v="2"/>
    <n v="45857"/>
    <n v="91714"/>
    <n v="4585.7"/>
    <n v="0.05"/>
    <n v="87128.3"/>
    <n v="53604.51"/>
    <n v="33523.79"/>
    <s v="Mar"/>
    <n v="2026"/>
    <n v="3"/>
  </r>
  <r>
    <s v="ORD-00592"/>
    <d v="2026-03-16T00:00:00"/>
    <s v="Handbag"/>
    <s v="Accessories"/>
    <s v="Instagram"/>
    <s v="Rivers"/>
    <s v="New"/>
    <x v="0"/>
    <n v="3"/>
    <n v="43441"/>
    <n v="130323"/>
    <n v="0"/>
    <n v="0"/>
    <n v="130323"/>
    <n v="75125.77"/>
    <n v="55197.229999999996"/>
    <s v="Mar"/>
    <n v="2026"/>
    <n v="3"/>
  </r>
  <r>
    <s v="ORD-00012"/>
    <d v="2026-03-16T00:00:00"/>
    <s v="Sneakers"/>
    <s v="Footwear"/>
    <s v="Website"/>
    <s v="Abuja"/>
    <s v="New"/>
    <x v="2"/>
    <n v="3"/>
    <n v="69283"/>
    <n v="207849"/>
    <n v="20784.900000000001"/>
    <n v="0.1"/>
    <n v="187064.1"/>
    <n v="107477.01"/>
    <n v="79587.090000000011"/>
    <s v="Mar"/>
    <n v="2026"/>
    <n v="3"/>
  </r>
  <r>
    <s v="ORD-00677"/>
    <d v="2026-03-16T00:00:00"/>
    <s v="Hoodie"/>
    <s v="Clothing"/>
    <s v="WhatsApp"/>
    <s v="Lagos"/>
    <s v="New"/>
    <x v="0"/>
    <n v="4"/>
    <n v="36947"/>
    <n v="147788"/>
    <n v="0"/>
    <n v="0"/>
    <n v="147788"/>
    <n v="98440.07"/>
    <n v="49347.929999999993"/>
    <s v="Mar"/>
    <n v="2026"/>
    <n v="3"/>
  </r>
  <r>
    <s v="ORD-00815"/>
    <d v="2026-03-16T00:00:00"/>
    <s v="Dress"/>
    <s v="Clothing"/>
    <s v="Instagram"/>
    <s v="Oyo"/>
    <s v="New"/>
    <x v="0"/>
    <n v="5"/>
    <n v="52730"/>
    <n v="263650"/>
    <n v="0"/>
    <n v="0"/>
    <n v="263650"/>
    <n v="167041.31"/>
    <n v="96608.69"/>
    <s v="Mar"/>
    <n v="2026"/>
    <n v="3"/>
  </r>
  <r>
    <s v="ORD-01154"/>
    <d v="2026-03-17T00:00:00"/>
    <s v="Belt"/>
    <s v="Accessories"/>
    <s v="WhatsApp"/>
    <s v="Abuja"/>
    <s v="New"/>
    <x v="0"/>
    <n v="4"/>
    <n v="15527"/>
    <n v="62108"/>
    <n v="0"/>
    <n v="0"/>
    <n v="62108"/>
    <n v="31134.880000000001"/>
    <n v="30973.119999999999"/>
    <s v="Mar"/>
    <n v="2026"/>
    <n v="3"/>
  </r>
  <r>
    <s v="ORD-01030"/>
    <d v="2026-03-17T00:00:00"/>
    <s v="Cap"/>
    <s v="Accessories"/>
    <s v="Website"/>
    <s v="Delta"/>
    <s v="New"/>
    <x v="2"/>
    <n v="5"/>
    <n v="12569"/>
    <n v="62845"/>
    <n v="6284.5"/>
    <n v="0.1"/>
    <n v="56560.5"/>
    <n v="37291.54"/>
    <n v="19268.96"/>
    <s v="Mar"/>
    <n v="2026"/>
    <n v="3"/>
  </r>
  <r>
    <s v="ORD-00686"/>
    <d v="2026-03-22T00:00:00"/>
    <s v="T-Shirt"/>
    <s v="Clothing"/>
    <s v="Physical Store"/>
    <s v="Abuja"/>
    <s v="New"/>
    <x v="0"/>
    <n v="2"/>
    <n v="19278"/>
    <n v="38556"/>
    <n v="0"/>
    <n v="0"/>
    <n v="38556"/>
    <n v="25062.73"/>
    <n v="13493.27"/>
    <s v="Mar"/>
    <n v="2026"/>
    <n v="3"/>
  </r>
  <r>
    <s v="ORD-00945"/>
    <d v="2026-03-24T00:00:00"/>
    <s v="Cap"/>
    <s v="Accessories"/>
    <s v="Website"/>
    <s v="Rivers"/>
    <s v="New"/>
    <x v="2"/>
    <n v="2"/>
    <n v="12223"/>
    <n v="24446"/>
    <n v="4889.2"/>
    <n v="0.2"/>
    <n v="19556.8"/>
    <n v="16424.68"/>
    <n v="3132.119999999999"/>
    <s v="Mar"/>
    <n v="2026"/>
    <n v="3"/>
  </r>
  <r>
    <s v="ORD-00858"/>
    <d v="2026-03-24T00:00:00"/>
    <s v="Jeans"/>
    <s v="Clothing"/>
    <s v="Instagram"/>
    <s v="Lagos"/>
    <s v="Returning"/>
    <x v="0"/>
    <n v="1"/>
    <n v="42368"/>
    <n v="42368"/>
    <n v="0"/>
    <n v="0"/>
    <n v="42368"/>
    <n v="20368.57"/>
    <n v="21999.43"/>
    <s v="Mar"/>
    <n v="2026"/>
    <n v="3"/>
  </r>
  <r>
    <s v="ORD-01122"/>
    <d v="2026-03-24T00:00:00"/>
    <s v="Handbag"/>
    <s v="Accessories"/>
    <s v="Instagram"/>
    <s v="Abuja"/>
    <s v="Returning"/>
    <x v="0"/>
    <n v="1"/>
    <n v="44967"/>
    <n v="44967"/>
    <n v="0"/>
    <n v="0"/>
    <n v="44967"/>
    <n v="24692.11"/>
    <n v="20274.89"/>
    <s v="Mar"/>
    <n v="2026"/>
    <n v="3"/>
  </r>
  <r>
    <s v="ORD-00816"/>
    <d v="2026-03-25T00:00:00"/>
    <s v="Belt"/>
    <s v="Accessories"/>
    <s v="Website"/>
    <s v="Rivers"/>
    <s v="Returning"/>
    <x v="2"/>
    <n v="1"/>
    <n v="14506"/>
    <n v="14506"/>
    <n v="2175.9"/>
    <n v="0.15"/>
    <n v="12330.1"/>
    <n v="9166.1299999999992"/>
    <n v="3163.9700000000012"/>
    <s v="Mar"/>
    <n v="2026"/>
    <n v="3"/>
  </r>
  <r>
    <s v="ORD-00964"/>
    <d v="2026-03-25T00:00:00"/>
    <s v="Sneakers"/>
    <s v="Footwear"/>
    <s v="WhatsApp"/>
    <s v="Oyo"/>
    <s v="Returning"/>
    <x v="0"/>
    <n v="2"/>
    <n v="68652"/>
    <n v="137304"/>
    <n v="0"/>
    <n v="0"/>
    <n v="137304"/>
    <n v="90544.94"/>
    <n v="46759.06"/>
    <s v="Mar"/>
    <n v="2026"/>
    <n v="3"/>
  </r>
  <r>
    <s v="ORD-00489"/>
    <d v="2026-03-25T00:00:00"/>
    <s v="Handbag"/>
    <s v="Accessories"/>
    <s v="WhatsApp"/>
    <s v="Lagos"/>
    <s v="Returning"/>
    <x v="2"/>
    <n v="2"/>
    <n v="42614"/>
    <n v="85228"/>
    <n v="17045.599999999999"/>
    <n v="0.2"/>
    <n v="68182.399999999994"/>
    <n v="48629.11"/>
    <n v="19553.289999999994"/>
    <s v="Mar"/>
    <n v="2026"/>
    <n v="3"/>
  </r>
  <r>
    <s v="ORD-00835"/>
    <d v="2026-03-25T00:00:00"/>
    <s v="T-Shirt"/>
    <s v="Clothing"/>
    <s v="Physical Store"/>
    <s v="Rivers"/>
    <s v="New"/>
    <x v="0"/>
    <n v="1"/>
    <n v="18837"/>
    <n v="18837"/>
    <n v="0"/>
    <n v="0"/>
    <n v="18837"/>
    <n v="11162.1"/>
    <n v="7674.9"/>
    <s v="Mar"/>
    <n v="2026"/>
    <n v="3"/>
  </r>
  <r>
    <s v="ORD-00238"/>
    <d v="2026-03-26T00:00:00"/>
    <s v="Dress"/>
    <s v="Clothing"/>
    <s v="Physical Store"/>
    <s v="Lagos"/>
    <s v="New"/>
    <x v="0"/>
    <n v="2"/>
    <n v="51276"/>
    <n v="102552"/>
    <n v="0"/>
    <n v="0"/>
    <n v="102552"/>
    <n v="54802.68"/>
    <n v="47749.32"/>
    <s v="Mar"/>
    <n v="2026"/>
    <n v="3"/>
  </r>
  <r>
    <s v="ORD-00196"/>
    <d v="2026-03-26T00:00:00"/>
    <s v="Cap"/>
    <s v="Accessories"/>
    <s v="Website"/>
    <s v="Oyo"/>
    <s v="New"/>
    <x v="2"/>
    <n v="1"/>
    <n v="12684"/>
    <n v="12684"/>
    <n v="2536.8000000000002"/>
    <n v="0.2"/>
    <n v="10147.200000000001"/>
    <n v="7932.72"/>
    <n v="2214.4800000000005"/>
    <s v="Mar"/>
    <n v="2026"/>
    <n v="3"/>
  </r>
  <r>
    <s v="ORD-00216"/>
    <d v="2026-03-26T00:00:00"/>
    <s v="Belt"/>
    <s v="Accessories"/>
    <s v="Physical Store"/>
    <s v="Abuja"/>
    <s v="Returning"/>
    <x v="0"/>
    <n v="3"/>
    <n v="15084"/>
    <n v="45252"/>
    <n v="0"/>
    <n v="0"/>
    <n v="45252"/>
    <n v="28816.36"/>
    <n v="16435.64"/>
    <s v="Mar"/>
    <n v="2026"/>
    <n v="3"/>
  </r>
  <r>
    <s v="ORD-00060"/>
    <d v="2026-03-26T00:00:00"/>
    <s v="Sandals"/>
    <s v="Footwear"/>
    <s v="WhatsApp"/>
    <s v="Lagos"/>
    <s v="Returning"/>
    <x v="0"/>
    <n v="2"/>
    <n v="29895"/>
    <n v="59790"/>
    <n v="0"/>
    <n v="0"/>
    <n v="59790"/>
    <n v="31480.05"/>
    <n v="28309.95"/>
    <s v="Mar"/>
    <n v="2026"/>
    <n v="3"/>
  </r>
  <r>
    <s v="ORD-01148"/>
    <d v="2026-03-27T00:00:00"/>
    <s v="Dress"/>
    <s v="Clothing"/>
    <s v="Physical Store"/>
    <s v="Lagos"/>
    <s v="New"/>
    <x v="2"/>
    <n v="3"/>
    <n v="52610"/>
    <n v="157830"/>
    <n v="31566"/>
    <n v="0.2"/>
    <n v="126264"/>
    <n v="84358.44"/>
    <n v="41905.56"/>
    <s v="Mar"/>
    <n v="2026"/>
    <n v="3"/>
  </r>
  <r>
    <s v="ORD-01062"/>
    <d v="2026-03-27T00:00:00"/>
    <s v="Jeans"/>
    <s v="Clothing"/>
    <s v="WhatsApp"/>
    <s v="Delta"/>
    <s v="New"/>
    <x v="2"/>
    <n v="1"/>
    <n v="41089"/>
    <n v="41089"/>
    <n v="6163.35"/>
    <n v="0.15"/>
    <n v="34925.65"/>
    <n v="20721.599999999999"/>
    <n v="14204.050000000003"/>
    <s v="Mar"/>
    <n v="2026"/>
    <n v="3"/>
  </r>
  <r>
    <s v="ORD-01022"/>
    <d v="2026-03-29T00:00:00"/>
    <s v="Dress"/>
    <s v="Clothing"/>
    <s v="Physical Store"/>
    <s v="Abuja"/>
    <s v="Returning"/>
    <x v="2"/>
    <n v="2"/>
    <n v="52004"/>
    <n v="104008"/>
    <n v="5200.3999999999996"/>
    <n v="0.05"/>
    <n v="98807.6"/>
    <n v="64690.8"/>
    <n v="34116.800000000003"/>
    <s v="Mar"/>
    <n v="2026"/>
    <n v="3"/>
  </r>
  <r>
    <s v="ORD-01013"/>
    <d v="2026-03-31T00:00:00"/>
    <s v="Cap"/>
    <s v="Accessories"/>
    <s v="Physical Store"/>
    <s v="Lagos"/>
    <s v="New"/>
    <x v="2"/>
    <n v="2"/>
    <n v="12437"/>
    <n v="24874"/>
    <n v="2487.4"/>
    <n v="0.1"/>
    <n v="22386.6"/>
    <n v="13047.65"/>
    <n v="9338.9499999999989"/>
    <s v="Mar"/>
    <n v="2026"/>
    <n v="3"/>
  </r>
  <r>
    <s v="ORD-00794"/>
    <d v="2026-03-31T00:00:00"/>
    <s v="Dress"/>
    <s v="Clothing"/>
    <s v="Physical Store"/>
    <s v="Oyo"/>
    <s v="Returning"/>
    <x v="0"/>
    <n v="2"/>
    <n v="46636"/>
    <n v="93272"/>
    <n v="0"/>
    <n v="0"/>
    <n v="93272"/>
    <n v="47658.559999999998"/>
    <n v="45613.440000000002"/>
    <s v="Mar"/>
    <n v="2026"/>
    <n v="3"/>
  </r>
  <r>
    <s v="ORD-00211"/>
    <d v="2026-04-01T00:00:00"/>
    <s v="Polo Shirt"/>
    <s v="Clothing"/>
    <s v="Website"/>
    <s v="Oyo"/>
    <s v="Returning"/>
    <x v="2"/>
    <n v="1"/>
    <n v="25893"/>
    <n v="25893"/>
    <n v="2589.3000000000002"/>
    <n v="0.1"/>
    <n v="23303.7"/>
    <n v="15481.19"/>
    <n v="7822.51"/>
    <s v="Apr"/>
    <n v="2026"/>
    <n v="4"/>
  </r>
  <r>
    <s v="ORD-00953"/>
    <d v="2026-04-02T00:00:00"/>
    <s v="Belt"/>
    <s v="Accessories"/>
    <s v="WhatsApp"/>
    <s v="Lagos"/>
    <s v="Returning"/>
    <x v="2"/>
    <n v="1"/>
    <n v="14567"/>
    <n v="14567"/>
    <n v="1456.7"/>
    <n v="0.1"/>
    <n v="13110.3"/>
    <n v="7758.04"/>
    <n v="5352.2599999999993"/>
    <s v="Apr"/>
    <n v="2026"/>
    <n v="4"/>
  </r>
  <r>
    <s v="ORD-00548"/>
    <d v="2026-04-02T00:00:00"/>
    <s v="Jeans"/>
    <s v="Clothing"/>
    <s v="WhatsApp"/>
    <s v="Lagos"/>
    <s v="Returning"/>
    <x v="0"/>
    <n v="2"/>
    <n v="39294"/>
    <n v="78588"/>
    <n v="0"/>
    <n v="0"/>
    <n v="78588"/>
    <n v="47753.599999999999"/>
    <n v="30834.400000000001"/>
    <s v="Apr"/>
    <n v="2026"/>
    <n v="4"/>
  </r>
  <r>
    <s v="ORD-00711"/>
    <d v="2026-04-02T00:00:00"/>
    <s v="T-Shirt"/>
    <s v="Clothing"/>
    <s v="Physical Store"/>
    <s v="Lagos"/>
    <s v="Returning"/>
    <x v="0"/>
    <n v="2"/>
    <n v="18163"/>
    <n v="36326"/>
    <n v="0"/>
    <n v="0"/>
    <n v="36326"/>
    <n v="24190.09"/>
    <n v="12135.91"/>
    <s v="Apr"/>
    <n v="2026"/>
    <n v="4"/>
  </r>
  <r>
    <s v="ORD-00315"/>
    <d v="2026-04-02T00:00:00"/>
    <s v="Jeans"/>
    <s v="Clothing"/>
    <s v="Physical Store"/>
    <s v="Rivers"/>
    <s v="Returning"/>
    <x v="0"/>
    <n v="2"/>
    <n v="40494"/>
    <n v="80988"/>
    <n v="0"/>
    <n v="0"/>
    <n v="80988"/>
    <n v="42539.31"/>
    <n v="38448.69"/>
    <s v="Apr"/>
    <n v="2026"/>
    <n v="4"/>
  </r>
  <r>
    <s v="ORD-00529"/>
    <d v="2026-04-03T00:00:00"/>
    <s v="T-Shirt"/>
    <s v="Clothing"/>
    <s v="Website"/>
    <s v="Abuja"/>
    <s v="New"/>
    <x v="0"/>
    <n v="1"/>
    <n v="17244"/>
    <n v="17244"/>
    <n v="0"/>
    <n v="0"/>
    <n v="17244"/>
    <n v="9263.7900000000009"/>
    <n v="7980.2099999999991"/>
    <s v="Apr"/>
    <n v="2026"/>
    <n v="4"/>
  </r>
  <r>
    <s v="ORD-00481"/>
    <d v="2026-04-03T00:00:00"/>
    <s v="Polo Shirt"/>
    <s v="Clothing"/>
    <s v="Instagram"/>
    <s v="Abuja"/>
    <s v="New"/>
    <x v="0"/>
    <n v="2"/>
    <n v="23752"/>
    <n v="47504"/>
    <n v="0"/>
    <n v="0"/>
    <n v="47504"/>
    <n v="23343.49"/>
    <n v="24160.51"/>
    <s v="Apr"/>
    <n v="2026"/>
    <n v="4"/>
  </r>
  <r>
    <s v="ORD-01162"/>
    <d v="2026-04-04T00:00:00"/>
    <s v="Jeans"/>
    <s v="Clothing"/>
    <s v="Instagram"/>
    <s v="Delta"/>
    <s v="Returning"/>
    <x v="0"/>
    <n v="2"/>
    <n v="38857"/>
    <n v="77714"/>
    <n v="0"/>
    <n v="0"/>
    <n v="77714"/>
    <n v="45909.96"/>
    <n v="31804.04"/>
    <s v="Apr"/>
    <n v="2026"/>
    <n v="4"/>
  </r>
  <r>
    <s v="ORD-00861"/>
    <d v="2026-04-04T00:00:00"/>
    <s v="Hoodie"/>
    <s v="Clothing"/>
    <s v="WhatsApp"/>
    <s v="Abuja"/>
    <s v="Returning"/>
    <x v="2"/>
    <n v="1"/>
    <n v="37977"/>
    <n v="37977"/>
    <n v="1898.85"/>
    <n v="0.05"/>
    <n v="36078.15"/>
    <n v="20771.41"/>
    <n v="15306.740000000002"/>
    <s v="Apr"/>
    <n v="2026"/>
    <n v="4"/>
  </r>
  <r>
    <s v="ORD-00395"/>
    <d v="2026-04-05T00:00:00"/>
    <s v="Handbag"/>
    <s v="Accessories"/>
    <s v="Physical Store"/>
    <s v="Oyo"/>
    <s v="Returning"/>
    <x v="0"/>
    <n v="2"/>
    <n v="46446"/>
    <n v="92892"/>
    <n v="0"/>
    <n v="0"/>
    <n v="92892"/>
    <n v="52896.44"/>
    <n v="39995.56"/>
    <s v="Apr"/>
    <n v="2026"/>
    <n v="4"/>
  </r>
  <r>
    <s v="ORD-00541"/>
    <d v="2026-04-06T00:00:00"/>
    <s v="Sandals"/>
    <s v="Footwear"/>
    <s v="Website"/>
    <s v="Lagos"/>
    <s v="Returning"/>
    <x v="2"/>
    <n v="1"/>
    <n v="29532"/>
    <n v="29532"/>
    <n v="4429.8"/>
    <n v="0.15"/>
    <n v="25102.2"/>
    <n v="18016.03"/>
    <n v="7086.1700000000019"/>
    <s v="Apr"/>
    <n v="2026"/>
    <n v="4"/>
  </r>
  <r>
    <s v="ORD-01088"/>
    <d v="2026-04-06T00:00:00"/>
    <s v="Hoodie"/>
    <s v="Clothing"/>
    <s v="WhatsApp"/>
    <s v="Abuja"/>
    <s v="New"/>
    <x v="2"/>
    <n v="1"/>
    <n v="37086"/>
    <n v="37086"/>
    <n v="5562.9"/>
    <n v="0.15"/>
    <n v="31523.1"/>
    <n v="22237.81"/>
    <n v="9285.2899999999972"/>
    <s v="Apr"/>
    <n v="2026"/>
    <n v="4"/>
  </r>
  <r>
    <s v="ORD-00278"/>
    <d v="2026-04-07T00:00:00"/>
    <s v="Sandals"/>
    <s v="Footwear"/>
    <s v="Website"/>
    <s v="Lagos"/>
    <s v="New"/>
    <x v="0"/>
    <n v="1"/>
    <n v="29744"/>
    <n v="29744"/>
    <n v="0"/>
    <n v="0"/>
    <n v="29744"/>
    <n v="15744.44"/>
    <n v="13999.56"/>
    <s v="Apr"/>
    <n v="2026"/>
    <n v="4"/>
  </r>
  <r>
    <s v="ORD-00845"/>
    <d v="2026-04-07T00:00:00"/>
    <s v="Polo Shirt"/>
    <s v="Clothing"/>
    <s v="Physical Store"/>
    <s v="Abuja"/>
    <s v="Returning"/>
    <x v="0"/>
    <n v="3"/>
    <n v="23165"/>
    <n v="69495"/>
    <n v="0"/>
    <n v="0"/>
    <n v="69495"/>
    <n v="33840.120000000003"/>
    <n v="35654.879999999997"/>
    <s v="Apr"/>
    <n v="2026"/>
    <n v="4"/>
  </r>
  <r>
    <s v="ORD-00474"/>
    <d v="2026-04-08T00:00:00"/>
    <s v="Handbag"/>
    <s v="Accessories"/>
    <s v="WhatsApp"/>
    <s v="Lagos"/>
    <s v="New"/>
    <x v="0"/>
    <n v="1"/>
    <n v="46622"/>
    <n v="46622"/>
    <n v="0"/>
    <n v="0"/>
    <n v="46622"/>
    <n v="31464.62"/>
    <n v="15157.380000000001"/>
    <s v="Apr"/>
    <n v="2026"/>
    <n v="4"/>
  </r>
  <r>
    <s v="ORD-00925"/>
    <d v="2026-04-10T00:00:00"/>
    <s v="Hoodie"/>
    <s v="Clothing"/>
    <s v="Website"/>
    <s v="Delta"/>
    <s v="New"/>
    <x v="0"/>
    <n v="3"/>
    <n v="40988"/>
    <n v="122964"/>
    <n v="0"/>
    <n v="0"/>
    <n v="122964"/>
    <n v="76489.59"/>
    <n v="46474.41"/>
    <s v="Apr"/>
    <n v="2026"/>
    <n v="4"/>
  </r>
  <r>
    <s v="ORD-00651"/>
    <d v="2026-04-10T00:00:00"/>
    <s v="Polo Shirt"/>
    <s v="Clothing"/>
    <s v="WhatsApp"/>
    <s v="Rivers"/>
    <s v="New"/>
    <x v="2"/>
    <n v="5"/>
    <n v="26699"/>
    <n v="133495"/>
    <n v="26699"/>
    <n v="0.2"/>
    <n v="106796"/>
    <n v="72775.59"/>
    <n v="34020.410000000003"/>
    <s v="Apr"/>
    <n v="2026"/>
    <n v="4"/>
  </r>
  <r>
    <s v="ORD-00323"/>
    <d v="2026-04-10T00:00:00"/>
    <s v="Sneakers"/>
    <s v="Footwear"/>
    <s v="Website"/>
    <s v="Abuja"/>
    <s v="Returning"/>
    <x v="0"/>
    <n v="1"/>
    <n v="63156"/>
    <n v="63156"/>
    <n v="9473.4"/>
    <n v="0.15"/>
    <n v="53682.6"/>
    <n v="32187.040000000001"/>
    <n v="21495.559999999998"/>
    <s v="Apr"/>
    <n v="2026"/>
    <n v="4"/>
  </r>
  <r>
    <s v="ORD-00031"/>
    <d v="2026-04-11T00:00:00"/>
    <s v="Sneakers"/>
    <s v="Footwear"/>
    <s v="Website"/>
    <s v="Lagos"/>
    <s v="Returning"/>
    <x v="0"/>
    <n v="2"/>
    <n v="66934"/>
    <n v="133868"/>
    <n v="0"/>
    <n v="0"/>
    <n v="133868"/>
    <n v="72908.009999999995"/>
    <n v="60959.990000000005"/>
    <s v="Apr"/>
    <n v="2026"/>
    <n v="4"/>
  </r>
  <r>
    <s v="ORD-00934"/>
    <d v="2026-04-12T00:00:00"/>
    <s v="T-Shirt"/>
    <s v="Clothing"/>
    <s v="Physical Store"/>
    <s v="Abuja"/>
    <s v="New"/>
    <x v="2"/>
    <n v="5"/>
    <n v="19133"/>
    <n v="95665"/>
    <n v="14349.75"/>
    <n v="0.15"/>
    <n v="81315.25"/>
    <n v="47890.7"/>
    <n v="33424.550000000003"/>
    <s v="Apr"/>
    <n v="2026"/>
    <n v="4"/>
  </r>
  <r>
    <s v="ORD-00289"/>
    <d v="2026-04-13T00:00:00"/>
    <s v="Jeans"/>
    <s v="Clothing"/>
    <s v="Website"/>
    <s v="Abuja"/>
    <s v="Returning"/>
    <x v="0"/>
    <n v="2"/>
    <n v="40678"/>
    <n v="81356"/>
    <n v="0"/>
    <n v="0"/>
    <n v="81356"/>
    <n v="40981.360000000001"/>
    <n v="40374.639999999999"/>
    <s v="Apr"/>
    <n v="2026"/>
    <n v="4"/>
  </r>
  <r>
    <s v="ORD-00154"/>
    <d v="2026-04-15T00:00:00"/>
    <s v="Handbag"/>
    <s v="Accessories"/>
    <s v="Instagram"/>
    <s v="Lagos"/>
    <s v="Returning"/>
    <x v="0"/>
    <n v="2"/>
    <n v="46064"/>
    <n v="92128"/>
    <n v="0"/>
    <n v="0"/>
    <n v="92128"/>
    <n v="60595.519999999997"/>
    <n v="31532.480000000003"/>
    <s v="Apr"/>
    <n v="2026"/>
    <n v="4"/>
  </r>
  <r>
    <s v="ORD-00736"/>
    <d v="2026-04-15T00:00:00"/>
    <s v="T-Shirt"/>
    <s v="Clothing"/>
    <s v="Instagram"/>
    <s v="Lagos"/>
    <s v="Returning"/>
    <x v="2"/>
    <n v="4"/>
    <n v="17808"/>
    <n v="71232"/>
    <n v="3561.6"/>
    <n v="0.05"/>
    <n v="67670.399999999994"/>
    <n v="47555.25"/>
    <n v="20115.149999999994"/>
    <s v="Apr"/>
    <n v="2026"/>
    <n v="4"/>
  </r>
  <r>
    <s v="ORD-00997"/>
    <d v="2026-04-17T00:00:00"/>
    <s v="Sneakers"/>
    <s v="Footwear"/>
    <s v="Physical Store"/>
    <s v="Abuja"/>
    <s v="Returning"/>
    <x v="0"/>
    <n v="2"/>
    <n v="68885"/>
    <n v="137770"/>
    <n v="0"/>
    <n v="0"/>
    <n v="137770"/>
    <n v="77502.87"/>
    <n v="60267.130000000005"/>
    <s v="Apr"/>
    <n v="2026"/>
    <n v="4"/>
  </r>
  <r>
    <s v="ORD-00299"/>
    <d v="2026-04-17T00:00:00"/>
    <s v="Handbag"/>
    <s v="Accessories"/>
    <s v="Website"/>
    <s v="Delta"/>
    <s v="New"/>
    <x v="0"/>
    <n v="2"/>
    <n v="42266"/>
    <n v="84532"/>
    <n v="0"/>
    <n v="0"/>
    <n v="84532"/>
    <n v="43638.52"/>
    <n v="40893.480000000003"/>
    <s v="Apr"/>
    <n v="2026"/>
    <n v="4"/>
  </r>
  <r>
    <s v="ORD-00636"/>
    <d v="2026-04-17T00:00:00"/>
    <s v="Handbag"/>
    <s v="Accessories"/>
    <s v="Website"/>
    <s v="Lagos"/>
    <s v="Returning"/>
    <x v="2"/>
    <n v="3"/>
    <n v="44337"/>
    <n v="133011"/>
    <n v="26602.2"/>
    <n v="0.2"/>
    <n v="106408.8"/>
    <n v="77601.75"/>
    <n v="28807.050000000003"/>
    <s v="Apr"/>
    <n v="2026"/>
    <n v="4"/>
  </r>
  <r>
    <s v="ORD-00034"/>
    <d v="2026-04-20T00:00:00"/>
    <s v="Polo Shirt"/>
    <s v="Clothing"/>
    <s v="Physical Store"/>
    <s v="Delta"/>
    <s v="New"/>
    <x v="2"/>
    <n v="1"/>
    <n v="26458"/>
    <n v="26458"/>
    <n v="3968.7"/>
    <n v="0.15"/>
    <n v="22489.3"/>
    <n v="13298.37"/>
    <n v="9190.9299999999985"/>
    <s v="Apr"/>
    <n v="2026"/>
    <n v="4"/>
  </r>
  <r>
    <s v="ORD-00709"/>
    <d v="2026-04-22T00:00:00"/>
    <s v="Handbag"/>
    <s v="Accessories"/>
    <s v="Physical Store"/>
    <s v="Lagos"/>
    <s v="New"/>
    <x v="0"/>
    <n v="2"/>
    <n v="43692"/>
    <n v="87384"/>
    <n v="0"/>
    <n v="0"/>
    <n v="87384"/>
    <n v="59258.81"/>
    <n v="28125.190000000002"/>
    <s v="Apr"/>
    <n v="2026"/>
    <n v="4"/>
  </r>
  <r>
    <s v="ORD-00823"/>
    <d v="2026-04-23T00:00:00"/>
    <s v="Dress"/>
    <s v="Clothing"/>
    <s v="WhatsApp"/>
    <s v="Lagos"/>
    <s v="Returning"/>
    <x v="0"/>
    <n v="4"/>
    <n v="50371"/>
    <n v="201484"/>
    <n v="0"/>
    <n v="0"/>
    <n v="201484"/>
    <n v="97005.39"/>
    <n v="104478.61"/>
    <s v="Apr"/>
    <n v="2026"/>
    <n v="4"/>
  </r>
  <r>
    <s v="ORD-00748"/>
    <d v="2026-04-24T00:00:00"/>
    <s v="T-Shirt"/>
    <s v="Clothing"/>
    <s v="WhatsApp"/>
    <s v="Oyo"/>
    <s v="New"/>
    <x v="2"/>
    <n v="2"/>
    <n v="17239"/>
    <n v="34478"/>
    <n v="3447.8"/>
    <n v="0.1"/>
    <n v="31030.2"/>
    <n v="16827.509999999998"/>
    <n v="14202.690000000002"/>
    <s v="Apr"/>
    <n v="2026"/>
    <n v="4"/>
  </r>
  <r>
    <s v="ORD-00731"/>
    <d v="2026-04-26T00:00:00"/>
    <s v="Hoodie"/>
    <s v="Clothing"/>
    <s v="Website"/>
    <s v="Rivers"/>
    <s v="New"/>
    <x v="0"/>
    <n v="2"/>
    <n v="36305"/>
    <n v="72610"/>
    <n v="0"/>
    <n v="0"/>
    <n v="72610"/>
    <n v="46067.27"/>
    <n v="26542.730000000003"/>
    <s v="Apr"/>
    <n v="2026"/>
    <n v="4"/>
  </r>
  <r>
    <s v="ORD-00620"/>
    <d v="2026-04-27T00:00:00"/>
    <s v="Polo Shirt"/>
    <s v="Clothing"/>
    <s v="Website"/>
    <s v="Delta"/>
    <s v="New"/>
    <x v="0"/>
    <n v="4"/>
    <n v="24654"/>
    <n v="98616"/>
    <n v="0"/>
    <n v="0"/>
    <n v="98616"/>
    <n v="54733.84"/>
    <n v="43882.16"/>
    <s v="Apr"/>
    <n v="2026"/>
    <n v="4"/>
  </r>
  <r>
    <s v="ORD-00897"/>
    <d v="2026-04-28T00:00:00"/>
    <s v="Sandals"/>
    <s v="Footwear"/>
    <s v="Instagram"/>
    <s v="Rivers"/>
    <s v="Returning"/>
    <x v="2"/>
    <n v="1"/>
    <n v="30228"/>
    <n v="30228"/>
    <n v="3022.8"/>
    <n v="0.1"/>
    <n v="27205.200000000001"/>
    <n v="15319.2"/>
    <n v="11886"/>
    <s v="Apr"/>
    <n v="2026"/>
    <n v="4"/>
  </r>
  <r>
    <s v="ORD-00386"/>
    <d v="2026-04-28T00:00:00"/>
    <s v="Polo Shirt"/>
    <s v="Clothing"/>
    <s v="Website"/>
    <s v="Oyo"/>
    <s v="Returning"/>
    <x v="2"/>
    <n v="3"/>
    <n v="23432"/>
    <n v="70296"/>
    <n v="14059.2"/>
    <n v="0.2"/>
    <n v="56236.800000000003"/>
    <n v="44290.15"/>
    <n v="11946.650000000001"/>
    <s v="Apr"/>
    <n v="2026"/>
    <n v="4"/>
  </r>
  <r>
    <s v="ORD-01175"/>
    <d v="2026-04-29T00:00:00"/>
    <s v="Belt"/>
    <s v="Accessories"/>
    <s v="WhatsApp"/>
    <s v="Lagos"/>
    <s v="New"/>
    <x v="0"/>
    <n v="1"/>
    <n v="14113"/>
    <n v="14113"/>
    <n v="0"/>
    <n v="0"/>
    <n v="14113"/>
    <n v="6967.17"/>
    <n v="7145.83"/>
    <s v="Apr"/>
    <n v="2026"/>
    <n v="4"/>
  </r>
  <r>
    <s v="ORD-00774"/>
    <d v="2026-04-30T00:00:00"/>
    <s v="Belt"/>
    <s v="Accessories"/>
    <s v="Physical Store"/>
    <s v="Oyo"/>
    <s v="New"/>
    <x v="0"/>
    <n v="1"/>
    <n v="13827"/>
    <n v="13827"/>
    <n v="0"/>
    <n v="0"/>
    <n v="13827"/>
    <n v="7492.21"/>
    <n v="6334.79"/>
    <s v="Apr"/>
    <n v="2026"/>
    <n v="4"/>
  </r>
  <r>
    <s v="ORD-00428"/>
    <d v="2026-04-30T00:00:00"/>
    <s v="Jeans"/>
    <s v="Clothing"/>
    <s v="Instagram"/>
    <s v="Oyo"/>
    <s v="New"/>
    <x v="0"/>
    <n v="1"/>
    <n v="41173"/>
    <n v="41173"/>
    <n v="4117.3"/>
    <n v="0.1"/>
    <n v="37055.699999999997"/>
    <n v="20419.46"/>
    <n v="16636.239999999998"/>
    <s v="Apr"/>
    <n v="2026"/>
    <n v="4"/>
  </r>
  <r>
    <s v="ORD-00373"/>
    <d v="2026-05-01T00:00:00"/>
    <s v="Handbag"/>
    <s v="Accessories"/>
    <s v="WhatsApp"/>
    <s v="Oyo"/>
    <s v="New"/>
    <x v="0"/>
    <n v="3"/>
    <n v="46314"/>
    <n v="138942"/>
    <n v="0"/>
    <n v="0"/>
    <n v="138942"/>
    <n v="80602.460000000006"/>
    <n v="58339.539999999994"/>
    <s v="May"/>
    <n v="2026"/>
    <n v="5"/>
  </r>
  <r>
    <s v="ORD-00585"/>
    <d v="2026-05-02T00:00:00"/>
    <s v="Jeans"/>
    <s v="Clothing"/>
    <s v="Instagram"/>
    <s v="Abuja"/>
    <s v="Returning"/>
    <x v="0"/>
    <n v="3"/>
    <n v="45176"/>
    <n v="135528"/>
    <n v="0"/>
    <n v="0"/>
    <n v="135528"/>
    <n v="66980.94"/>
    <n v="68547.06"/>
    <s v="May"/>
    <n v="2026"/>
    <n v="5"/>
  </r>
  <r>
    <s v="ORD-00539"/>
    <d v="2026-05-02T00:00:00"/>
    <s v="Jeans"/>
    <s v="Clothing"/>
    <s v="WhatsApp"/>
    <s v="Rivers"/>
    <s v="New"/>
    <x v="0"/>
    <n v="3"/>
    <n v="41994"/>
    <n v="125982"/>
    <n v="0"/>
    <n v="0"/>
    <n v="125982"/>
    <n v="70285.759999999995"/>
    <n v="55696.240000000005"/>
    <s v="May"/>
    <n v="2026"/>
    <n v="5"/>
  </r>
  <r>
    <s v="ORD-00291"/>
    <d v="2026-05-03T00:00:00"/>
    <s v="Cap"/>
    <s v="Accessories"/>
    <s v="Physical Store"/>
    <s v="Lagos"/>
    <s v="New"/>
    <x v="0"/>
    <n v="1"/>
    <n v="12841"/>
    <n v="12841"/>
    <n v="0"/>
    <n v="0"/>
    <n v="12841"/>
    <n v="6360.93"/>
    <n v="6480.07"/>
    <s v="May"/>
    <n v="2026"/>
    <n v="5"/>
  </r>
  <r>
    <s v="ORD-00977"/>
    <d v="2026-05-03T00:00:00"/>
    <s v="Dress"/>
    <s v="Clothing"/>
    <s v="Instagram"/>
    <s v="Lagos"/>
    <s v="New"/>
    <x v="0"/>
    <n v="1"/>
    <n v="53986"/>
    <n v="53986"/>
    <n v="0"/>
    <n v="0"/>
    <n v="53986"/>
    <n v="29010.05"/>
    <n v="24975.95"/>
    <s v="May"/>
    <n v="2026"/>
    <n v="5"/>
  </r>
  <r>
    <s v="ORD-00266"/>
    <d v="2026-05-03T00:00:00"/>
    <s v="Jeans"/>
    <s v="Clothing"/>
    <s v="WhatsApp"/>
    <s v="Lagos"/>
    <s v="Returning"/>
    <x v="0"/>
    <n v="2"/>
    <n v="45282"/>
    <n v="90564"/>
    <n v="0"/>
    <n v="0"/>
    <n v="90564"/>
    <n v="48046.85"/>
    <n v="42517.15"/>
    <s v="May"/>
    <n v="2026"/>
    <n v="5"/>
  </r>
  <r>
    <s v="ORD-00149"/>
    <d v="2026-05-04T00:00:00"/>
    <s v="Belt"/>
    <s v="Accessories"/>
    <s v="Physical Store"/>
    <s v="Oyo"/>
    <s v="Returning"/>
    <x v="0"/>
    <n v="1"/>
    <n v="14015"/>
    <n v="14015"/>
    <n v="0"/>
    <n v="0"/>
    <n v="14015"/>
    <n v="6850.99"/>
    <n v="7164.01"/>
    <s v="May"/>
    <n v="2026"/>
    <n v="5"/>
  </r>
  <r>
    <s v="ORD-00020"/>
    <d v="2026-05-06T00:00:00"/>
    <s v="Cap"/>
    <s v="Accessories"/>
    <s v="Website"/>
    <s v="Abuja"/>
    <s v="Returning"/>
    <x v="0"/>
    <n v="2"/>
    <n v="11960"/>
    <n v="23920"/>
    <n v="0"/>
    <n v="0"/>
    <n v="23920"/>
    <n v="13055.62"/>
    <n v="10864.38"/>
    <s v="May"/>
    <n v="2026"/>
    <n v="5"/>
  </r>
  <r>
    <s v="ORD-00595"/>
    <d v="2026-05-08T00:00:00"/>
    <s v="Handbag"/>
    <s v="Accessories"/>
    <s v="Instagram"/>
    <s v="Lagos"/>
    <s v="New"/>
    <x v="0"/>
    <n v="1"/>
    <n v="46960"/>
    <n v="46960"/>
    <n v="0"/>
    <n v="0"/>
    <n v="46960"/>
    <n v="30313.439999999999"/>
    <n v="16646.560000000001"/>
    <s v="May"/>
    <n v="2026"/>
    <n v="5"/>
  </r>
  <r>
    <s v="ORD-00001"/>
    <d v="2026-05-10T00:00:00"/>
    <s v="Sneakers"/>
    <s v="Footwear"/>
    <s v="WhatsApp"/>
    <s v="Lagos"/>
    <s v="Returning"/>
    <x v="0"/>
    <n v="2"/>
    <n v="65741"/>
    <n v="131482"/>
    <n v="0"/>
    <n v="0"/>
    <n v="131482"/>
    <n v="77410.789999999994"/>
    <n v="54071.210000000006"/>
    <s v="May"/>
    <n v="2026"/>
    <n v="5"/>
  </r>
  <r>
    <s v="ORD-00339"/>
    <d v="2026-05-10T00:00:00"/>
    <s v="Hoodie"/>
    <s v="Clothing"/>
    <s v="Physical Store"/>
    <s v="Abuja"/>
    <s v="New"/>
    <x v="0"/>
    <n v="2"/>
    <n v="36180"/>
    <n v="72360"/>
    <n v="0"/>
    <n v="0"/>
    <n v="72360"/>
    <n v="46186.080000000002"/>
    <n v="26173.919999999998"/>
    <s v="May"/>
    <n v="2026"/>
    <n v="5"/>
  </r>
  <r>
    <s v="ORD-00174"/>
    <d v="2026-05-13T00:00:00"/>
    <s v="Cap"/>
    <s v="Accessories"/>
    <s v="Physical Store"/>
    <s v="Rivers"/>
    <s v="Returning"/>
    <x v="0"/>
    <n v="2"/>
    <n v="11125"/>
    <n v="22250"/>
    <n v="0"/>
    <n v="0"/>
    <n v="22250"/>
    <n v="12023.53"/>
    <n v="10226.469999999999"/>
    <s v="May"/>
    <n v="2026"/>
    <n v="5"/>
  </r>
  <r>
    <s v="ORD-00114"/>
    <d v="2026-05-13T00:00:00"/>
    <s v="Sneakers"/>
    <s v="Footwear"/>
    <s v="Physical Store"/>
    <s v="Abuja"/>
    <s v="Returning"/>
    <x v="0"/>
    <n v="1"/>
    <n v="60237"/>
    <n v="60237"/>
    <n v="0"/>
    <n v="0"/>
    <n v="60237"/>
    <n v="39974.199999999997"/>
    <n v="20262.800000000003"/>
    <s v="May"/>
    <n v="2026"/>
    <n v="5"/>
  </r>
  <r>
    <s v="ORD-00814"/>
    <d v="2026-05-14T00:00:00"/>
    <s v="Sneakers"/>
    <s v="Footwear"/>
    <s v="WhatsApp"/>
    <s v="Abuja"/>
    <s v="Returning"/>
    <x v="0"/>
    <n v="1"/>
    <n v="60040"/>
    <n v="60040"/>
    <n v="0"/>
    <n v="0"/>
    <n v="60040"/>
    <n v="34626.379999999997"/>
    <n v="25413.620000000003"/>
    <s v="May"/>
    <n v="2026"/>
    <n v="5"/>
  </r>
  <r>
    <s v="ORD-01058"/>
    <d v="2026-05-15T00:00:00"/>
    <s v="Jeans"/>
    <s v="Clothing"/>
    <s v="Physical Store"/>
    <s v="Delta"/>
    <s v="Returning"/>
    <x v="0"/>
    <n v="1"/>
    <n v="39123"/>
    <n v="39123"/>
    <n v="3912.3"/>
    <n v="0.1"/>
    <n v="35210.699999999997"/>
    <n v="21541.31"/>
    <n v="13669.389999999996"/>
    <s v="May"/>
    <n v="2026"/>
    <n v="5"/>
  </r>
  <r>
    <s v="ORD-00412"/>
    <d v="2026-05-16T00:00:00"/>
    <s v="Polo Shirt"/>
    <s v="Clothing"/>
    <s v="Website"/>
    <s v="Lagos"/>
    <s v="New"/>
    <x v="0"/>
    <n v="2"/>
    <n v="25952"/>
    <n v="51904"/>
    <n v="0"/>
    <n v="0"/>
    <n v="51904"/>
    <n v="34658.53"/>
    <n v="17245.47"/>
    <s v="May"/>
    <n v="2026"/>
    <n v="5"/>
  </r>
  <r>
    <s v="ORD-00314"/>
    <d v="2026-05-16T00:00:00"/>
    <s v="Sneakers"/>
    <s v="Footwear"/>
    <s v="Physical Store"/>
    <s v="Lagos"/>
    <s v="Returning"/>
    <x v="0"/>
    <n v="1"/>
    <n v="69983"/>
    <n v="69983"/>
    <n v="0"/>
    <n v="0"/>
    <n v="69983"/>
    <n v="45445.38"/>
    <n v="24537.620000000003"/>
    <s v="May"/>
    <n v="2026"/>
    <n v="5"/>
  </r>
  <r>
    <s v="ORD-00512"/>
    <d v="2026-05-18T00:00:00"/>
    <s v="Handbag"/>
    <s v="Accessories"/>
    <s v="Instagram"/>
    <s v="Delta"/>
    <s v="Returning"/>
    <x v="0"/>
    <n v="1"/>
    <n v="48404"/>
    <n v="48404"/>
    <n v="0"/>
    <n v="0"/>
    <n v="48404"/>
    <n v="27228.98"/>
    <n v="21175.02"/>
    <s v="May"/>
    <n v="2026"/>
    <n v="5"/>
  </r>
  <r>
    <s v="ORD-00108"/>
    <d v="2026-05-20T00:00:00"/>
    <s v="Polo Shirt"/>
    <s v="Clothing"/>
    <s v="Website"/>
    <s v="Oyo"/>
    <s v="Returning"/>
    <x v="0"/>
    <n v="4"/>
    <n v="24256"/>
    <n v="97024"/>
    <n v="0"/>
    <n v="0"/>
    <n v="97024"/>
    <n v="62469"/>
    <n v="34555"/>
    <s v="May"/>
    <n v="2026"/>
    <n v="5"/>
  </r>
  <r>
    <s v="ORD-00831"/>
    <d v="2026-05-21T00:00:00"/>
    <s v="Polo Shirt"/>
    <s v="Clothing"/>
    <s v="Physical Store"/>
    <s v="Lagos"/>
    <s v="New"/>
    <x v="0"/>
    <n v="2"/>
    <n v="25436"/>
    <n v="50872"/>
    <n v="0"/>
    <n v="0"/>
    <n v="50872"/>
    <n v="27110.68"/>
    <n v="23761.32"/>
    <s v="May"/>
    <n v="2026"/>
    <n v="5"/>
  </r>
  <r>
    <s v="ORD-00008"/>
    <d v="2026-05-21T00:00:00"/>
    <s v="T-Shirt"/>
    <s v="Clothing"/>
    <s v="Instagram"/>
    <s v="Abuja"/>
    <s v="Returning"/>
    <x v="0"/>
    <n v="3"/>
    <n v="17348"/>
    <n v="52044"/>
    <n v="0"/>
    <n v="0"/>
    <n v="52044"/>
    <n v="29417.16"/>
    <n v="22626.84"/>
    <s v="May"/>
    <n v="2026"/>
    <n v="5"/>
  </r>
  <r>
    <s v="ORD-00179"/>
    <d v="2026-05-21T00:00:00"/>
    <s v="Polo Shirt"/>
    <s v="Clothing"/>
    <s v="WhatsApp"/>
    <s v="Abuja"/>
    <s v="Returning"/>
    <x v="0"/>
    <n v="3"/>
    <n v="23928"/>
    <n v="71784"/>
    <n v="0"/>
    <n v="0"/>
    <n v="71784"/>
    <n v="45673.99"/>
    <n v="26110.010000000002"/>
    <s v="May"/>
    <n v="2026"/>
    <n v="5"/>
  </r>
  <r>
    <s v="ORD-00413"/>
    <d v="2026-05-22T00:00:00"/>
    <s v="Handbag"/>
    <s v="Accessories"/>
    <s v="Physical Store"/>
    <s v="Oyo"/>
    <s v="Returning"/>
    <x v="0"/>
    <n v="2"/>
    <n v="46068"/>
    <n v="92136"/>
    <n v="0"/>
    <n v="0"/>
    <n v="92136"/>
    <n v="60761.8"/>
    <n v="31374.199999999997"/>
    <s v="May"/>
    <n v="2026"/>
    <n v="5"/>
  </r>
  <r>
    <s v="ORD-00769"/>
    <d v="2026-05-22T00:00:00"/>
    <s v="T-Shirt"/>
    <s v="Clothing"/>
    <s v="Instagram"/>
    <s v="Rivers"/>
    <s v="Returning"/>
    <x v="0"/>
    <n v="2"/>
    <n v="17406"/>
    <n v="34812"/>
    <n v="0"/>
    <n v="0"/>
    <n v="34812"/>
    <n v="20192.57"/>
    <n v="14619.43"/>
    <s v="May"/>
    <n v="2026"/>
    <n v="5"/>
  </r>
  <r>
    <s v="ORD-00883"/>
    <d v="2026-05-25T00:00:00"/>
    <s v="Hoodie"/>
    <s v="Clothing"/>
    <s v="Website"/>
    <s v="Rivers"/>
    <s v="New"/>
    <x v="0"/>
    <n v="1"/>
    <n v="39779"/>
    <n v="39779"/>
    <n v="0"/>
    <n v="0"/>
    <n v="39779"/>
    <n v="21345.55"/>
    <n v="18433.45"/>
    <s v="May"/>
    <n v="2026"/>
    <n v="5"/>
  </r>
  <r>
    <s v="ORD-00463"/>
    <d v="2026-05-25T00:00:00"/>
    <s v="Jeans"/>
    <s v="Clothing"/>
    <s v="Website"/>
    <s v="Oyo"/>
    <s v="Returning"/>
    <x v="0"/>
    <n v="2"/>
    <n v="40678"/>
    <n v="81356"/>
    <n v="0"/>
    <n v="0"/>
    <n v="81356"/>
    <n v="44886.73"/>
    <n v="36469.269999999997"/>
    <s v="May"/>
    <n v="2026"/>
    <n v="5"/>
  </r>
  <r>
    <s v="ORD-00704"/>
    <d v="2026-05-26T00:00:00"/>
    <s v="Sandals"/>
    <s v="Footwear"/>
    <s v="Website"/>
    <s v="Oyo"/>
    <s v="New"/>
    <x v="0"/>
    <n v="4"/>
    <n v="28542"/>
    <n v="114168"/>
    <n v="0"/>
    <n v="0"/>
    <n v="114168"/>
    <n v="56803.55"/>
    <n v="57364.45"/>
    <s v="May"/>
    <n v="2026"/>
    <n v="5"/>
  </r>
  <r>
    <s v="ORD-00310"/>
    <d v="2026-05-26T00:00:00"/>
    <s v="Cap"/>
    <s v="Accessories"/>
    <s v="Physical Store"/>
    <s v="Lagos"/>
    <s v="New"/>
    <x v="0"/>
    <n v="2"/>
    <n v="11197"/>
    <n v="22394"/>
    <n v="0"/>
    <n v="0"/>
    <n v="22394"/>
    <n v="15182.04"/>
    <n v="7211.9599999999991"/>
    <s v="May"/>
    <n v="2026"/>
    <n v="5"/>
  </r>
  <r>
    <s v="ORD-00531"/>
    <d v="2026-05-26T00:00:00"/>
    <s v="Belt"/>
    <s v="Accessories"/>
    <s v="Website"/>
    <s v="Lagos"/>
    <s v="New"/>
    <x v="0"/>
    <n v="2"/>
    <n v="14096"/>
    <n v="28192"/>
    <n v="0"/>
    <n v="0"/>
    <n v="28192"/>
    <n v="16820.900000000001"/>
    <n v="11371.099999999999"/>
    <s v="May"/>
    <n v="2026"/>
    <n v="5"/>
  </r>
  <r>
    <s v="ORD-00209"/>
    <d v="2026-05-27T00:00:00"/>
    <s v="Sneakers"/>
    <s v="Footwear"/>
    <s v="Website"/>
    <s v="Rivers"/>
    <s v="Returning"/>
    <x v="0"/>
    <n v="3"/>
    <n v="59960"/>
    <n v="179880"/>
    <n v="0"/>
    <n v="0"/>
    <n v="179880"/>
    <n v="95447.98"/>
    <n v="84432.02"/>
    <s v="May"/>
    <n v="2026"/>
    <n v="5"/>
  </r>
  <r>
    <s v="ORD-00234"/>
    <d v="2026-05-28T00:00:00"/>
    <s v="T-Shirt"/>
    <s v="Clothing"/>
    <s v="Instagram"/>
    <s v="Rivers"/>
    <s v="New"/>
    <x v="0"/>
    <n v="1"/>
    <n v="18241"/>
    <n v="18241"/>
    <n v="912.05"/>
    <n v="0.05"/>
    <n v="17328.95"/>
    <n v="11498.2"/>
    <n v="5830.75"/>
    <s v="May"/>
    <n v="2026"/>
    <n v="5"/>
  </r>
  <r>
    <s v="ORD-00066"/>
    <d v="2026-05-28T00:00:00"/>
    <s v="Sneakers"/>
    <s v="Footwear"/>
    <s v="Website"/>
    <s v="Lagos"/>
    <s v="New"/>
    <x v="0"/>
    <n v="5"/>
    <n v="69779"/>
    <n v="348895"/>
    <n v="0"/>
    <n v="0"/>
    <n v="348895"/>
    <n v="175126.88"/>
    <n v="173768.12"/>
    <s v="May"/>
    <n v="2026"/>
    <n v="5"/>
  </r>
  <r>
    <s v="ORD-00726"/>
    <d v="2026-05-30T00:00:00"/>
    <s v="Handbag"/>
    <s v="Accessories"/>
    <s v="Physical Store"/>
    <s v="Lagos"/>
    <s v="Returning"/>
    <x v="0"/>
    <n v="4"/>
    <n v="41588"/>
    <n v="166352"/>
    <n v="0"/>
    <n v="0"/>
    <n v="166352"/>
    <n v="99948.63"/>
    <n v="66403.37"/>
    <s v="May"/>
    <n v="2026"/>
    <n v="5"/>
  </r>
  <r>
    <s v="ORD-00188"/>
    <d v="2026-05-30T00:00:00"/>
    <s v="Jeans"/>
    <s v="Clothing"/>
    <s v="Physical Store"/>
    <s v="Abuja"/>
    <s v="Returning"/>
    <x v="0"/>
    <n v="3"/>
    <n v="43301"/>
    <n v="129903"/>
    <n v="0"/>
    <n v="0"/>
    <n v="129903"/>
    <n v="79361.66"/>
    <n v="50541.34"/>
    <s v="May"/>
    <n v="2026"/>
    <n v="5"/>
  </r>
  <r>
    <s v="ORD-00564"/>
    <d v="2026-05-30T00:00:00"/>
    <s v="Cap"/>
    <s v="Accessories"/>
    <s v="Physical Store"/>
    <s v="Oyo"/>
    <s v="New"/>
    <x v="0"/>
    <n v="4"/>
    <n v="11685"/>
    <n v="46740"/>
    <n v="0"/>
    <n v="0"/>
    <n v="46740"/>
    <n v="23397.16"/>
    <n v="23342.84"/>
    <s v="May"/>
    <n v="2026"/>
    <n v="5"/>
  </r>
  <r>
    <s v="ORD-00524"/>
    <d v="2026-06-01T00:00:00"/>
    <s v="T-Shirt"/>
    <s v="Clothing"/>
    <s v="Physical Store"/>
    <s v="Lagos"/>
    <s v="Returning"/>
    <x v="0"/>
    <n v="1"/>
    <n v="18269"/>
    <n v="18269"/>
    <n v="0"/>
    <n v="0"/>
    <n v="18269"/>
    <n v="10331.27"/>
    <n v="7937.73"/>
    <s v="Jun"/>
    <n v="2026"/>
    <n v="6"/>
  </r>
  <r>
    <s v="ORD-01086"/>
    <d v="2026-06-01T00:00:00"/>
    <s v="Handbag"/>
    <s v="Accessories"/>
    <s v="Physical Store"/>
    <s v="Rivers"/>
    <s v="Returning"/>
    <x v="3"/>
    <n v="3"/>
    <n v="43157"/>
    <n v="129471"/>
    <n v="12947.1"/>
    <n v="0.1"/>
    <n v="116523.9"/>
    <n v="73013.16"/>
    <n v="43510.739999999991"/>
    <s v="Jun"/>
    <n v="2026"/>
    <n v="6"/>
  </r>
  <r>
    <s v="ORD-00671"/>
    <d v="2026-06-01T00:00:00"/>
    <s v="Jeans"/>
    <s v="Clothing"/>
    <s v="WhatsApp"/>
    <s v="Oyo"/>
    <s v="New"/>
    <x v="0"/>
    <n v="1"/>
    <n v="41722"/>
    <n v="41722"/>
    <n v="0"/>
    <n v="0"/>
    <n v="41722"/>
    <n v="24175.74"/>
    <n v="17546.259999999998"/>
    <s v="Jun"/>
    <n v="2026"/>
    <n v="6"/>
  </r>
  <r>
    <s v="ORD-00161"/>
    <d v="2026-06-02T00:00:00"/>
    <s v="T-Shirt"/>
    <s v="Clothing"/>
    <s v="Physical Store"/>
    <s v="Delta"/>
    <s v="New"/>
    <x v="0"/>
    <n v="2"/>
    <n v="16861"/>
    <n v="33722"/>
    <n v="0"/>
    <n v="0"/>
    <n v="33722"/>
    <n v="18783.96"/>
    <n v="14938.04"/>
    <s v="Jun"/>
    <n v="2026"/>
    <n v="6"/>
  </r>
  <r>
    <s v="ORD-00312"/>
    <d v="2026-06-02T00:00:00"/>
    <s v="Sneakers"/>
    <s v="Footwear"/>
    <s v="Physical Store"/>
    <s v="Abuja"/>
    <s v="New"/>
    <x v="0"/>
    <n v="2"/>
    <n v="66506"/>
    <n v="133012"/>
    <n v="0"/>
    <n v="0"/>
    <n v="133012"/>
    <n v="75274.759999999995"/>
    <n v="57737.240000000005"/>
    <s v="Jun"/>
    <n v="2026"/>
    <n v="6"/>
  </r>
  <r>
    <s v="ORD-01160"/>
    <d v="2026-06-03T00:00:00"/>
    <s v="Handbag"/>
    <s v="Accessories"/>
    <s v="Instagram"/>
    <s v="Abuja"/>
    <s v="New"/>
    <x v="3"/>
    <n v="2"/>
    <n v="42899"/>
    <n v="85798"/>
    <n v="8579.7999999999993"/>
    <n v="0.1"/>
    <n v="77218.2"/>
    <n v="44436.42"/>
    <n v="32781.78"/>
    <s v="Jun"/>
    <n v="2026"/>
    <n v="6"/>
  </r>
  <r>
    <s v="ORD-00430"/>
    <d v="2026-06-03T00:00:00"/>
    <s v="Dress"/>
    <s v="Clothing"/>
    <s v="Physical Store"/>
    <s v="Lagos"/>
    <s v="New"/>
    <x v="0"/>
    <n v="2"/>
    <n v="49218"/>
    <n v="98436"/>
    <n v="0"/>
    <n v="0"/>
    <n v="98436"/>
    <n v="59563.19"/>
    <n v="38872.81"/>
    <s v="Jun"/>
    <n v="2026"/>
    <n v="6"/>
  </r>
  <r>
    <s v="ORD-00491"/>
    <d v="2026-06-04T00:00:00"/>
    <s v="Sneakers"/>
    <s v="Footwear"/>
    <s v="Website"/>
    <s v="Lagos"/>
    <s v="Returning"/>
    <x v="3"/>
    <n v="1"/>
    <n v="69406"/>
    <n v="69406"/>
    <n v="3470.3"/>
    <n v="0.05"/>
    <n v="65935.7"/>
    <n v="38229.72"/>
    <n v="27705.979999999996"/>
    <s v="Jun"/>
    <n v="2026"/>
    <n v="6"/>
  </r>
  <r>
    <s v="ORD-00850"/>
    <d v="2026-06-06T00:00:00"/>
    <s v="Handbag"/>
    <s v="Accessories"/>
    <s v="WhatsApp"/>
    <s v="Lagos"/>
    <s v="Returning"/>
    <x v="0"/>
    <n v="1"/>
    <n v="45376"/>
    <n v="45376"/>
    <n v="0"/>
    <n v="0"/>
    <n v="45376"/>
    <n v="24710.87"/>
    <n v="20665.13"/>
    <s v="Jun"/>
    <n v="2026"/>
    <n v="6"/>
  </r>
  <r>
    <s v="ORD-00435"/>
    <d v="2026-06-09T00:00:00"/>
    <s v="Jeans"/>
    <s v="Clothing"/>
    <s v="Website"/>
    <s v="Oyo"/>
    <s v="Returning"/>
    <x v="3"/>
    <n v="2"/>
    <n v="40686"/>
    <n v="81372"/>
    <n v="8137.2"/>
    <n v="0.1"/>
    <n v="73234.8"/>
    <n v="49519.38"/>
    <n v="23715.420000000006"/>
    <s v="Jun"/>
    <n v="2026"/>
    <n v="6"/>
  </r>
  <r>
    <s v="ORD-00113"/>
    <d v="2026-06-10T00:00:00"/>
    <s v="Jeans"/>
    <s v="Clothing"/>
    <s v="Website"/>
    <s v="Delta"/>
    <s v="Returning"/>
    <x v="0"/>
    <n v="1"/>
    <n v="41259"/>
    <n v="41259"/>
    <n v="0"/>
    <n v="0"/>
    <n v="41259"/>
    <n v="21675.25"/>
    <n v="19583.75"/>
    <s v="Jun"/>
    <n v="2026"/>
    <n v="6"/>
  </r>
  <r>
    <s v="ORD-01181"/>
    <d v="2026-06-11T00:00:00"/>
    <s v="Sneakers"/>
    <s v="Footwear"/>
    <s v="Physical Store"/>
    <s v="Oyo"/>
    <s v="Returning"/>
    <x v="3"/>
    <n v="2"/>
    <n v="68363"/>
    <n v="136726"/>
    <n v="13672.6"/>
    <n v="0.1"/>
    <n v="123053.4"/>
    <n v="76868.52"/>
    <n v="46184.87999999999"/>
    <s v="Jun"/>
    <n v="2026"/>
    <n v="6"/>
  </r>
  <r>
    <s v="ORD-01114"/>
    <d v="2026-06-12T00:00:00"/>
    <s v="Handbag"/>
    <s v="Accessories"/>
    <s v="Physical Store"/>
    <s v="Lagos"/>
    <s v="New"/>
    <x v="3"/>
    <n v="1"/>
    <n v="46876"/>
    <n v="46876"/>
    <n v="2343.8000000000002"/>
    <n v="0.05"/>
    <n v="44532.2"/>
    <n v="25715.16"/>
    <n v="18817.039999999997"/>
    <s v="Jun"/>
    <n v="2026"/>
    <n v="6"/>
  </r>
  <r>
    <s v="ORD-00475"/>
    <d v="2026-06-13T00:00:00"/>
    <s v="Polo Shirt"/>
    <s v="Clothing"/>
    <s v="Website"/>
    <s v="Oyo"/>
    <s v="Returning"/>
    <x v="0"/>
    <n v="1"/>
    <n v="26929"/>
    <n v="26929"/>
    <n v="0"/>
    <n v="0"/>
    <n v="26929"/>
    <n v="15290.99"/>
    <n v="11638.01"/>
    <s v="Jun"/>
    <n v="2026"/>
    <n v="6"/>
  </r>
  <r>
    <s v="ORD-00371"/>
    <d v="2026-06-14T00:00:00"/>
    <s v="Jeans"/>
    <s v="Clothing"/>
    <s v="Physical Store"/>
    <s v="Delta"/>
    <s v="Returning"/>
    <x v="0"/>
    <n v="3"/>
    <n v="43782"/>
    <n v="131346"/>
    <n v="0"/>
    <n v="0"/>
    <n v="131346"/>
    <n v="80323.759999999995"/>
    <n v="51022.240000000005"/>
    <s v="Jun"/>
    <n v="2026"/>
    <n v="6"/>
  </r>
  <r>
    <s v="ORD-00335"/>
    <d v="2026-06-15T00:00:00"/>
    <s v="Belt"/>
    <s v="Accessories"/>
    <s v="WhatsApp"/>
    <s v="Lagos"/>
    <s v="Returning"/>
    <x v="0"/>
    <n v="2"/>
    <n v="14892"/>
    <n v="29784"/>
    <n v="0"/>
    <n v="0"/>
    <n v="29784"/>
    <n v="18647.72"/>
    <n v="11136.279999999999"/>
    <s v="Jun"/>
    <n v="2026"/>
    <n v="6"/>
  </r>
  <r>
    <s v="ORD-00190"/>
    <d v="2026-06-15T00:00:00"/>
    <s v="Cap"/>
    <s v="Accessories"/>
    <s v="Website"/>
    <s v="Lagos"/>
    <s v="Returning"/>
    <x v="3"/>
    <n v="1"/>
    <n v="11879"/>
    <n v="11879"/>
    <n v="593.95000000000005"/>
    <n v="0.05"/>
    <n v="11285.05"/>
    <n v="5825.23"/>
    <n v="5459.82"/>
    <s v="Jun"/>
    <n v="2026"/>
    <n v="6"/>
  </r>
  <r>
    <s v="ORD-00043"/>
    <d v="2026-06-16T00:00:00"/>
    <s v="Jeans"/>
    <s v="Clothing"/>
    <s v="Physical Store"/>
    <s v="Lagos"/>
    <s v="Returning"/>
    <x v="3"/>
    <n v="5"/>
    <n v="42151"/>
    <n v="210755"/>
    <n v="31613.25"/>
    <n v="0.15"/>
    <n v="179141.75"/>
    <n v="137387.64000000001"/>
    <n v="41754.109999999986"/>
    <s v="Jun"/>
    <n v="2026"/>
    <n v="6"/>
  </r>
  <r>
    <s v="ORD-00755"/>
    <d v="2026-06-16T00:00:00"/>
    <s v="Polo Shirt"/>
    <s v="Clothing"/>
    <s v="Website"/>
    <s v="Lagos"/>
    <s v="Returning"/>
    <x v="0"/>
    <n v="2"/>
    <n v="24439"/>
    <n v="48878"/>
    <n v="0"/>
    <n v="0"/>
    <n v="48878"/>
    <n v="23858.29"/>
    <n v="25019.71"/>
    <s v="Jun"/>
    <n v="2026"/>
    <n v="6"/>
  </r>
  <r>
    <s v="ORD-00713"/>
    <d v="2026-06-17T00:00:00"/>
    <s v="T-Shirt"/>
    <s v="Clothing"/>
    <s v="Instagram"/>
    <s v="Abuja"/>
    <s v="New"/>
    <x v="0"/>
    <n v="1"/>
    <n v="18986"/>
    <n v="18986"/>
    <n v="0"/>
    <n v="0"/>
    <n v="18986"/>
    <n v="12403.28"/>
    <n v="6582.7199999999993"/>
    <s v="Jun"/>
    <n v="2026"/>
    <n v="6"/>
  </r>
  <r>
    <s v="ORD-00607"/>
    <d v="2026-06-18T00:00:00"/>
    <s v="Polo Shirt"/>
    <s v="Clothing"/>
    <s v="Physical Store"/>
    <s v="Lagos"/>
    <s v="Returning"/>
    <x v="3"/>
    <n v="3"/>
    <n v="24292"/>
    <n v="72876"/>
    <n v="7287.6"/>
    <n v="0.1"/>
    <n v="65588.399999999994"/>
    <n v="40275.980000000003"/>
    <n v="25312.419999999991"/>
    <s v="Jun"/>
    <n v="2026"/>
    <n v="6"/>
  </r>
  <r>
    <s v="ORD-00624"/>
    <d v="2026-06-18T00:00:00"/>
    <s v="Sandals"/>
    <s v="Footwear"/>
    <s v="Website"/>
    <s v="Delta"/>
    <s v="New"/>
    <x v="3"/>
    <n v="1"/>
    <n v="30382"/>
    <n v="30382"/>
    <n v="6076.4"/>
    <n v="0.2"/>
    <n v="24305.599999999999"/>
    <n v="20122.47"/>
    <n v="4183.1299999999974"/>
    <s v="Jun"/>
    <n v="2026"/>
    <n v="6"/>
  </r>
  <r>
    <s v="ORD-00622"/>
    <d v="2026-06-18T00:00:00"/>
    <s v="Handbag"/>
    <s v="Accessories"/>
    <s v="Website"/>
    <s v="Lagos"/>
    <s v="New"/>
    <x v="0"/>
    <n v="3"/>
    <n v="42605"/>
    <n v="127815"/>
    <n v="0"/>
    <n v="0"/>
    <n v="127815"/>
    <n v="70389.64"/>
    <n v="57425.36"/>
    <s v="Jun"/>
    <n v="2026"/>
    <n v="6"/>
  </r>
  <r>
    <s v="ORD-00750"/>
    <d v="2026-06-20T00:00:00"/>
    <s v="Dress"/>
    <s v="Clothing"/>
    <s v="Instagram"/>
    <s v="Lagos"/>
    <s v="New"/>
    <x v="0"/>
    <n v="1"/>
    <n v="48805"/>
    <n v="48805"/>
    <n v="0"/>
    <n v="0"/>
    <n v="48805"/>
    <n v="29111.22"/>
    <n v="19693.78"/>
    <s v="Jun"/>
    <n v="2026"/>
    <n v="6"/>
  </r>
  <r>
    <s v="ORD-00279"/>
    <d v="2026-06-21T00:00:00"/>
    <s v="Sandals"/>
    <s v="Footwear"/>
    <s v="Physical Store"/>
    <s v="Oyo"/>
    <s v="Returning"/>
    <x v="0"/>
    <n v="4"/>
    <n v="31233"/>
    <n v="124932"/>
    <n v="0"/>
    <n v="0"/>
    <n v="124932"/>
    <n v="60139.22"/>
    <n v="64792.78"/>
    <s v="Jun"/>
    <n v="2026"/>
    <n v="6"/>
  </r>
  <r>
    <s v="ORD-00974"/>
    <d v="2026-06-23T00:00:00"/>
    <s v="Belt"/>
    <s v="Accessories"/>
    <s v="Website"/>
    <s v="Lagos"/>
    <s v="New"/>
    <x v="0"/>
    <n v="1"/>
    <n v="15979"/>
    <n v="15979"/>
    <n v="2396.85"/>
    <n v="0.15"/>
    <n v="13582.15"/>
    <n v="10790.34"/>
    <n v="2791.8099999999995"/>
    <s v="Jun"/>
    <n v="2026"/>
    <n v="6"/>
  </r>
  <r>
    <s v="ORD-01015"/>
    <d v="2026-06-24T00:00:00"/>
    <s v="T-Shirt"/>
    <s v="Clothing"/>
    <s v="Website"/>
    <s v="Abuja"/>
    <s v="New"/>
    <x v="0"/>
    <n v="1"/>
    <n v="16671"/>
    <n v="16671"/>
    <n v="0"/>
    <n v="0"/>
    <n v="16671"/>
    <n v="8751.07"/>
    <n v="7919.93"/>
    <s v="Jun"/>
    <n v="2026"/>
    <n v="6"/>
  </r>
  <r>
    <s v="ORD-00522"/>
    <d v="2026-06-27T00:00:00"/>
    <s v="Belt"/>
    <s v="Accessories"/>
    <s v="Physical Store"/>
    <s v="Oyo"/>
    <s v="New"/>
    <x v="0"/>
    <n v="3"/>
    <n v="14512"/>
    <n v="43536"/>
    <n v="0"/>
    <n v="0"/>
    <n v="43536"/>
    <n v="29283.13"/>
    <n v="14252.869999999999"/>
    <s v="Jun"/>
    <n v="2026"/>
    <n v="6"/>
  </r>
  <r>
    <s v="ORD-00951"/>
    <d v="2026-06-28T00:00:00"/>
    <s v="Belt"/>
    <s v="Accessories"/>
    <s v="Physical Store"/>
    <s v="Lagos"/>
    <s v="Returning"/>
    <x v="0"/>
    <n v="2"/>
    <n v="14344"/>
    <n v="28688"/>
    <n v="0"/>
    <n v="0"/>
    <n v="28688"/>
    <n v="14696.39"/>
    <n v="13991.61"/>
    <s v="Jun"/>
    <n v="2026"/>
    <n v="6"/>
  </r>
  <r>
    <s v="ORD-00761"/>
    <d v="2026-06-29T00:00:00"/>
    <s v="Belt"/>
    <s v="Accessories"/>
    <s v="Physical Store"/>
    <s v="Lagos"/>
    <s v="New"/>
    <x v="0"/>
    <n v="2"/>
    <n v="14099"/>
    <n v="28198"/>
    <n v="0"/>
    <n v="0"/>
    <n v="28198"/>
    <n v="17845.14"/>
    <n v="10352.86"/>
    <s v="Jun"/>
    <n v="2026"/>
    <n v="6"/>
  </r>
  <r>
    <s v="ORD-00351"/>
    <d v="2026-06-30T00:00:00"/>
    <s v="Cap"/>
    <s v="Accessories"/>
    <s v="Website"/>
    <s v="Lagos"/>
    <s v="Returning"/>
    <x v="3"/>
    <n v="2"/>
    <n v="11082"/>
    <n v="22164"/>
    <n v="2216.4"/>
    <n v="0.1"/>
    <n v="19947.599999999999"/>
    <n v="10822.36"/>
    <n v="9125.239999999998"/>
    <s v="Jun"/>
    <n v="2026"/>
    <n v="6"/>
  </r>
  <r>
    <s v="ORD-00451"/>
    <d v="2026-07-01T00:00:00"/>
    <s v="Polo Shirt"/>
    <s v="Clothing"/>
    <s v="WhatsApp"/>
    <s v="Rivers"/>
    <s v="New"/>
    <x v="0"/>
    <n v="4"/>
    <n v="23096"/>
    <n v="92384"/>
    <n v="0"/>
    <n v="0"/>
    <n v="92384"/>
    <n v="57062.61"/>
    <n v="35321.39"/>
    <s v="Jul"/>
    <n v="2026"/>
    <n v="7"/>
  </r>
  <r>
    <s v="ORD-01197"/>
    <d v="2026-07-02T00:00:00"/>
    <s v="T-Shirt"/>
    <s v="Clothing"/>
    <s v="Physical Store"/>
    <s v="Abuja"/>
    <s v="New"/>
    <x v="0"/>
    <n v="1"/>
    <n v="18534"/>
    <n v="18534"/>
    <n v="926.7"/>
    <n v="0.05"/>
    <n v="17607.3"/>
    <n v="9351.48"/>
    <n v="8255.82"/>
    <s v="Jul"/>
    <n v="2026"/>
    <n v="7"/>
  </r>
  <r>
    <s v="ORD-00208"/>
    <d v="2026-07-02T00:00:00"/>
    <s v="Cap"/>
    <s v="Accessories"/>
    <s v="Physical Store"/>
    <s v="Lagos"/>
    <s v="New"/>
    <x v="3"/>
    <n v="1"/>
    <n v="12215"/>
    <n v="12215"/>
    <n v="1221.5"/>
    <n v="0.1"/>
    <n v="10993.5"/>
    <n v="8157.32"/>
    <n v="2836.1800000000003"/>
    <s v="Jul"/>
    <n v="2026"/>
    <n v="7"/>
  </r>
  <r>
    <s v="ORD-00960"/>
    <d v="2026-07-03T00:00:00"/>
    <s v="Hoodie"/>
    <s v="Clothing"/>
    <s v="Instagram"/>
    <s v="Abuja"/>
    <s v="Returning"/>
    <x v="0"/>
    <n v="1"/>
    <n v="37851"/>
    <n v="37851"/>
    <n v="0"/>
    <n v="0"/>
    <n v="37851"/>
    <n v="24681.65"/>
    <n v="13169.349999999999"/>
    <s v="Jul"/>
    <n v="2026"/>
    <n v="7"/>
  </r>
  <r>
    <s v="ORD-00768"/>
    <d v="2026-07-06T00:00:00"/>
    <s v="Belt"/>
    <s v="Accessories"/>
    <s v="Website"/>
    <s v="Lagos"/>
    <s v="New"/>
    <x v="0"/>
    <n v="3"/>
    <n v="15695"/>
    <n v="47085"/>
    <n v="0"/>
    <n v="0"/>
    <n v="47085"/>
    <n v="23665.86"/>
    <n v="23419.14"/>
    <s v="Jul"/>
    <n v="2026"/>
    <n v="7"/>
  </r>
  <r>
    <s v="ORD-00674"/>
    <d v="2026-07-07T00:00:00"/>
    <s v="Cap"/>
    <s v="Accessories"/>
    <s v="Physical Store"/>
    <s v="Rivers"/>
    <s v="Returning"/>
    <x v="3"/>
    <n v="2"/>
    <n v="11222"/>
    <n v="22444"/>
    <n v="1122.2"/>
    <n v="0.05"/>
    <n v="21321.8"/>
    <n v="14029.65"/>
    <n v="7292.15"/>
    <s v="Jul"/>
    <n v="2026"/>
    <n v="7"/>
  </r>
  <r>
    <s v="ORD-00584"/>
    <d v="2026-07-07T00:00:00"/>
    <s v="Handbag"/>
    <s v="Accessories"/>
    <s v="WhatsApp"/>
    <s v="Oyo"/>
    <s v="New"/>
    <x v="3"/>
    <n v="1"/>
    <n v="42837"/>
    <n v="42837"/>
    <n v="6425.55"/>
    <n v="0.15"/>
    <n v="36411.449999999997"/>
    <n v="24860.02"/>
    <n v="11551.429999999997"/>
    <s v="Jul"/>
    <n v="2026"/>
    <n v="7"/>
  </r>
  <r>
    <s v="ORD-00719"/>
    <d v="2026-07-08T00:00:00"/>
    <s v="Jeans"/>
    <s v="Clothing"/>
    <s v="WhatsApp"/>
    <s v="Rivers"/>
    <s v="New"/>
    <x v="3"/>
    <n v="4"/>
    <n v="40126"/>
    <n v="160504"/>
    <n v="16050.4"/>
    <n v="0.1"/>
    <n v="144453.6"/>
    <n v="102823.13"/>
    <n v="41630.47"/>
    <s v="Jul"/>
    <n v="2026"/>
    <n v="7"/>
  </r>
  <r>
    <s v="ORD-00402"/>
    <d v="2026-07-08T00:00:00"/>
    <s v="Cap"/>
    <s v="Accessories"/>
    <s v="Physical Store"/>
    <s v="Lagos"/>
    <s v="Returning"/>
    <x v="3"/>
    <n v="1"/>
    <n v="11502"/>
    <n v="11502"/>
    <n v="1725.3"/>
    <n v="0.15"/>
    <n v="9776.7000000000007"/>
    <n v="5706.33"/>
    <n v="4070.3700000000008"/>
    <s v="Jul"/>
    <n v="2026"/>
    <n v="7"/>
  </r>
  <r>
    <s v="ORD-00275"/>
    <d v="2026-07-09T00:00:00"/>
    <s v="Polo Shirt"/>
    <s v="Clothing"/>
    <s v="Physical Store"/>
    <s v="Delta"/>
    <s v="New"/>
    <x v="0"/>
    <n v="2"/>
    <n v="26392"/>
    <n v="52784"/>
    <n v="0"/>
    <n v="0"/>
    <n v="52784"/>
    <n v="34677.56"/>
    <n v="18106.440000000002"/>
    <s v="Jul"/>
    <n v="2026"/>
    <n v="7"/>
  </r>
  <r>
    <s v="ORD-01110"/>
    <d v="2026-07-09T00:00:00"/>
    <s v="Handbag"/>
    <s v="Accessories"/>
    <s v="Physical Store"/>
    <s v="Rivers"/>
    <s v="Returning"/>
    <x v="3"/>
    <n v="1"/>
    <n v="46286"/>
    <n v="46286"/>
    <n v="6942.9"/>
    <n v="0.15"/>
    <n v="39343.1"/>
    <n v="30546.53"/>
    <n v="8796.57"/>
    <s v="Jul"/>
    <n v="2026"/>
    <n v="7"/>
  </r>
  <r>
    <s v="ORD-01187"/>
    <d v="2026-07-09T00:00:00"/>
    <s v="Hoodie"/>
    <s v="Clothing"/>
    <s v="Instagram"/>
    <s v="Abuja"/>
    <s v="Returning"/>
    <x v="3"/>
    <n v="3"/>
    <n v="40171"/>
    <n v="120513"/>
    <n v="18076.95"/>
    <n v="0.15"/>
    <n v="102436.05"/>
    <n v="68981.63"/>
    <n v="33454.42"/>
    <s v="Jul"/>
    <n v="2026"/>
    <n v="7"/>
  </r>
  <r>
    <s v="ORD-01134"/>
    <d v="2026-07-09T00:00:00"/>
    <s v="Belt"/>
    <s v="Accessories"/>
    <s v="Website"/>
    <s v="Lagos"/>
    <s v="Returning"/>
    <x v="0"/>
    <n v="1"/>
    <n v="14377"/>
    <n v="14377"/>
    <n v="0"/>
    <n v="0"/>
    <n v="14377"/>
    <n v="8539.09"/>
    <n v="5837.91"/>
    <s v="Jul"/>
    <n v="2026"/>
    <n v="7"/>
  </r>
  <r>
    <s v="ORD-01016"/>
    <d v="2026-07-10T00:00:00"/>
    <s v="Handbag"/>
    <s v="Accessories"/>
    <s v="WhatsApp"/>
    <s v="Lagos"/>
    <s v="New"/>
    <x v="0"/>
    <n v="1"/>
    <n v="41561"/>
    <n v="41561"/>
    <n v="0"/>
    <n v="0"/>
    <n v="41561"/>
    <n v="22141"/>
    <n v="19420"/>
    <s v="Jul"/>
    <n v="2026"/>
    <n v="7"/>
  </r>
  <r>
    <s v="ORD-00803"/>
    <d v="2026-07-11T00:00:00"/>
    <s v="Sandals"/>
    <s v="Footwear"/>
    <s v="Instagram"/>
    <s v="Rivers"/>
    <s v="New"/>
    <x v="3"/>
    <n v="3"/>
    <n v="29007"/>
    <n v="87021"/>
    <n v="4351.05"/>
    <n v="0.05"/>
    <n v="82669.95"/>
    <n v="48317.56"/>
    <n v="34352.39"/>
    <s v="Jul"/>
    <n v="2026"/>
    <n v="7"/>
  </r>
  <r>
    <s v="ORD-00521"/>
    <d v="2026-07-13T00:00:00"/>
    <s v="Cap"/>
    <s v="Accessories"/>
    <s v="Website"/>
    <s v="Rivers"/>
    <s v="Returning"/>
    <x v="0"/>
    <n v="1"/>
    <n v="12610"/>
    <n v="12610"/>
    <n v="1261"/>
    <n v="0.1"/>
    <n v="11349"/>
    <n v="7318.51"/>
    <n v="4030.49"/>
    <s v="Jul"/>
    <n v="2026"/>
    <n v="7"/>
  </r>
  <r>
    <s v="ORD-00926"/>
    <d v="2026-07-13T00:00:00"/>
    <s v="T-Shirt"/>
    <s v="Clothing"/>
    <s v="WhatsApp"/>
    <s v="Lagos"/>
    <s v="Returning"/>
    <x v="3"/>
    <n v="1"/>
    <n v="18079"/>
    <n v="18079"/>
    <n v="3615.8"/>
    <n v="0.2"/>
    <n v="14463.2"/>
    <n v="11709.77"/>
    <n v="2753.4300000000003"/>
    <s v="Jul"/>
    <n v="2026"/>
    <n v="7"/>
  </r>
  <r>
    <s v="ORD-01133"/>
    <d v="2026-07-14T00:00:00"/>
    <s v="Dress"/>
    <s v="Clothing"/>
    <s v="WhatsApp"/>
    <s v="Oyo"/>
    <s v="New"/>
    <x v="3"/>
    <n v="2"/>
    <n v="50623"/>
    <n v="101246"/>
    <n v="15186.9"/>
    <n v="0.15"/>
    <n v="86059.1"/>
    <n v="51845.73"/>
    <n v="34213.370000000003"/>
    <s v="Jul"/>
    <n v="2026"/>
    <n v="7"/>
  </r>
  <r>
    <s v="ORD-00259"/>
    <d v="2026-07-16T00:00:00"/>
    <s v="Handbag"/>
    <s v="Accessories"/>
    <s v="Physical Store"/>
    <s v="Rivers"/>
    <s v="New"/>
    <x v="0"/>
    <n v="3"/>
    <n v="43644"/>
    <n v="130932"/>
    <n v="0"/>
    <n v="0"/>
    <n v="130932"/>
    <n v="67410.17"/>
    <n v="63521.83"/>
    <s v="Jul"/>
    <n v="2026"/>
    <n v="7"/>
  </r>
  <r>
    <s v="ORD-00517"/>
    <d v="2026-07-17T00:00:00"/>
    <s v="Belt"/>
    <s v="Accessories"/>
    <s v="Instagram"/>
    <s v="Lagos"/>
    <s v="Returning"/>
    <x v="3"/>
    <n v="2"/>
    <n v="14154"/>
    <n v="28308"/>
    <n v="5661.6"/>
    <n v="0.2"/>
    <n v="22646.400000000001"/>
    <n v="14623.31"/>
    <n v="8023.090000000002"/>
    <s v="Jul"/>
    <n v="2026"/>
    <n v="7"/>
  </r>
  <r>
    <s v="ORD-00482"/>
    <d v="2026-07-17T00:00:00"/>
    <s v="Handbag"/>
    <s v="Accessories"/>
    <s v="Instagram"/>
    <s v="Lagos"/>
    <s v="New"/>
    <x v="3"/>
    <n v="1"/>
    <n v="45297"/>
    <n v="45297"/>
    <n v="9059.4"/>
    <n v="0.2"/>
    <n v="36237.599999999999"/>
    <n v="30754.62"/>
    <n v="5482.98"/>
    <s v="Jul"/>
    <n v="2026"/>
    <n v="7"/>
  </r>
  <r>
    <s v="ORD-00176"/>
    <d v="2026-07-17T00:00:00"/>
    <s v="Jeans"/>
    <s v="Clothing"/>
    <s v="Website"/>
    <s v="Abuja"/>
    <s v="New"/>
    <x v="3"/>
    <n v="3"/>
    <n v="43969"/>
    <n v="131907"/>
    <n v="26381.4"/>
    <n v="0.2"/>
    <n v="105525.6"/>
    <n v="69699.06"/>
    <n v="35826.540000000008"/>
    <s v="Jul"/>
    <n v="2026"/>
    <n v="7"/>
  </r>
  <r>
    <s v="ORD-00092"/>
    <d v="2026-07-18T00:00:00"/>
    <s v="Cap"/>
    <s v="Accessories"/>
    <s v="Physical Store"/>
    <s v="Rivers"/>
    <s v="Returning"/>
    <x v="3"/>
    <n v="1"/>
    <n v="11542"/>
    <n v="11542"/>
    <n v="1154.2"/>
    <n v="0.1"/>
    <n v="10387.799999999999"/>
    <n v="7632.16"/>
    <n v="2755.6399999999994"/>
    <s v="Jul"/>
    <n v="2026"/>
    <n v="7"/>
  </r>
  <r>
    <s v="ORD-00483"/>
    <d v="2026-07-22T00:00:00"/>
    <s v="Dress"/>
    <s v="Clothing"/>
    <s v="Instagram"/>
    <s v="Lagos"/>
    <s v="Returning"/>
    <x v="0"/>
    <n v="3"/>
    <n v="51515"/>
    <n v="154545"/>
    <n v="0"/>
    <n v="0"/>
    <n v="154545"/>
    <n v="95628.22"/>
    <n v="58916.78"/>
    <s v="Jul"/>
    <n v="2026"/>
    <n v="7"/>
  </r>
  <r>
    <s v="ORD-01001"/>
    <d v="2026-07-22T00:00:00"/>
    <s v="Handbag"/>
    <s v="Accessories"/>
    <s v="Website"/>
    <s v="Lagos"/>
    <s v="Returning"/>
    <x v="3"/>
    <n v="2"/>
    <n v="41463"/>
    <n v="82926"/>
    <n v="8292.6"/>
    <n v="0.1"/>
    <n v="74633.399999999994"/>
    <n v="55410.26"/>
    <n v="19223.139999999992"/>
    <s v="Jul"/>
    <n v="2026"/>
    <n v="7"/>
  </r>
  <r>
    <s v="ORD-00973"/>
    <d v="2026-07-22T00:00:00"/>
    <s v="Sandals"/>
    <s v="Footwear"/>
    <s v="WhatsApp"/>
    <s v="Rivers"/>
    <s v="New"/>
    <x v="0"/>
    <n v="3"/>
    <n v="28340"/>
    <n v="85020"/>
    <n v="0"/>
    <n v="0"/>
    <n v="85020"/>
    <n v="53366.78"/>
    <n v="31653.22"/>
    <s v="Jul"/>
    <n v="2026"/>
    <n v="7"/>
  </r>
  <r>
    <s v="ORD-00440"/>
    <d v="2026-07-23T00:00:00"/>
    <s v="Jeans"/>
    <s v="Clothing"/>
    <s v="Physical Store"/>
    <s v="Oyo"/>
    <s v="New"/>
    <x v="3"/>
    <n v="2"/>
    <n v="41620"/>
    <n v="83240"/>
    <n v="12486"/>
    <n v="0.15"/>
    <n v="70754"/>
    <n v="44865.46"/>
    <n v="25888.54"/>
    <s v="Jul"/>
    <n v="2026"/>
    <n v="7"/>
  </r>
  <r>
    <s v="ORD-01093"/>
    <d v="2026-07-23T00:00:00"/>
    <s v="Handbag"/>
    <s v="Accessories"/>
    <s v="Physical Store"/>
    <s v="Rivers"/>
    <s v="Returning"/>
    <x v="3"/>
    <n v="2"/>
    <n v="47218"/>
    <n v="94436"/>
    <n v="9443.6"/>
    <n v="0.1"/>
    <n v="84992.4"/>
    <n v="63516.78"/>
    <n v="21475.619999999995"/>
    <s v="Jul"/>
    <n v="2026"/>
    <n v="7"/>
  </r>
  <r>
    <s v="ORD-00316"/>
    <d v="2026-07-24T00:00:00"/>
    <s v="Dress"/>
    <s v="Clothing"/>
    <s v="Website"/>
    <s v="Rivers"/>
    <s v="Returning"/>
    <x v="3"/>
    <n v="1"/>
    <n v="50847"/>
    <n v="50847"/>
    <n v="2542.35"/>
    <n v="0.05"/>
    <n v="48304.65"/>
    <n v="24864.15"/>
    <n v="23440.5"/>
    <s v="Jul"/>
    <n v="2026"/>
    <n v="7"/>
  </r>
  <r>
    <s v="ORD-01102"/>
    <d v="2026-07-24T00:00:00"/>
    <s v="Cap"/>
    <s v="Accessories"/>
    <s v="Physical Store"/>
    <s v="Rivers"/>
    <s v="New"/>
    <x v="0"/>
    <n v="1"/>
    <n v="11374"/>
    <n v="11374"/>
    <n v="0"/>
    <n v="0"/>
    <n v="11374"/>
    <n v="7288.33"/>
    <n v="4085.67"/>
    <s v="Jul"/>
    <n v="2026"/>
    <n v="7"/>
  </r>
  <r>
    <s v="ORD-00865"/>
    <d v="2026-07-24T00:00:00"/>
    <s v="Dress"/>
    <s v="Clothing"/>
    <s v="Instagram"/>
    <s v="Lagos"/>
    <s v="New"/>
    <x v="0"/>
    <n v="2"/>
    <n v="48689"/>
    <n v="97378"/>
    <n v="0"/>
    <n v="0"/>
    <n v="97378"/>
    <n v="57281.4"/>
    <n v="40096.6"/>
    <s v="Jul"/>
    <n v="2026"/>
    <n v="7"/>
  </r>
  <r>
    <s v="ORD-01164"/>
    <d v="2026-07-25T00:00:00"/>
    <s v="Jeans"/>
    <s v="Clothing"/>
    <s v="Website"/>
    <s v="Oyo"/>
    <s v="Returning"/>
    <x v="3"/>
    <n v="1"/>
    <n v="43631"/>
    <n v="43631"/>
    <n v="6544.65"/>
    <n v="0.15"/>
    <n v="37086.35"/>
    <n v="24493.26"/>
    <n v="12593.09"/>
    <s v="Jul"/>
    <n v="2026"/>
    <n v="7"/>
  </r>
  <r>
    <s v="ORD-00871"/>
    <d v="2026-07-25T00:00:00"/>
    <s v="Sandals"/>
    <s v="Footwear"/>
    <s v="WhatsApp"/>
    <s v="Lagos"/>
    <s v="Returning"/>
    <x v="3"/>
    <n v="1"/>
    <n v="30144"/>
    <n v="30144"/>
    <n v="6028.8"/>
    <n v="0.2"/>
    <n v="24115.200000000001"/>
    <n v="16694.09"/>
    <n v="7421.1100000000006"/>
    <s v="Jul"/>
    <n v="2026"/>
    <n v="7"/>
  </r>
  <r>
    <s v="ORD-01152"/>
    <d v="2026-07-27T00:00:00"/>
    <s v="Sneakers"/>
    <s v="Footwear"/>
    <s v="Physical Store"/>
    <s v="Oyo"/>
    <s v="Returning"/>
    <x v="3"/>
    <n v="1"/>
    <n v="63975"/>
    <n v="63975"/>
    <n v="6397.5"/>
    <n v="0.1"/>
    <n v="57577.5"/>
    <n v="43091"/>
    <n v="14486.5"/>
    <s v="Jul"/>
    <n v="2026"/>
    <n v="7"/>
  </r>
  <r>
    <s v="ORD-00881"/>
    <d v="2026-07-27T00:00:00"/>
    <s v="T-Shirt"/>
    <s v="Clothing"/>
    <s v="WhatsApp"/>
    <s v="Lagos"/>
    <s v="Returning"/>
    <x v="0"/>
    <n v="2"/>
    <n v="18929"/>
    <n v="37858"/>
    <n v="1892.9"/>
    <n v="0.05"/>
    <n v="35965.1"/>
    <n v="23480.6"/>
    <n v="12484.5"/>
    <s v="Jul"/>
    <n v="2026"/>
    <n v="7"/>
  </r>
  <r>
    <s v="ORD-01050"/>
    <d v="2026-07-27T00:00:00"/>
    <s v="Dress"/>
    <s v="Clothing"/>
    <s v="Website"/>
    <s v="Delta"/>
    <s v="New"/>
    <x v="0"/>
    <n v="1"/>
    <n v="46271"/>
    <n v="46271"/>
    <n v="0"/>
    <n v="0"/>
    <n v="46271"/>
    <n v="26522.02"/>
    <n v="19748.98"/>
    <s v="Jul"/>
    <n v="2026"/>
    <n v="7"/>
  </r>
  <r>
    <s v="ORD-00976"/>
    <d v="2026-07-28T00:00:00"/>
    <s v="Sneakers"/>
    <s v="Footwear"/>
    <s v="Website"/>
    <s v="Delta"/>
    <s v="New"/>
    <x v="3"/>
    <n v="1"/>
    <n v="62220"/>
    <n v="62220"/>
    <n v="6222"/>
    <n v="0.1"/>
    <n v="55998"/>
    <n v="40722.559999999998"/>
    <n v="15275.440000000002"/>
    <s v="Jul"/>
    <n v="2026"/>
    <n v="7"/>
  </r>
  <r>
    <s v="ORD-00954"/>
    <d v="2026-08-01T00:00:00"/>
    <s v="Jeans"/>
    <s v="Clothing"/>
    <s v="Instagram"/>
    <s v="Lagos"/>
    <s v="Returning"/>
    <x v="0"/>
    <n v="1"/>
    <n v="43659"/>
    <n v="43659"/>
    <n v="0"/>
    <n v="0"/>
    <n v="43659"/>
    <n v="29322.46"/>
    <n v="14336.54"/>
    <s v="Aug"/>
    <n v="2026"/>
    <n v="8"/>
  </r>
  <r>
    <s v="ORD-00453"/>
    <d v="2026-08-03T00:00:00"/>
    <s v="Hoodie"/>
    <s v="Clothing"/>
    <s v="Physical Store"/>
    <s v="Lagos"/>
    <s v="New"/>
    <x v="0"/>
    <n v="3"/>
    <n v="40980"/>
    <n v="122940"/>
    <n v="0"/>
    <n v="0"/>
    <n v="122940"/>
    <n v="68132.7"/>
    <n v="54807.3"/>
    <s v="Aug"/>
    <n v="2026"/>
    <n v="8"/>
  </r>
  <r>
    <s v="ORD-00728"/>
    <d v="2026-08-04T00:00:00"/>
    <s v="Sneakers"/>
    <s v="Footwear"/>
    <s v="Website"/>
    <s v="Lagos"/>
    <s v="Returning"/>
    <x v="0"/>
    <n v="2"/>
    <n v="64451"/>
    <n v="128902"/>
    <n v="0"/>
    <n v="0"/>
    <n v="128902"/>
    <n v="74320"/>
    <n v="54582"/>
    <s v="Aug"/>
    <n v="2026"/>
    <n v="8"/>
  </r>
  <r>
    <s v="ORD-00924"/>
    <d v="2026-08-04T00:00:00"/>
    <s v="Polo Shirt"/>
    <s v="Clothing"/>
    <s v="Physical Store"/>
    <s v="Abuja"/>
    <s v="New"/>
    <x v="0"/>
    <n v="1"/>
    <n v="25875"/>
    <n v="25875"/>
    <n v="0"/>
    <n v="0"/>
    <n v="25875"/>
    <n v="17162.48"/>
    <n v="8712.52"/>
    <s v="Aug"/>
    <n v="2026"/>
    <n v="8"/>
  </r>
  <r>
    <s v="ORD-00819"/>
    <d v="2026-08-05T00:00:00"/>
    <s v="Sneakers"/>
    <s v="Footwear"/>
    <s v="Physical Store"/>
    <s v="Oyo"/>
    <s v="New"/>
    <x v="0"/>
    <n v="1"/>
    <n v="59887"/>
    <n v="59887"/>
    <n v="0"/>
    <n v="0"/>
    <n v="59887"/>
    <n v="30256.94"/>
    <n v="29630.06"/>
    <s v="Aug"/>
    <n v="2026"/>
    <n v="8"/>
  </r>
  <r>
    <s v="ORD-00434"/>
    <d v="2026-08-05T00:00:00"/>
    <s v="Handbag"/>
    <s v="Accessories"/>
    <s v="WhatsApp"/>
    <s v="Rivers"/>
    <s v="New"/>
    <x v="0"/>
    <n v="4"/>
    <n v="43791"/>
    <n v="175164"/>
    <n v="0"/>
    <n v="0"/>
    <n v="175164"/>
    <n v="110889.89"/>
    <n v="64274.11"/>
    <s v="Aug"/>
    <n v="2026"/>
    <n v="8"/>
  </r>
  <r>
    <s v="ORD-01145"/>
    <d v="2026-08-06T00:00:00"/>
    <s v="Sneakers"/>
    <s v="Footwear"/>
    <s v="Physical Store"/>
    <s v="Delta"/>
    <s v="Returning"/>
    <x v="0"/>
    <n v="1"/>
    <n v="70176"/>
    <n v="70176"/>
    <n v="3508.8"/>
    <n v="0.05"/>
    <n v="66667.199999999997"/>
    <n v="45505.62"/>
    <n v="21161.579999999994"/>
    <s v="Aug"/>
    <n v="2026"/>
    <n v="8"/>
  </r>
  <r>
    <s v="ORD-00809"/>
    <d v="2026-08-08T00:00:00"/>
    <s v="Cap"/>
    <s v="Accessories"/>
    <s v="Website"/>
    <s v="Lagos"/>
    <s v="New"/>
    <x v="0"/>
    <n v="1"/>
    <n v="11417"/>
    <n v="11417"/>
    <n v="0"/>
    <n v="0"/>
    <n v="11417"/>
    <n v="5876.49"/>
    <n v="5540.51"/>
    <s v="Aug"/>
    <n v="2026"/>
    <n v="8"/>
  </r>
  <r>
    <s v="ORD-01184"/>
    <d v="2026-08-09T00:00:00"/>
    <s v="Jeans"/>
    <s v="Clothing"/>
    <s v="Website"/>
    <s v="Oyo"/>
    <s v="Returning"/>
    <x v="0"/>
    <n v="5"/>
    <n v="42657"/>
    <n v="213285"/>
    <n v="0"/>
    <n v="0"/>
    <n v="213285"/>
    <n v="116836.8"/>
    <n v="96448.2"/>
    <s v="Aug"/>
    <n v="2026"/>
    <n v="8"/>
  </r>
  <r>
    <s v="ORD-00908"/>
    <d v="2026-08-09T00:00:00"/>
    <s v="Handbag"/>
    <s v="Accessories"/>
    <s v="Physical Store"/>
    <s v="Lagos"/>
    <s v="Returning"/>
    <x v="0"/>
    <n v="1"/>
    <n v="44728"/>
    <n v="44728"/>
    <n v="0"/>
    <n v="0"/>
    <n v="44728"/>
    <n v="23763.49"/>
    <n v="20964.509999999998"/>
    <s v="Aug"/>
    <n v="2026"/>
    <n v="8"/>
  </r>
  <r>
    <s v="ORD-00143"/>
    <d v="2026-08-09T00:00:00"/>
    <s v="Sneakers"/>
    <s v="Footwear"/>
    <s v="Physical Store"/>
    <s v="Lagos"/>
    <s v="New"/>
    <x v="0"/>
    <n v="1"/>
    <n v="65512"/>
    <n v="65512"/>
    <n v="0"/>
    <n v="0"/>
    <n v="65512"/>
    <n v="40365.300000000003"/>
    <n v="25146.699999999997"/>
    <s v="Aug"/>
    <n v="2026"/>
    <n v="8"/>
  </r>
  <r>
    <s v="ORD-00449"/>
    <d v="2026-08-11T00:00:00"/>
    <s v="T-Shirt"/>
    <s v="Clothing"/>
    <s v="WhatsApp"/>
    <s v="Lagos"/>
    <s v="New"/>
    <x v="0"/>
    <n v="1"/>
    <n v="17825"/>
    <n v="17825"/>
    <n v="0"/>
    <n v="0"/>
    <n v="17825"/>
    <n v="9478.59"/>
    <n v="8346.41"/>
    <s v="Aug"/>
    <n v="2026"/>
    <n v="8"/>
  </r>
  <r>
    <s v="ORD-00882"/>
    <d v="2026-08-12T00:00:00"/>
    <s v="Sandals"/>
    <s v="Footwear"/>
    <s v="Instagram"/>
    <s v="Lagos"/>
    <s v="Returning"/>
    <x v="0"/>
    <n v="1"/>
    <n v="29451"/>
    <n v="29451"/>
    <n v="2945.1"/>
    <n v="0.1"/>
    <n v="26505.9"/>
    <n v="14545.9"/>
    <n v="11960.000000000002"/>
    <s v="Aug"/>
    <n v="2026"/>
    <n v="8"/>
  </r>
  <r>
    <s v="ORD-01192"/>
    <d v="2026-08-12T00:00:00"/>
    <s v="Handbag"/>
    <s v="Accessories"/>
    <s v="Physical Store"/>
    <s v="Abuja"/>
    <s v="New"/>
    <x v="0"/>
    <n v="3"/>
    <n v="47039"/>
    <n v="141117"/>
    <n v="0"/>
    <n v="0"/>
    <n v="141117"/>
    <n v="74848.62"/>
    <n v="66268.38"/>
    <s v="Aug"/>
    <n v="2026"/>
    <n v="8"/>
  </r>
  <r>
    <s v="ORD-00171"/>
    <d v="2026-08-12T00:00:00"/>
    <s v="Handbag"/>
    <s v="Accessories"/>
    <s v="Physical Store"/>
    <s v="Rivers"/>
    <s v="Returning"/>
    <x v="0"/>
    <n v="1"/>
    <n v="46086"/>
    <n v="46086"/>
    <n v="0"/>
    <n v="0"/>
    <n v="46086"/>
    <n v="27294.83"/>
    <n v="18791.169999999998"/>
    <s v="Aug"/>
    <n v="2026"/>
    <n v="8"/>
  </r>
  <r>
    <s v="ORD-00222"/>
    <d v="2026-08-12T00:00:00"/>
    <s v="Handbag"/>
    <s v="Accessories"/>
    <s v="WhatsApp"/>
    <s v="Oyo"/>
    <s v="Returning"/>
    <x v="0"/>
    <n v="2"/>
    <n v="42554"/>
    <n v="85108"/>
    <n v="0"/>
    <n v="0"/>
    <n v="85108"/>
    <n v="43903.02"/>
    <n v="41204.980000000003"/>
    <s v="Aug"/>
    <n v="2026"/>
    <n v="8"/>
  </r>
  <r>
    <s v="ORD-00045"/>
    <d v="2026-08-13T00:00:00"/>
    <s v="Belt"/>
    <s v="Accessories"/>
    <s v="Physical Store"/>
    <s v="Lagos"/>
    <s v="New"/>
    <x v="0"/>
    <n v="2"/>
    <n v="15224"/>
    <n v="30448"/>
    <n v="0"/>
    <n v="0"/>
    <n v="30448"/>
    <n v="18552.61"/>
    <n v="11895.39"/>
    <s v="Aug"/>
    <n v="2026"/>
    <n v="8"/>
  </r>
  <r>
    <s v="ORD-00014"/>
    <d v="2026-08-13T00:00:00"/>
    <s v="Sneakers"/>
    <s v="Footwear"/>
    <s v="Website"/>
    <s v="Oyo"/>
    <s v="New"/>
    <x v="0"/>
    <n v="2"/>
    <n v="66876"/>
    <n v="133752"/>
    <n v="13375.2"/>
    <n v="0.1"/>
    <n v="120376.8"/>
    <n v="90274.57"/>
    <n v="30102.229999999996"/>
    <s v="Aug"/>
    <n v="2026"/>
    <n v="8"/>
  </r>
  <r>
    <s v="ORD-01063"/>
    <d v="2026-08-14T00:00:00"/>
    <s v="T-Shirt"/>
    <s v="Clothing"/>
    <s v="Website"/>
    <s v="Lagos"/>
    <s v="Returning"/>
    <x v="0"/>
    <n v="1"/>
    <n v="16600"/>
    <n v="16600"/>
    <n v="0"/>
    <n v="0"/>
    <n v="16600"/>
    <n v="10664.82"/>
    <n v="5935.18"/>
    <s v="Aug"/>
    <n v="2026"/>
    <n v="8"/>
  </r>
  <r>
    <s v="ORD-00376"/>
    <d v="2026-08-14T00:00:00"/>
    <s v="Belt"/>
    <s v="Accessories"/>
    <s v="Physical Store"/>
    <s v="Rivers"/>
    <s v="Returning"/>
    <x v="0"/>
    <n v="1"/>
    <n v="16102"/>
    <n v="16102"/>
    <n v="0"/>
    <n v="0"/>
    <n v="16102"/>
    <n v="8012.85"/>
    <n v="8089.15"/>
    <s v="Aug"/>
    <n v="2026"/>
    <n v="8"/>
  </r>
  <r>
    <s v="ORD-00212"/>
    <d v="2026-08-14T00:00:00"/>
    <s v="T-Shirt"/>
    <s v="Clothing"/>
    <s v="Physical Store"/>
    <s v="Rivers"/>
    <s v="Returning"/>
    <x v="0"/>
    <n v="1"/>
    <n v="18916"/>
    <n v="18916"/>
    <n v="0"/>
    <n v="0"/>
    <n v="18916"/>
    <n v="12528.15"/>
    <n v="6387.85"/>
    <s v="Aug"/>
    <n v="2026"/>
    <n v="8"/>
  </r>
  <r>
    <s v="ORD-00348"/>
    <d v="2026-08-15T00:00:00"/>
    <s v="Jeans"/>
    <s v="Clothing"/>
    <s v="WhatsApp"/>
    <s v="Abuja"/>
    <s v="Returning"/>
    <x v="0"/>
    <n v="1"/>
    <n v="44166"/>
    <n v="44166"/>
    <n v="4416.6000000000004"/>
    <n v="0.1"/>
    <n v="39749.4"/>
    <n v="25836.23"/>
    <n v="13913.170000000002"/>
    <s v="Aug"/>
    <n v="2026"/>
    <n v="8"/>
  </r>
  <r>
    <s v="ORD-01040"/>
    <d v="2026-08-15T00:00:00"/>
    <s v="Polo Shirt"/>
    <s v="Clothing"/>
    <s v="Website"/>
    <s v="Abuja"/>
    <s v="New"/>
    <x v="0"/>
    <n v="1"/>
    <n v="26220"/>
    <n v="26220"/>
    <n v="0"/>
    <n v="0"/>
    <n v="26220"/>
    <n v="13927.96"/>
    <n v="12292.04"/>
    <s v="Aug"/>
    <n v="2026"/>
    <n v="8"/>
  </r>
  <r>
    <s v="ORD-00027"/>
    <d v="2026-08-15T00:00:00"/>
    <s v="Cap"/>
    <s v="Accessories"/>
    <s v="WhatsApp"/>
    <s v="Lagos"/>
    <s v="Returning"/>
    <x v="0"/>
    <n v="1"/>
    <n v="11291"/>
    <n v="11291"/>
    <n v="0"/>
    <n v="0"/>
    <n v="11291"/>
    <n v="6444.43"/>
    <n v="4846.57"/>
    <s v="Aug"/>
    <n v="2026"/>
    <n v="8"/>
  </r>
  <r>
    <s v="ORD-01124"/>
    <d v="2026-08-15T00:00:00"/>
    <s v="Cap"/>
    <s v="Accessories"/>
    <s v="Website"/>
    <s v="Rivers"/>
    <s v="New"/>
    <x v="0"/>
    <n v="2"/>
    <n v="11355"/>
    <n v="22710"/>
    <n v="0"/>
    <n v="0"/>
    <n v="22710"/>
    <n v="14356.33"/>
    <n v="8353.67"/>
    <s v="Aug"/>
    <n v="2026"/>
    <n v="8"/>
  </r>
  <r>
    <s v="ORD-00029"/>
    <d v="2026-08-15T00:00:00"/>
    <s v="Sandals"/>
    <s v="Footwear"/>
    <s v="Website"/>
    <s v="Lagos"/>
    <s v="Returning"/>
    <x v="0"/>
    <n v="2"/>
    <n v="31652"/>
    <n v="63304"/>
    <n v="0"/>
    <n v="0"/>
    <n v="63304"/>
    <n v="37796.97"/>
    <n v="25507.03"/>
    <s v="Aug"/>
    <n v="2026"/>
    <n v="8"/>
  </r>
  <r>
    <s v="ORD-00842"/>
    <d v="2026-08-15T00:00:00"/>
    <s v="Belt"/>
    <s v="Accessories"/>
    <s v="Physical Store"/>
    <s v="Delta"/>
    <s v="Returning"/>
    <x v="0"/>
    <n v="1"/>
    <n v="14282"/>
    <n v="14282"/>
    <n v="0"/>
    <n v="0"/>
    <n v="14282"/>
    <n v="9290.92"/>
    <n v="4991.08"/>
    <s v="Aug"/>
    <n v="2026"/>
    <n v="8"/>
  </r>
  <r>
    <s v="ORD-00516"/>
    <d v="2026-08-16T00:00:00"/>
    <s v="Sneakers"/>
    <s v="Footwear"/>
    <s v="WhatsApp"/>
    <s v="Abuja"/>
    <s v="Returning"/>
    <x v="0"/>
    <n v="2"/>
    <n v="64832"/>
    <n v="129664"/>
    <n v="0"/>
    <n v="0"/>
    <n v="129664"/>
    <n v="85779.51"/>
    <n v="43884.490000000005"/>
    <s v="Aug"/>
    <n v="2026"/>
    <n v="8"/>
  </r>
  <r>
    <s v="ORD-00235"/>
    <d v="2026-08-17T00:00:00"/>
    <s v="Handbag"/>
    <s v="Accessories"/>
    <s v="Physical Store"/>
    <s v="Oyo"/>
    <s v="New"/>
    <x v="0"/>
    <n v="1"/>
    <n v="44183"/>
    <n v="44183"/>
    <n v="0"/>
    <n v="0"/>
    <n v="44183"/>
    <n v="24273.81"/>
    <n v="19909.189999999999"/>
    <s v="Aug"/>
    <n v="2026"/>
    <n v="8"/>
  </r>
  <r>
    <s v="ORD-00101"/>
    <d v="2026-08-18T00:00:00"/>
    <s v="Dress"/>
    <s v="Clothing"/>
    <s v="Physical Store"/>
    <s v="Abuja"/>
    <s v="New"/>
    <x v="0"/>
    <n v="1"/>
    <n v="49125"/>
    <n v="49125"/>
    <n v="0"/>
    <n v="0"/>
    <n v="49125"/>
    <n v="27234.240000000002"/>
    <n v="21890.76"/>
    <s v="Aug"/>
    <n v="2026"/>
    <n v="8"/>
  </r>
  <r>
    <s v="ORD-00267"/>
    <d v="2026-08-19T00:00:00"/>
    <s v="Sneakers"/>
    <s v="Footwear"/>
    <s v="WhatsApp"/>
    <s v="Lagos"/>
    <s v="New"/>
    <x v="0"/>
    <n v="1"/>
    <n v="68042"/>
    <n v="68042"/>
    <n v="0"/>
    <n v="0"/>
    <n v="68042"/>
    <n v="42870.080000000002"/>
    <n v="25171.919999999998"/>
    <s v="Aug"/>
    <n v="2026"/>
    <n v="8"/>
  </r>
  <r>
    <s v="ORD-01149"/>
    <d v="2026-08-21T00:00:00"/>
    <s v="Belt"/>
    <s v="Accessories"/>
    <s v="Physical Store"/>
    <s v="Delta"/>
    <s v="New"/>
    <x v="0"/>
    <n v="1"/>
    <n v="15797"/>
    <n v="15797"/>
    <n v="0"/>
    <n v="0"/>
    <n v="15797"/>
    <n v="9726.1"/>
    <n v="6070.9"/>
    <s v="Aug"/>
    <n v="2026"/>
    <n v="8"/>
  </r>
  <r>
    <s v="ORD-00896"/>
    <d v="2026-08-24T00:00:00"/>
    <s v="Dress"/>
    <s v="Clothing"/>
    <s v="Physical Store"/>
    <s v="Delta"/>
    <s v="New"/>
    <x v="0"/>
    <n v="3"/>
    <n v="46819"/>
    <n v="140457"/>
    <n v="0"/>
    <n v="0"/>
    <n v="140457"/>
    <n v="68861.41"/>
    <n v="71595.59"/>
    <s v="Aug"/>
    <n v="2026"/>
    <n v="8"/>
  </r>
  <r>
    <s v="ORD-00501"/>
    <d v="2026-08-25T00:00:00"/>
    <s v="Polo Shirt"/>
    <s v="Clothing"/>
    <s v="Website"/>
    <s v="Lagos"/>
    <s v="New"/>
    <x v="0"/>
    <n v="1"/>
    <n v="26934"/>
    <n v="26934"/>
    <n v="0"/>
    <n v="0"/>
    <n v="26934"/>
    <n v="16983.759999999998"/>
    <n v="9950.2400000000016"/>
    <s v="Aug"/>
    <n v="2026"/>
    <n v="8"/>
  </r>
  <r>
    <s v="ORD-00867"/>
    <d v="2026-08-26T00:00:00"/>
    <s v="Belt"/>
    <s v="Accessories"/>
    <s v="Instagram"/>
    <s v="Lagos"/>
    <s v="New"/>
    <x v="0"/>
    <n v="2"/>
    <n v="15156"/>
    <n v="30312"/>
    <n v="0"/>
    <n v="0"/>
    <n v="30312"/>
    <n v="20019.53"/>
    <n v="10292.470000000001"/>
    <s v="Aug"/>
    <n v="2026"/>
    <n v="8"/>
  </r>
  <r>
    <s v="ORD-00390"/>
    <d v="2026-08-27T00:00:00"/>
    <s v="Belt"/>
    <s v="Accessories"/>
    <s v="Website"/>
    <s v="Delta"/>
    <s v="Returning"/>
    <x v="0"/>
    <n v="1"/>
    <n v="14243"/>
    <n v="14243"/>
    <n v="0"/>
    <n v="0"/>
    <n v="14243"/>
    <n v="7011.62"/>
    <n v="7231.38"/>
    <s v="Aug"/>
    <n v="2026"/>
    <n v="8"/>
  </r>
  <r>
    <s v="ORD-00497"/>
    <d v="2026-08-28T00:00:00"/>
    <s v="Handbag"/>
    <s v="Accessories"/>
    <s v="Website"/>
    <s v="Rivers"/>
    <s v="New"/>
    <x v="0"/>
    <n v="2"/>
    <n v="45573"/>
    <n v="91146"/>
    <n v="4557.3"/>
    <n v="0.05"/>
    <n v="86588.7"/>
    <n v="46983.05"/>
    <n v="39605.649999999994"/>
    <s v="Aug"/>
    <n v="2026"/>
    <n v="8"/>
  </r>
  <r>
    <s v="ORD-00503"/>
    <d v="2026-08-29T00:00:00"/>
    <s v="T-Shirt"/>
    <s v="Clothing"/>
    <s v="Physical Store"/>
    <s v="Lagos"/>
    <s v="Returning"/>
    <x v="0"/>
    <n v="1"/>
    <n v="16642"/>
    <n v="16642"/>
    <n v="0"/>
    <n v="0"/>
    <n v="16642"/>
    <n v="8910.61"/>
    <n v="7731.3899999999994"/>
    <s v="Aug"/>
    <n v="2026"/>
    <n v="8"/>
  </r>
  <r>
    <s v="ORD-00287"/>
    <d v="2026-08-29T00:00:00"/>
    <s v="T-Shirt"/>
    <s v="Clothing"/>
    <s v="Instagram"/>
    <s v="Lagos"/>
    <s v="Returning"/>
    <x v="0"/>
    <n v="1"/>
    <n v="17594"/>
    <n v="17594"/>
    <n v="0"/>
    <n v="0"/>
    <n v="17594"/>
    <n v="11332.99"/>
    <n v="6261.01"/>
    <s v="Aug"/>
    <n v="2026"/>
    <n v="8"/>
  </r>
  <r>
    <s v="ORD-01200"/>
    <d v="2026-08-30T00:00:00"/>
    <s v="Belt"/>
    <s v="Accessories"/>
    <s v="WhatsApp"/>
    <s v="Lagos"/>
    <s v="Returning"/>
    <x v="0"/>
    <n v="2"/>
    <n v="16091"/>
    <n v="32182"/>
    <n v="0"/>
    <n v="0"/>
    <n v="32182"/>
    <n v="17582.25"/>
    <n v="14599.75"/>
    <s v="Aug"/>
    <n v="2026"/>
    <n v="8"/>
  </r>
  <r>
    <s v="ORD-00135"/>
    <d v="2026-08-30T00:00:00"/>
    <s v="Jeans"/>
    <s v="Clothing"/>
    <s v="Website"/>
    <s v="Rivers"/>
    <s v="Returning"/>
    <x v="0"/>
    <n v="1"/>
    <n v="42645"/>
    <n v="42645"/>
    <n v="4264.5"/>
    <n v="0.1"/>
    <n v="38380.5"/>
    <n v="27694.85"/>
    <n v="10685.650000000001"/>
    <s v="Aug"/>
    <n v="2026"/>
    <n v="8"/>
  </r>
  <r>
    <s v="ORD-01194"/>
    <d v="2026-09-01T00:00:00"/>
    <s v="Jeans"/>
    <s v="Clothing"/>
    <s v="Instagram"/>
    <s v="Lagos"/>
    <s v="Returning"/>
    <x v="0"/>
    <n v="3"/>
    <n v="43298"/>
    <n v="129894"/>
    <n v="19484.099999999999"/>
    <n v="0.15"/>
    <n v="110409.9"/>
    <n v="62731.63"/>
    <n v="47678.27"/>
    <s v="Sep"/>
    <n v="2026"/>
    <n v="9"/>
  </r>
  <r>
    <s v="ORD-00025"/>
    <d v="2026-09-02T00:00:00"/>
    <s v="Belt"/>
    <s v="Accessories"/>
    <s v="WhatsApp"/>
    <s v="Lagos"/>
    <s v="Returning"/>
    <x v="0"/>
    <n v="2"/>
    <n v="15318"/>
    <n v="30636"/>
    <n v="0"/>
    <n v="0"/>
    <n v="30636"/>
    <n v="17846.18"/>
    <n v="12789.82"/>
    <s v="Sep"/>
    <n v="2026"/>
    <n v="9"/>
  </r>
  <r>
    <s v="ORD-01071"/>
    <d v="2026-09-02T00:00:00"/>
    <s v="T-Shirt"/>
    <s v="Clothing"/>
    <s v="Instagram"/>
    <s v="Rivers"/>
    <s v="New"/>
    <x v="0"/>
    <n v="2"/>
    <n v="16853"/>
    <n v="33706"/>
    <n v="3370.6"/>
    <n v="0.1"/>
    <n v="30335.4"/>
    <n v="20874.439999999999"/>
    <n v="9460.9600000000028"/>
    <s v="Sep"/>
    <n v="2026"/>
    <n v="9"/>
  </r>
  <r>
    <s v="ORD-00405"/>
    <d v="2026-09-04T00:00:00"/>
    <s v="Hoodie"/>
    <s v="Clothing"/>
    <s v="WhatsApp"/>
    <s v="Lagos"/>
    <s v="New"/>
    <x v="0"/>
    <n v="3"/>
    <n v="40748"/>
    <n v="122244"/>
    <n v="0"/>
    <n v="0"/>
    <n v="122244"/>
    <n v="73283.55"/>
    <n v="48960.45"/>
    <s v="Sep"/>
    <n v="2026"/>
    <n v="9"/>
  </r>
  <r>
    <s v="ORD-01017"/>
    <d v="2026-09-07T00:00:00"/>
    <s v="Sneakers"/>
    <s v="Footwear"/>
    <s v="WhatsApp"/>
    <s v="Lagos"/>
    <s v="Returning"/>
    <x v="0"/>
    <n v="1"/>
    <n v="63094"/>
    <n v="63094"/>
    <n v="0"/>
    <n v="0"/>
    <n v="63094"/>
    <n v="32004.46"/>
    <n v="31089.54"/>
    <s v="Sep"/>
    <n v="2026"/>
    <n v="9"/>
  </r>
  <r>
    <s v="ORD-00258"/>
    <d v="2026-09-07T00:00:00"/>
    <s v="Hoodie"/>
    <s v="Clothing"/>
    <s v="Website"/>
    <s v="Oyo"/>
    <s v="New"/>
    <x v="0"/>
    <n v="1"/>
    <n v="35901"/>
    <n v="35901"/>
    <n v="0"/>
    <n v="0"/>
    <n v="35901"/>
    <n v="20711.560000000001"/>
    <n v="15189.439999999999"/>
    <s v="Sep"/>
    <n v="2026"/>
    <n v="9"/>
  </r>
  <r>
    <s v="ORD-01080"/>
    <d v="2026-09-07T00:00:00"/>
    <s v="Polo Shirt"/>
    <s v="Clothing"/>
    <s v="Physical Store"/>
    <s v="Lagos"/>
    <s v="New"/>
    <x v="0"/>
    <n v="4"/>
    <n v="24893"/>
    <n v="99572"/>
    <n v="0"/>
    <n v="0"/>
    <n v="99572"/>
    <n v="62465.22"/>
    <n v="37106.78"/>
    <s v="Sep"/>
    <n v="2026"/>
    <n v="9"/>
  </r>
  <r>
    <s v="ORD-01109"/>
    <d v="2026-09-08T00:00:00"/>
    <s v="Jeans"/>
    <s v="Clothing"/>
    <s v="WhatsApp"/>
    <s v="Lagos"/>
    <s v="Returning"/>
    <x v="0"/>
    <n v="2"/>
    <n v="41969"/>
    <n v="83938"/>
    <n v="0"/>
    <n v="0"/>
    <n v="83938"/>
    <n v="40681.17"/>
    <n v="43256.83"/>
    <s v="Sep"/>
    <n v="2026"/>
    <n v="9"/>
  </r>
  <r>
    <s v="ORD-00163"/>
    <d v="2026-09-08T00:00:00"/>
    <s v="Polo Shirt"/>
    <s v="Clothing"/>
    <s v="Website"/>
    <s v="Rivers"/>
    <s v="New"/>
    <x v="0"/>
    <n v="4"/>
    <n v="25711"/>
    <n v="102844"/>
    <n v="0"/>
    <n v="0"/>
    <n v="102844"/>
    <n v="55439.12"/>
    <n v="47404.88"/>
    <s v="Sep"/>
    <n v="2026"/>
    <n v="9"/>
  </r>
  <r>
    <s v="ORD-01105"/>
    <d v="2026-09-09T00:00:00"/>
    <s v="Polo Shirt"/>
    <s v="Clothing"/>
    <s v="Physical Store"/>
    <s v="Oyo"/>
    <s v="New"/>
    <x v="0"/>
    <n v="2"/>
    <n v="24925"/>
    <n v="49850"/>
    <n v="4985"/>
    <n v="0.1"/>
    <n v="44865"/>
    <n v="28154.28"/>
    <n v="16710.72"/>
    <s v="Sep"/>
    <n v="2026"/>
    <n v="9"/>
  </r>
  <r>
    <s v="ORD-00860"/>
    <d v="2026-09-09T00:00:00"/>
    <s v="Belt"/>
    <s v="Accessories"/>
    <s v="WhatsApp"/>
    <s v="Abuja"/>
    <s v="New"/>
    <x v="0"/>
    <n v="2"/>
    <n v="14414"/>
    <n v="28828"/>
    <n v="0"/>
    <n v="0"/>
    <n v="28828"/>
    <n v="14405.57"/>
    <n v="14422.43"/>
    <s v="Sep"/>
    <n v="2026"/>
    <n v="9"/>
  </r>
  <r>
    <s v="ORD-00611"/>
    <d v="2026-09-10T00:00:00"/>
    <s v="Dress"/>
    <s v="Clothing"/>
    <s v="Website"/>
    <s v="Lagos"/>
    <s v="Returning"/>
    <x v="0"/>
    <n v="1"/>
    <n v="47218"/>
    <n v="47218"/>
    <n v="0"/>
    <n v="0"/>
    <n v="47218"/>
    <n v="26701.85"/>
    <n v="20516.150000000001"/>
    <s v="Sep"/>
    <n v="2026"/>
    <n v="9"/>
  </r>
  <r>
    <s v="ORD-00600"/>
    <d v="2026-09-10T00:00:00"/>
    <s v="Sandals"/>
    <s v="Footwear"/>
    <s v="Website"/>
    <s v="Delta"/>
    <s v="New"/>
    <x v="0"/>
    <n v="2"/>
    <n v="30531"/>
    <n v="61062"/>
    <n v="0"/>
    <n v="0"/>
    <n v="61062"/>
    <n v="32817.67"/>
    <n v="28244.33"/>
    <s v="Sep"/>
    <n v="2026"/>
    <n v="9"/>
  </r>
  <r>
    <s v="ORD-01193"/>
    <d v="2026-09-10T00:00:00"/>
    <s v="Hoodie"/>
    <s v="Clothing"/>
    <s v="Website"/>
    <s v="Rivers"/>
    <s v="New"/>
    <x v="0"/>
    <n v="3"/>
    <n v="36671"/>
    <n v="110013"/>
    <n v="0"/>
    <n v="0"/>
    <n v="110013"/>
    <n v="53909.54"/>
    <n v="56103.46"/>
    <s v="Sep"/>
    <n v="2026"/>
    <n v="9"/>
  </r>
  <r>
    <s v="ORD-00843"/>
    <d v="2026-09-11T00:00:00"/>
    <s v="Belt"/>
    <s v="Accessories"/>
    <s v="Instagram"/>
    <s v="Lagos"/>
    <s v="New"/>
    <x v="0"/>
    <n v="1"/>
    <n v="15927"/>
    <n v="15927"/>
    <n v="0"/>
    <n v="0"/>
    <n v="15927"/>
    <n v="8991.9699999999993"/>
    <n v="6935.0300000000007"/>
    <s v="Sep"/>
    <n v="2026"/>
    <n v="9"/>
  </r>
  <r>
    <s v="ORD-01103"/>
    <d v="2026-09-12T00:00:00"/>
    <s v="Handbag"/>
    <s v="Accessories"/>
    <s v="WhatsApp"/>
    <s v="Abuja"/>
    <s v="Returning"/>
    <x v="0"/>
    <n v="2"/>
    <n v="46530"/>
    <n v="93060"/>
    <n v="0"/>
    <n v="0"/>
    <n v="93060"/>
    <n v="50934.97"/>
    <n v="42125.03"/>
    <s v="Sep"/>
    <n v="2026"/>
    <n v="9"/>
  </r>
  <r>
    <s v="ORD-01186"/>
    <d v="2026-09-14T00:00:00"/>
    <s v="Jeans"/>
    <s v="Clothing"/>
    <s v="Website"/>
    <s v="Abuja"/>
    <s v="Returning"/>
    <x v="0"/>
    <n v="2"/>
    <n v="42844"/>
    <n v="85688"/>
    <n v="0"/>
    <n v="0"/>
    <n v="85688"/>
    <n v="45825.78"/>
    <n v="39862.22"/>
    <s v="Sep"/>
    <n v="2026"/>
    <n v="9"/>
  </r>
  <r>
    <s v="ORD-00922"/>
    <d v="2026-09-14T00:00:00"/>
    <s v="Dress"/>
    <s v="Clothing"/>
    <s v="Physical Store"/>
    <s v="Lagos"/>
    <s v="New"/>
    <x v="0"/>
    <n v="2"/>
    <n v="48347"/>
    <n v="96694"/>
    <n v="14504.1"/>
    <n v="0.15"/>
    <n v="82189.899999999994"/>
    <n v="61205.1"/>
    <n v="20984.799999999996"/>
    <s v="Sep"/>
    <n v="2026"/>
    <n v="9"/>
  </r>
  <r>
    <s v="ORD-00905"/>
    <d v="2026-09-16T00:00:00"/>
    <s v="Dress"/>
    <s v="Clothing"/>
    <s v="Physical Store"/>
    <s v="Delta"/>
    <s v="New"/>
    <x v="0"/>
    <n v="4"/>
    <n v="53445"/>
    <n v="213780"/>
    <n v="0"/>
    <n v="0"/>
    <n v="213780"/>
    <n v="119732"/>
    <n v="94048"/>
    <s v="Sep"/>
    <n v="2026"/>
    <n v="9"/>
  </r>
  <r>
    <s v="ORD-00579"/>
    <d v="2026-09-16T00:00:00"/>
    <s v="T-Shirt"/>
    <s v="Clothing"/>
    <s v="Website"/>
    <s v="Oyo"/>
    <s v="Returning"/>
    <x v="0"/>
    <n v="1"/>
    <n v="17089"/>
    <n v="17089"/>
    <n v="0"/>
    <n v="0"/>
    <n v="17089"/>
    <n v="8731.94"/>
    <n v="8357.06"/>
    <s v="Sep"/>
    <n v="2026"/>
    <n v="9"/>
  </r>
  <r>
    <s v="ORD-01091"/>
    <d v="2026-09-16T00:00:00"/>
    <s v="Handbag"/>
    <s v="Accessories"/>
    <s v="WhatsApp"/>
    <s v="Lagos"/>
    <s v="Returning"/>
    <x v="0"/>
    <n v="1"/>
    <n v="46263"/>
    <n v="46263"/>
    <n v="0"/>
    <n v="0"/>
    <n v="46263"/>
    <n v="28526.51"/>
    <n v="17736.490000000002"/>
    <s v="Sep"/>
    <n v="2026"/>
    <n v="9"/>
  </r>
  <r>
    <s v="ORD-00311"/>
    <d v="2026-09-18T00:00:00"/>
    <s v="Dress"/>
    <s v="Clothing"/>
    <s v="Instagram"/>
    <s v="Abuja"/>
    <s v="New"/>
    <x v="0"/>
    <n v="1"/>
    <n v="52093"/>
    <n v="52093"/>
    <n v="0"/>
    <n v="0"/>
    <n v="52093"/>
    <n v="31650.68"/>
    <n v="20442.32"/>
    <s v="Sep"/>
    <n v="2026"/>
    <n v="9"/>
  </r>
  <r>
    <s v="ORD-00304"/>
    <d v="2026-09-19T00:00:00"/>
    <s v="Hoodie"/>
    <s v="Clothing"/>
    <s v="WhatsApp"/>
    <s v="Abuja"/>
    <s v="New"/>
    <x v="0"/>
    <n v="3"/>
    <n v="40457"/>
    <n v="121371"/>
    <n v="0"/>
    <n v="0"/>
    <n v="121371"/>
    <n v="71605.7"/>
    <n v="49765.3"/>
    <s v="Sep"/>
    <n v="2026"/>
    <n v="9"/>
  </r>
  <r>
    <s v="ORD-00255"/>
    <d v="2026-09-19T00:00:00"/>
    <s v="T-Shirt"/>
    <s v="Clothing"/>
    <s v="Physical Store"/>
    <s v="Delta"/>
    <s v="New"/>
    <x v="0"/>
    <n v="2"/>
    <n v="17758"/>
    <n v="35516"/>
    <n v="0"/>
    <n v="0"/>
    <n v="35516"/>
    <n v="20421.349999999999"/>
    <n v="15094.650000000001"/>
    <s v="Sep"/>
    <n v="2026"/>
    <n v="9"/>
  </r>
  <r>
    <s v="ORD-00844"/>
    <d v="2026-09-19T00:00:00"/>
    <s v="Sandals"/>
    <s v="Footwear"/>
    <s v="Physical Store"/>
    <s v="Oyo"/>
    <s v="Returning"/>
    <x v="0"/>
    <n v="2"/>
    <n v="28581"/>
    <n v="57162"/>
    <n v="2858.1"/>
    <n v="0.05"/>
    <n v="54303.9"/>
    <n v="32809.22"/>
    <n v="21494.68"/>
    <s v="Sep"/>
    <n v="2026"/>
    <n v="9"/>
  </r>
  <r>
    <s v="ORD-00789"/>
    <d v="2026-09-19T00:00:00"/>
    <s v="Dress"/>
    <s v="Clothing"/>
    <s v="Physical Store"/>
    <s v="Oyo"/>
    <s v="Returning"/>
    <x v="0"/>
    <n v="1"/>
    <n v="51249"/>
    <n v="51249"/>
    <n v="0"/>
    <n v="0"/>
    <n v="51249"/>
    <n v="29573.55"/>
    <n v="21675.45"/>
    <s v="Sep"/>
    <n v="2026"/>
    <n v="9"/>
  </r>
  <r>
    <s v="ORD-01094"/>
    <d v="2026-09-21T00:00:00"/>
    <s v="T-Shirt"/>
    <s v="Clothing"/>
    <s v="Physical Store"/>
    <s v="Abuja"/>
    <s v="Returning"/>
    <x v="0"/>
    <n v="4"/>
    <n v="17413"/>
    <n v="69652"/>
    <n v="0"/>
    <n v="0"/>
    <n v="69652"/>
    <n v="36551.94"/>
    <n v="33100.06"/>
    <s v="Sep"/>
    <n v="2026"/>
    <n v="9"/>
  </r>
  <r>
    <s v="ORD-01097"/>
    <d v="2026-09-21T00:00:00"/>
    <s v="Cap"/>
    <s v="Accessories"/>
    <s v="Instagram"/>
    <s v="Lagos"/>
    <s v="Returning"/>
    <x v="0"/>
    <n v="3"/>
    <n v="12278"/>
    <n v="36834"/>
    <n v="0"/>
    <n v="0"/>
    <n v="36834"/>
    <n v="20639.05"/>
    <n v="16194.95"/>
    <s v="Sep"/>
    <n v="2026"/>
    <n v="9"/>
  </r>
  <r>
    <s v="ORD-00058"/>
    <d v="2026-09-22T00:00:00"/>
    <s v="Belt"/>
    <s v="Accessories"/>
    <s v="Physical Store"/>
    <s v="Oyo"/>
    <s v="New"/>
    <x v="0"/>
    <n v="1"/>
    <n v="14574"/>
    <n v="14574"/>
    <n v="0"/>
    <n v="0"/>
    <n v="14574"/>
    <n v="7443.79"/>
    <n v="7130.21"/>
    <s v="Sep"/>
    <n v="2026"/>
    <n v="9"/>
  </r>
  <r>
    <s v="ORD-00554"/>
    <d v="2026-09-23T00:00:00"/>
    <s v="Sandals"/>
    <s v="Footwear"/>
    <s v="Physical Store"/>
    <s v="Abuja"/>
    <s v="New"/>
    <x v="0"/>
    <n v="1"/>
    <n v="30809"/>
    <n v="30809"/>
    <n v="3080.9"/>
    <n v="0.1"/>
    <n v="27728.1"/>
    <n v="18994.36"/>
    <n v="8733.739999999998"/>
    <s v="Sep"/>
    <n v="2026"/>
    <n v="9"/>
  </r>
  <r>
    <s v="ORD-00808"/>
    <d v="2026-09-23T00:00:00"/>
    <s v="Polo Shirt"/>
    <s v="Clothing"/>
    <s v="Website"/>
    <s v="Lagos"/>
    <s v="Returning"/>
    <x v="0"/>
    <n v="2"/>
    <n v="24727"/>
    <n v="49454"/>
    <n v="0"/>
    <n v="0"/>
    <n v="49454"/>
    <n v="28846.98"/>
    <n v="20607.02"/>
    <s v="Sep"/>
    <n v="2026"/>
    <n v="9"/>
  </r>
  <r>
    <s v="ORD-00342"/>
    <d v="2026-09-23T00:00:00"/>
    <s v="Handbag"/>
    <s v="Accessories"/>
    <s v="WhatsApp"/>
    <s v="Lagos"/>
    <s v="Returning"/>
    <x v="0"/>
    <n v="1"/>
    <n v="44566"/>
    <n v="44566"/>
    <n v="0"/>
    <n v="0"/>
    <n v="44566"/>
    <n v="24787.18"/>
    <n v="19778.82"/>
    <s v="Sep"/>
    <n v="2026"/>
    <n v="9"/>
  </r>
  <r>
    <s v="ORD-01004"/>
    <d v="2026-09-24T00:00:00"/>
    <s v="Polo Shirt"/>
    <s v="Clothing"/>
    <s v="Physical Store"/>
    <s v="Abuja"/>
    <s v="New"/>
    <x v="0"/>
    <n v="1"/>
    <n v="26210"/>
    <n v="26210"/>
    <n v="0"/>
    <n v="0"/>
    <n v="26210"/>
    <n v="16652.62"/>
    <n v="9557.380000000001"/>
    <s v="Sep"/>
    <n v="2026"/>
    <n v="9"/>
  </r>
  <r>
    <s v="ORD-00301"/>
    <d v="2026-09-29T00:00:00"/>
    <s v="Dress"/>
    <s v="Clothing"/>
    <s v="Website"/>
    <s v="Abuja"/>
    <s v="New"/>
    <x v="0"/>
    <n v="1"/>
    <n v="50819"/>
    <n v="50819"/>
    <n v="0"/>
    <n v="0"/>
    <n v="50819"/>
    <n v="26769.55"/>
    <n v="24049.45"/>
    <s v="Sep"/>
    <n v="2026"/>
    <n v="9"/>
  </r>
  <r>
    <s v="ORD-00891"/>
    <d v="2026-09-29T00:00:00"/>
    <s v="T-Shirt"/>
    <s v="Clothing"/>
    <s v="Website"/>
    <s v="Lagos"/>
    <s v="New"/>
    <x v="0"/>
    <n v="5"/>
    <n v="17379"/>
    <n v="86895"/>
    <n v="0"/>
    <n v="0"/>
    <n v="86895"/>
    <n v="49782.36"/>
    <n v="37112.639999999999"/>
    <s v="Sep"/>
    <n v="2026"/>
    <n v="9"/>
  </r>
  <r>
    <s v="ORD-00847"/>
    <d v="2026-09-30T00:00:00"/>
    <s v="Jeans"/>
    <s v="Clothing"/>
    <s v="Website"/>
    <s v="Lagos"/>
    <s v="New"/>
    <x v="0"/>
    <n v="4"/>
    <n v="41548"/>
    <n v="166192"/>
    <n v="0"/>
    <n v="0"/>
    <n v="166192"/>
    <n v="88600.59"/>
    <n v="77591.41"/>
    <s v="Sep"/>
    <n v="2026"/>
    <n v="9"/>
  </r>
  <r>
    <s v="ORD-00307"/>
    <d v="2026-09-30T00:00:00"/>
    <s v="Jeans"/>
    <s v="Clothing"/>
    <s v="Physical Store"/>
    <s v="Rivers"/>
    <s v="New"/>
    <x v="0"/>
    <n v="1"/>
    <n v="40631"/>
    <n v="40631"/>
    <n v="0"/>
    <n v="0"/>
    <n v="40631"/>
    <n v="23951.279999999999"/>
    <n v="16679.72"/>
    <s v="Sep"/>
    <n v="2026"/>
    <n v="9"/>
  </r>
  <r>
    <s v="ORD-00792"/>
    <d v="2026-10-03T00:00:00"/>
    <s v="Hoodie"/>
    <s v="Clothing"/>
    <s v="Website"/>
    <s v="Abuja"/>
    <s v="New"/>
    <x v="0"/>
    <n v="4"/>
    <n v="38079"/>
    <n v="152316"/>
    <n v="0"/>
    <n v="0"/>
    <n v="152316"/>
    <n v="98924.83"/>
    <n v="53391.17"/>
    <s v="Oct"/>
    <n v="2026"/>
    <n v="10"/>
  </r>
  <r>
    <s v="ORD-00943"/>
    <d v="2026-10-03T00:00:00"/>
    <s v="Jeans"/>
    <s v="Clothing"/>
    <s v="Physical Store"/>
    <s v="Oyo"/>
    <s v="Returning"/>
    <x v="0"/>
    <n v="3"/>
    <n v="40875"/>
    <n v="122625"/>
    <n v="0"/>
    <n v="0"/>
    <n v="122625"/>
    <n v="59205.3"/>
    <n v="63419.7"/>
    <s v="Oct"/>
    <n v="2026"/>
    <n v="10"/>
  </r>
  <r>
    <s v="ORD-00849"/>
    <d v="2026-10-04T00:00:00"/>
    <s v="Polo Shirt"/>
    <s v="Clothing"/>
    <s v="Instagram"/>
    <s v="Abuja"/>
    <s v="Returning"/>
    <x v="0"/>
    <n v="5"/>
    <n v="25876"/>
    <n v="129380"/>
    <n v="0"/>
    <n v="0"/>
    <n v="129380"/>
    <n v="79937.73"/>
    <n v="49442.270000000004"/>
    <s v="Oct"/>
    <n v="2026"/>
    <n v="10"/>
  </r>
  <r>
    <s v="ORD-00346"/>
    <d v="2026-10-05T00:00:00"/>
    <s v="Dress"/>
    <s v="Clothing"/>
    <s v="Physical Store"/>
    <s v="Lagos"/>
    <s v="Returning"/>
    <x v="0"/>
    <n v="1"/>
    <n v="51938"/>
    <n v="51938"/>
    <n v="0"/>
    <n v="0"/>
    <n v="51938"/>
    <n v="31142.12"/>
    <n v="20795.88"/>
    <s v="Oct"/>
    <n v="2026"/>
    <n v="10"/>
  </r>
  <r>
    <s v="ORD-00852"/>
    <d v="2026-10-05T00:00:00"/>
    <s v="Sneakers"/>
    <s v="Footwear"/>
    <s v="Instagram"/>
    <s v="Abuja"/>
    <s v="New"/>
    <x v="0"/>
    <n v="2"/>
    <n v="64959"/>
    <n v="129918"/>
    <n v="0"/>
    <n v="0"/>
    <n v="129918"/>
    <n v="65638.100000000006"/>
    <n v="64279.899999999994"/>
    <s v="Oct"/>
    <n v="2026"/>
    <n v="10"/>
  </r>
  <r>
    <s v="ORD-00406"/>
    <d v="2026-10-05T00:00:00"/>
    <s v="Cap"/>
    <s v="Accessories"/>
    <s v="Instagram"/>
    <s v="Abuja"/>
    <s v="New"/>
    <x v="0"/>
    <n v="4"/>
    <n v="11853"/>
    <n v="47412"/>
    <n v="4741.2"/>
    <n v="0.1"/>
    <n v="42670.8"/>
    <n v="31875.57"/>
    <n v="10795.230000000003"/>
    <s v="Oct"/>
    <n v="2026"/>
    <n v="10"/>
  </r>
  <r>
    <s v="ORD-00919"/>
    <d v="2026-10-06T00:00:00"/>
    <s v="Hoodie"/>
    <s v="Clothing"/>
    <s v="Instagram"/>
    <s v="Abuja"/>
    <s v="Returning"/>
    <x v="0"/>
    <n v="4"/>
    <n v="39631"/>
    <n v="158524"/>
    <n v="0"/>
    <n v="0"/>
    <n v="158524"/>
    <n v="82786.240000000005"/>
    <n v="75737.759999999995"/>
    <s v="Oct"/>
    <n v="2026"/>
    <n v="10"/>
  </r>
  <r>
    <s v="ORD-00349"/>
    <d v="2026-10-08T00:00:00"/>
    <s v="T-Shirt"/>
    <s v="Clothing"/>
    <s v="Instagram"/>
    <s v="Rivers"/>
    <s v="New"/>
    <x v="0"/>
    <n v="2"/>
    <n v="19394"/>
    <n v="38788"/>
    <n v="0"/>
    <n v="0"/>
    <n v="38788"/>
    <n v="24488.87"/>
    <n v="14299.130000000001"/>
    <s v="Oct"/>
    <n v="2026"/>
    <n v="10"/>
  </r>
  <r>
    <s v="ORD-00128"/>
    <d v="2026-10-09T00:00:00"/>
    <s v="Handbag"/>
    <s v="Accessories"/>
    <s v="Website"/>
    <s v="Oyo"/>
    <s v="New"/>
    <x v="0"/>
    <n v="2"/>
    <n v="46171"/>
    <n v="92342"/>
    <n v="0"/>
    <n v="0"/>
    <n v="92342"/>
    <n v="55337.26"/>
    <n v="37004.74"/>
    <s v="Oct"/>
    <n v="2026"/>
    <n v="10"/>
  </r>
  <r>
    <s v="ORD-00328"/>
    <d v="2026-10-09T00:00:00"/>
    <s v="Cap"/>
    <s v="Accessories"/>
    <s v="Instagram"/>
    <s v="Abuja"/>
    <s v="Returning"/>
    <x v="0"/>
    <n v="3"/>
    <n v="11281"/>
    <n v="33843"/>
    <n v="0"/>
    <n v="0"/>
    <n v="33843"/>
    <n v="16975.95"/>
    <n v="16867.05"/>
    <s v="Oct"/>
    <n v="2026"/>
    <n v="10"/>
  </r>
  <r>
    <s v="ORD-00854"/>
    <d v="2026-10-10T00:00:00"/>
    <s v="Dress"/>
    <s v="Clothing"/>
    <s v="WhatsApp"/>
    <s v="Lagos"/>
    <s v="New"/>
    <x v="0"/>
    <n v="1"/>
    <n v="52843"/>
    <n v="52843"/>
    <n v="0"/>
    <n v="0"/>
    <n v="52843"/>
    <n v="26168.91"/>
    <n v="26674.09"/>
    <s v="Oct"/>
    <n v="2026"/>
    <n v="10"/>
  </r>
  <r>
    <s v="ORD-00194"/>
    <d v="2026-10-11T00:00:00"/>
    <s v="Cap"/>
    <s v="Accessories"/>
    <s v="Instagram"/>
    <s v="Delta"/>
    <s v="Returning"/>
    <x v="0"/>
    <n v="1"/>
    <n v="12539"/>
    <n v="12539"/>
    <n v="0"/>
    <n v="0"/>
    <n v="12539"/>
    <n v="6450.29"/>
    <n v="6088.71"/>
    <s v="Oct"/>
    <n v="2026"/>
    <n v="10"/>
  </r>
  <r>
    <s v="ORD-00364"/>
    <d v="2026-10-12T00:00:00"/>
    <s v="Cap"/>
    <s v="Accessories"/>
    <s v="Physical Store"/>
    <s v="Rivers"/>
    <s v="New"/>
    <x v="0"/>
    <n v="2"/>
    <n v="12428"/>
    <n v="24856"/>
    <n v="3728.4"/>
    <n v="0.15"/>
    <n v="21127.599999999999"/>
    <n v="15484.79"/>
    <n v="5642.8099999999977"/>
    <s v="Oct"/>
    <n v="2026"/>
    <n v="10"/>
  </r>
  <r>
    <s v="ORD-00533"/>
    <d v="2026-10-12T00:00:00"/>
    <s v="Sandals"/>
    <s v="Footwear"/>
    <s v="Website"/>
    <s v="Lagos"/>
    <s v="New"/>
    <x v="0"/>
    <n v="5"/>
    <n v="31376"/>
    <n v="156880"/>
    <n v="0"/>
    <n v="0"/>
    <n v="156880"/>
    <n v="84717.3"/>
    <n v="72162.7"/>
    <s v="Oct"/>
    <n v="2026"/>
    <n v="10"/>
  </r>
  <r>
    <s v="ORD-00187"/>
    <d v="2026-10-13T00:00:00"/>
    <s v="Polo Shirt"/>
    <s v="Clothing"/>
    <s v="Website"/>
    <s v="Rivers"/>
    <s v="New"/>
    <x v="0"/>
    <n v="1"/>
    <n v="23828"/>
    <n v="23828"/>
    <n v="0"/>
    <n v="0"/>
    <n v="23828"/>
    <n v="11766.3"/>
    <n v="12061.7"/>
    <s v="Oct"/>
    <n v="2026"/>
    <n v="10"/>
  </r>
  <r>
    <s v="ORD-00062"/>
    <d v="2026-10-13T00:00:00"/>
    <s v="Dress"/>
    <s v="Clothing"/>
    <s v="Website"/>
    <s v="Abuja"/>
    <s v="Returning"/>
    <x v="0"/>
    <n v="2"/>
    <n v="49442"/>
    <n v="98884"/>
    <n v="0"/>
    <n v="0"/>
    <n v="98884"/>
    <n v="48940.26"/>
    <n v="49943.74"/>
    <s v="Oct"/>
    <n v="2026"/>
    <n v="10"/>
  </r>
  <r>
    <s v="ORD-00086"/>
    <d v="2026-10-14T00:00:00"/>
    <s v="Jeans"/>
    <s v="Clothing"/>
    <s v="Website"/>
    <s v="Oyo"/>
    <s v="New"/>
    <x v="0"/>
    <n v="1"/>
    <n v="43652"/>
    <n v="43652"/>
    <n v="2182.6"/>
    <n v="0.05"/>
    <n v="41469.4"/>
    <n v="22784.959999999999"/>
    <n v="18684.440000000002"/>
    <s v="Oct"/>
    <n v="2026"/>
    <n v="10"/>
  </r>
  <r>
    <s v="ORD-00237"/>
    <d v="2026-10-16T00:00:00"/>
    <s v="Dress"/>
    <s v="Clothing"/>
    <s v="Instagram"/>
    <s v="Rivers"/>
    <s v="New"/>
    <x v="0"/>
    <n v="2"/>
    <n v="50798"/>
    <n v="101596"/>
    <n v="0"/>
    <n v="0"/>
    <n v="101596"/>
    <n v="66416.14"/>
    <n v="35179.86"/>
    <s v="Oct"/>
    <n v="2026"/>
    <n v="10"/>
  </r>
  <r>
    <s v="ORD-01021"/>
    <d v="2026-10-16T00:00:00"/>
    <s v="Hoodie"/>
    <s v="Clothing"/>
    <s v="Website"/>
    <s v="Oyo"/>
    <s v="New"/>
    <x v="0"/>
    <n v="2"/>
    <n v="36022"/>
    <n v="72044"/>
    <n v="10806.6"/>
    <n v="0.15"/>
    <n v="61237.4"/>
    <n v="38348.92"/>
    <n v="22888.480000000003"/>
    <s v="Oct"/>
    <n v="2026"/>
    <n v="10"/>
  </r>
  <r>
    <s v="ORD-00601"/>
    <d v="2026-10-16T00:00:00"/>
    <s v="Sneakers"/>
    <s v="Footwear"/>
    <s v="WhatsApp"/>
    <s v="Rivers"/>
    <s v="New"/>
    <x v="0"/>
    <n v="2"/>
    <n v="67462"/>
    <n v="134924"/>
    <n v="0"/>
    <n v="0"/>
    <n v="134924"/>
    <n v="91459.04"/>
    <n v="43464.960000000006"/>
    <s v="Oct"/>
    <n v="2026"/>
    <n v="10"/>
  </r>
  <r>
    <s v="ORD-00398"/>
    <d v="2026-10-17T00:00:00"/>
    <s v="Handbag"/>
    <s v="Accessories"/>
    <s v="Physical Store"/>
    <s v="Abuja"/>
    <s v="New"/>
    <x v="0"/>
    <n v="3"/>
    <n v="45959"/>
    <n v="137877"/>
    <n v="0"/>
    <n v="0"/>
    <n v="137877"/>
    <n v="80826.52"/>
    <n v="57050.479999999996"/>
    <s v="Oct"/>
    <n v="2026"/>
    <n v="10"/>
  </r>
  <r>
    <s v="ORD-00807"/>
    <d v="2026-10-17T00:00:00"/>
    <s v="Belt"/>
    <s v="Accessories"/>
    <s v="Instagram"/>
    <s v="Lagos"/>
    <s v="New"/>
    <x v="0"/>
    <n v="3"/>
    <n v="14890"/>
    <n v="44670"/>
    <n v="0"/>
    <n v="0"/>
    <n v="44670"/>
    <n v="30215.48"/>
    <n v="14454.52"/>
    <s v="Oct"/>
    <n v="2026"/>
    <n v="10"/>
  </r>
  <r>
    <s v="ORD-00117"/>
    <d v="2026-10-17T00:00:00"/>
    <s v="T-Shirt"/>
    <s v="Clothing"/>
    <s v="Instagram"/>
    <s v="Lagos"/>
    <s v="Returning"/>
    <x v="0"/>
    <n v="1"/>
    <n v="18700"/>
    <n v="18700"/>
    <n v="0"/>
    <n v="0"/>
    <n v="18700"/>
    <n v="12352.83"/>
    <n v="6347.17"/>
    <s v="Oct"/>
    <n v="2026"/>
    <n v="10"/>
  </r>
  <r>
    <s v="ORD-00051"/>
    <d v="2026-10-18T00:00:00"/>
    <s v="Cap"/>
    <s v="Accessories"/>
    <s v="Physical Store"/>
    <s v="Abuja"/>
    <s v="Returning"/>
    <x v="0"/>
    <n v="2"/>
    <n v="11560"/>
    <n v="23120"/>
    <n v="1156"/>
    <n v="0.05"/>
    <n v="21964"/>
    <n v="14242.53"/>
    <n v="7721.4699999999993"/>
    <s v="Oct"/>
    <n v="2026"/>
    <n v="10"/>
  </r>
  <r>
    <s v="ORD-00391"/>
    <d v="2026-10-18T00:00:00"/>
    <s v="Jeans"/>
    <s v="Clothing"/>
    <s v="Instagram"/>
    <s v="Abuja"/>
    <s v="Returning"/>
    <x v="0"/>
    <n v="3"/>
    <n v="42248"/>
    <n v="126744"/>
    <n v="0"/>
    <n v="0"/>
    <n v="126744"/>
    <n v="69438.55"/>
    <n v="57305.45"/>
    <s v="Oct"/>
    <n v="2026"/>
    <n v="10"/>
  </r>
  <r>
    <s v="ORD-00967"/>
    <d v="2026-10-19T00:00:00"/>
    <s v="Jeans"/>
    <s v="Clothing"/>
    <s v="Physical Store"/>
    <s v="Rivers"/>
    <s v="Returning"/>
    <x v="0"/>
    <n v="1"/>
    <n v="40485"/>
    <n v="40485"/>
    <n v="0"/>
    <n v="0"/>
    <n v="40485"/>
    <n v="21165.62"/>
    <n v="19319.38"/>
    <s v="Oct"/>
    <n v="2026"/>
    <n v="10"/>
  </r>
  <r>
    <s v="ORD-00476"/>
    <d v="2026-10-21T00:00:00"/>
    <s v="Jeans"/>
    <s v="Clothing"/>
    <s v="Website"/>
    <s v="Lagos"/>
    <s v="New"/>
    <x v="0"/>
    <n v="2"/>
    <n v="44407"/>
    <n v="88814"/>
    <n v="0"/>
    <n v="0"/>
    <n v="88814"/>
    <n v="56561.57"/>
    <n v="32252.43"/>
    <s v="Oct"/>
    <n v="2026"/>
    <n v="10"/>
  </r>
  <r>
    <s v="ORD-00862"/>
    <d v="2026-10-21T00:00:00"/>
    <s v="Sandals"/>
    <s v="Footwear"/>
    <s v="Physical Store"/>
    <s v="Rivers"/>
    <s v="New"/>
    <x v="0"/>
    <n v="4"/>
    <n v="29761"/>
    <n v="119044"/>
    <n v="0"/>
    <n v="0"/>
    <n v="119044"/>
    <n v="64466.02"/>
    <n v="54577.98"/>
    <s v="Oct"/>
    <n v="2026"/>
    <n v="10"/>
  </r>
  <r>
    <s v="ORD-00050"/>
    <d v="2026-10-22T00:00:00"/>
    <s v="Sandals"/>
    <s v="Footwear"/>
    <s v="Physical Store"/>
    <s v="Lagos"/>
    <s v="New"/>
    <x v="0"/>
    <n v="1"/>
    <n v="28520"/>
    <n v="28520"/>
    <n v="0"/>
    <n v="0"/>
    <n v="28520"/>
    <n v="14982.45"/>
    <n v="13537.55"/>
    <s v="Oct"/>
    <n v="2026"/>
    <n v="10"/>
  </r>
  <r>
    <s v="ORD-00673"/>
    <d v="2026-10-23T00:00:00"/>
    <s v="T-Shirt"/>
    <s v="Clothing"/>
    <s v="Instagram"/>
    <s v="Oyo"/>
    <s v="Returning"/>
    <x v="0"/>
    <n v="2"/>
    <n v="18915"/>
    <n v="37830"/>
    <n v="0"/>
    <n v="0"/>
    <n v="37830"/>
    <n v="24746.85"/>
    <n v="13083.150000000001"/>
    <s v="Oct"/>
    <n v="2026"/>
    <n v="10"/>
  </r>
  <r>
    <s v="ORD-00104"/>
    <d v="2026-10-25T00:00:00"/>
    <s v="Polo Shirt"/>
    <s v="Clothing"/>
    <s v="Instagram"/>
    <s v="Oyo"/>
    <s v="Returning"/>
    <x v="0"/>
    <n v="1"/>
    <n v="23562"/>
    <n v="23562"/>
    <n v="0"/>
    <n v="0"/>
    <n v="23562"/>
    <n v="12177.9"/>
    <n v="11384.1"/>
    <s v="Oct"/>
    <n v="2026"/>
    <n v="10"/>
  </r>
  <r>
    <s v="ORD-00532"/>
    <d v="2026-10-25T00:00:00"/>
    <s v="Cap"/>
    <s v="Accessories"/>
    <s v="Instagram"/>
    <s v="Lagos"/>
    <s v="New"/>
    <x v="0"/>
    <n v="4"/>
    <n v="11910"/>
    <n v="47640"/>
    <n v="0"/>
    <n v="0"/>
    <n v="47640"/>
    <n v="29809.65"/>
    <n v="17830.349999999999"/>
    <s v="Oct"/>
    <n v="2026"/>
    <n v="10"/>
  </r>
  <r>
    <s v="ORD-00632"/>
    <d v="2026-10-25T00:00:00"/>
    <s v="Jeans"/>
    <s v="Clothing"/>
    <s v="Instagram"/>
    <s v="Lagos"/>
    <s v="Returning"/>
    <x v="0"/>
    <n v="2"/>
    <n v="42827"/>
    <n v="85654"/>
    <n v="12848.1"/>
    <n v="0.15"/>
    <n v="72805.899999999994"/>
    <n v="49742.559999999998"/>
    <n v="23063.339999999997"/>
    <s v="Oct"/>
    <n v="2026"/>
    <n v="10"/>
  </r>
  <r>
    <s v="ORD-00672"/>
    <d v="2026-10-27T00:00:00"/>
    <s v="Handbag"/>
    <s v="Accessories"/>
    <s v="Physical Store"/>
    <s v="Abuja"/>
    <s v="New"/>
    <x v="0"/>
    <n v="1"/>
    <n v="44044"/>
    <n v="44044"/>
    <n v="0"/>
    <n v="0"/>
    <n v="44044"/>
    <n v="24385.360000000001"/>
    <n v="19658.64"/>
    <s v="Oct"/>
    <n v="2026"/>
    <n v="10"/>
  </r>
  <r>
    <s v="ORD-00933"/>
    <d v="2026-10-28T00:00:00"/>
    <s v="Cap"/>
    <s v="Accessories"/>
    <s v="Website"/>
    <s v="Lagos"/>
    <s v="Returning"/>
    <x v="0"/>
    <n v="1"/>
    <n v="11624"/>
    <n v="11624"/>
    <n v="0"/>
    <n v="0"/>
    <n v="11624"/>
    <n v="5627.13"/>
    <n v="5996.87"/>
    <s v="Oct"/>
    <n v="2026"/>
    <n v="10"/>
  </r>
  <r>
    <s v="ORD-00506"/>
    <d v="2026-10-28T00:00:00"/>
    <s v="T-Shirt"/>
    <s v="Clothing"/>
    <s v="Instagram"/>
    <s v="Oyo"/>
    <s v="New"/>
    <x v="0"/>
    <n v="3"/>
    <n v="17166"/>
    <n v="51498"/>
    <n v="0"/>
    <n v="0"/>
    <n v="51498"/>
    <n v="31187.5"/>
    <n v="20310.5"/>
    <s v="Oct"/>
    <n v="2026"/>
    <n v="10"/>
  </r>
  <r>
    <s v="ORD-00448"/>
    <d v="2026-10-29T00:00:00"/>
    <s v="Handbag"/>
    <s v="Accessories"/>
    <s v="Website"/>
    <s v="Abuja"/>
    <s v="Returning"/>
    <x v="0"/>
    <n v="1"/>
    <n v="43735"/>
    <n v="43735"/>
    <n v="0"/>
    <n v="0"/>
    <n v="43735"/>
    <n v="28197.23"/>
    <n v="15537.77"/>
    <s v="Oct"/>
    <n v="2026"/>
    <n v="10"/>
  </r>
  <r>
    <s v="ORD-00498"/>
    <d v="2026-11-01T00:00:00"/>
    <s v="Cap"/>
    <s v="Accessories"/>
    <s v="WhatsApp"/>
    <s v="Lagos"/>
    <s v="New"/>
    <x v="4"/>
    <n v="1"/>
    <n v="12518"/>
    <n v="12518"/>
    <n v="625.9"/>
    <n v="0.05"/>
    <n v="11892.1"/>
    <n v="8483.42"/>
    <n v="3408.6800000000003"/>
    <s v="Nov"/>
    <n v="2026"/>
    <n v="11"/>
  </r>
  <r>
    <s v="ORD-00112"/>
    <d v="2026-11-04T00:00:00"/>
    <s v="Dress"/>
    <s v="Clothing"/>
    <s v="Physical Store"/>
    <s v="Lagos"/>
    <s v="New"/>
    <x v="4"/>
    <n v="1"/>
    <n v="53506"/>
    <n v="53506"/>
    <n v="8025.9"/>
    <n v="0.15"/>
    <n v="45480.1"/>
    <n v="33880.69"/>
    <n v="11599.409999999996"/>
    <s v="Nov"/>
    <n v="2026"/>
    <n v="11"/>
  </r>
  <r>
    <s v="ORD-00801"/>
    <d v="2026-11-04T00:00:00"/>
    <s v="Handbag"/>
    <s v="Accessories"/>
    <s v="Website"/>
    <s v="Oyo"/>
    <s v="Returning"/>
    <x v="4"/>
    <n v="2"/>
    <n v="41832"/>
    <n v="83664"/>
    <n v="8366.4"/>
    <n v="0.1"/>
    <n v="75297.600000000006"/>
    <n v="42563.02"/>
    <n v="32734.580000000009"/>
    <s v="Nov"/>
    <n v="2026"/>
    <n v="11"/>
  </r>
  <r>
    <s v="ORD-00679"/>
    <d v="2026-11-04T00:00:00"/>
    <s v="Cap"/>
    <s v="Accessories"/>
    <s v="Website"/>
    <s v="Lagos"/>
    <s v="New"/>
    <x v="4"/>
    <n v="3"/>
    <n v="12216"/>
    <n v="36648"/>
    <n v="3664.8"/>
    <n v="0.1"/>
    <n v="32983.199999999997"/>
    <n v="21604.85"/>
    <n v="11378.349999999999"/>
    <s v="Nov"/>
    <n v="2026"/>
    <n v="11"/>
  </r>
  <r>
    <s v="ORD-00366"/>
    <d v="2026-11-05T00:00:00"/>
    <s v="Jeans"/>
    <s v="Clothing"/>
    <s v="Physical Store"/>
    <s v="Rivers"/>
    <s v="Returning"/>
    <x v="0"/>
    <n v="4"/>
    <n v="38767"/>
    <n v="155068"/>
    <n v="0"/>
    <n v="0"/>
    <n v="155068"/>
    <n v="80895.86"/>
    <n v="74172.14"/>
    <s v="Nov"/>
    <n v="2026"/>
    <n v="11"/>
  </r>
  <r>
    <s v="ORD-01077"/>
    <d v="2026-11-05T00:00:00"/>
    <s v="Handbag"/>
    <s v="Accessories"/>
    <s v="WhatsApp"/>
    <s v="Abuja"/>
    <s v="New"/>
    <x v="4"/>
    <n v="3"/>
    <n v="42461"/>
    <n v="127383"/>
    <n v="6369.15"/>
    <n v="0.05"/>
    <n v="121013.85"/>
    <n v="83884.27"/>
    <n v="37129.58"/>
    <s v="Nov"/>
    <n v="2026"/>
    <n v="11"/>
  </r>
  <r>
    <s v="ORD-01048"/>
    <d v="2026-11-06T00:00:00"/>
    <s v="Sandals"/>
    <s v="Footwear"/>
    <s v="Physical Store"/>
    <s v="Delta"/>
    <s v="New"/>
    <x v="4"/>
    <n v="1"/>
    <n v="28274"/>
    <n v="28274"/>
    <n v="2827.4"/>
    <n v="0.1"/>
    <n v="25446.6"/>
    <n v="17393.55"/>
    <n v="8053.0499999999993"/>
    <s v="Nov"/>
    <n v="2026"/>
    <n v="11"/>
  </r>
  <r>
    <s v="ORD-01003"/>
    <d v="2026-11-06T00:00:00"/>
    <s v="Belt"/>
    <s v="Accessories"/>
    <s v="Website"/>
    <s v="Lagos"/>
    <s v="New"/>
    <x v="4"/>
    <n v="3"/>
    <n v="14240"/>
    <n v="42720"/>
    <n v="4272"/>
    <n v="0.1"/>
    <n v="38448"/>
    <n v="28147.21"/>
    <n v="10300.790000000001"/>
    <s v="Nov"/>
    <n v="2026"/>
    <n v="11"/>
  </r>
  <r>
    <s v="ORD-01064"/>
    <d v="2026-11-06T00:00:00"/>
    <s v="Hoodie"/>
    <s v="Clothing"/>
    <s v="Physical Store"/>
    <s v="Abuja"/>
    <s v="New"/>
    <x v="4"/>
    <n v="1"/>
    <n v="35249"/>
    <n v="35249"/>
    <n v="5287.35"/>
    <n v="0.15"/>
    <n v="29961.65"/>
    <n v="17426.23"/>
    <n v="12535.420000000002"/>
    <s v="Nov"/>
    <n v="2026"/>
    <n v="11"/>
  </r>
  <r>
    <s v="ORD-00419"/>
    <d v="2026-11-08T00:00:00"/>
    <s v="Jeans"/>
    <s v="Clothing"/>
    <s v="Physical Store"/>
    <s v="Lagos"/>
    <s v="New"/>
    <x v="4"/>
    <n v="1"/>
    <n v="43532"/>
    <n v="43532"/>
    <n v="2176.6"/>
    <n v="0.05"/>
    <n v="41355.4"/>
    <n v="23137.07"/>
    <n v="18218.330000000002"/>
    <s v="Nov"/>
    <n v="2026"/>
    <n v="11"/>
  </r>
  <r>
    <s v="ORD-00915"/>
    <d v="2026-11-08T00:00:00"/>
    <s v="Cap"/>
    <s v="Accessories"/>
    <s v="WhatsApp"/>
    <s v="Rivers"/>
    <s v="New"/>
    <x v="4"/>
    <n v="2"/>
    <n v="12655"/>
    <n v="25310"/>
    <n v="5062"/>
    <n v="0.2"/>
    <n v="20248"/>
    <n v="13877.51"/>
    <n v="6370.49"/>
    <s v="Nov"/>
    <n v="2026"/>
    <n v="11"/>
  </r>
  <r>
    <s v="ORD-01172"/>
    <d v="2026-11-09T00:00:00"/>
    <s v="Sandals"/>
    <s v="Footwear"/>
    <s v="Physical Store"/>
    <s v="Abuja"/>
    <s v="New"/>
    <x v="4"/>
    <n v="4"/>
    <n v="32342"/>
    <n v="129368"/>
    <n v="6468.4"/>
    <n v="0.05"/>
    <n v="122899.6"/>
    <n v="79720.12"/>
    <n v="43179.48000000001"/>
    <s v="Nov"/>
    <n v="2026"/>
    <n v="11"/>
  </r>
  <r>
    <s v="ORD-00003"/>
    <d v="2026-11-10T00:00:00"/>
    <s v="Sandals"/>
    <s v="Footwear"/>
    <s v="Website"/>
    <s v="Delta"/>
    <s v="Returning"/>
    <x v="4"/>
    <n v="4"/>
    <n v="31535"/>
    <n v="126140"/>
    <n v="6307"/>
    <n v="0.05"/>
    <n v="119833"/>
    <n v="83471.92"/>
    <n v="36361.08"/>
    <s v="Nov"/>
    <n v="2026"/>
    <n v="11"/>
  </r>
  <r>
    <s v="ORD-00224"/>
    <d v="2026-11-11T00:00:00"/>
    <s v="T-Shirt"/>
    <s v="Clothing"/>
    <s v="Instagram"/>
    <s v="Oyo"/>
    <s v="Returning"/>
    <x v="4"/>
    <n v="2"/>
    <n v="16901"/>
    <n v="33802"/>
    <n v="3380.2"/>
    <n v="0.1"/>
    <n v="30421.8"/>
    <n v="18327.46"/>
    <n v="12094.34"/>
    <s v="Nov"/>
    <n v="2026"/>
    <n v="11"/>
  </r>
  <r>
    <s v="ORD-00786"/>
    <d v="2026-11-12T00:00:00"/>
    <s v="Sneakers"/>
    <s v="Footwear"/>
    <s v="Physical Store"/>
    <s v="Delta"/>
    <s v="New"/>
    <x v="4"/>
    <n v="3"/>
    <n v="63168"/>
    <n v="189504"/>
    <n v="18950.400000000001"/>
    <n v="0.1"/>
    <n v="170553.60000000001"/>
    <n v="124601.27"/>
    <n v="45952.33"/>
    <s v="Nov"/>
    <n v="2026"/>
    <n v="11"/>
  </r>
  <r>
    <s v="ORD-00553"/>
    <d v="2026-11-12T00:00:00"/>
    <s v="T-Shirt"/>
    <s v="Clothing"/>
    <s v="WhatsApp"/>
    <s v="Abuja"/>
    <s v="Returning"/>
    <x v="4"/>
    <n v="1"/>
    <n v="18178"/>
    <n v="18178"/>
    <n v="908.9"/>
    <n v="0.05"/>
    <n v="17269.099999999999"/>
    <n v="9032.18"/>
    <n v="8236.9199999999983"/>
    <s v="Nov"/>
    <n v="2026"/>
    <n v="11"/>
  </r>
  <r>
    <s v="ORD-00433"/>
    <d v="2026-11-14T00:00:00"/>
    <s v="Dress"/>
    <s v="Clothing"/>
    <s v="WhatsApp"/>
    <s v="Delta"/>
    <s v="New"/>
    <x v="4"/>
    <n v="4"/>
    <n v="52636"/>
    <n v="210544"/>
    <n v="21054.400000000001"/>
    <n v="0.1"/>
    <n v="189489.6"/>
    <n v="140449.46"/>
    <n v="49040.140000000014"/>
    <s v="Nov"/>
    <n v="2026"/>
    <n v="11"/>
  </r>
  <r>
    <s v="ORD-00733"/>
    <d v="2026-11-15T00:00:00"/>
    <s v="Polo Shirt"/>
    <s v="Clothing"/>
    <s v="WhatsApp"/>
    <s v="Lagos"/>
    <s v="New"/>
    <x v="0"/>
    <n v="1"/>
    <n v="23982"/>
    <n v="23982"/>
    <n v="0"/>
    <n v="0"/>
    <n v="23982"/>
    <n v="15321.54"/>
    <n v="8660.4599999999991"/>
    <s v="Nov"/>
    <n v="2026"/>
    <n v="11"/>
  </r>
  <r>
    <s v="ORD-00654"/>
    <d v="2026-11-15T00:00:00"/>
    <s v="Cap"/>
    <s v="Accessories"/>
    <s v="Website"/>
    <s v="Lagos"/>
    <s v="Returning"/>
    <x v="4"/>
    <n v="2"/>
    <n v="11584"/>
    <n v="23168"/>
    <n v="2316.8000000000002"/>
    <n v="0.1"/>
    <n v="20851.2"/>
    <n v="15024.28"/>
    <n v="5826.92"/>
    <s v="Nov"/>
    <n v="2026"/>
    <n v="11"/>
  </r>
  <r>
    <s v="ORD-00088"/>
    <d v="2026-11-17T00:00:00"/>
    <s v="Cap"/>
    <s v="Accessories"/>
    <s v="WhatsApp"/>
    <s v="Rivers"/>
    <s v="New"/>
    <x v="4"/>
    <n v="3"/>
    <n v="11827"/>
    <n v="35481"/>
    <n v="1774.05"/>
    <n v="0.05"/>
    <n v="33706.949999999997"/>
    <n v="19754.64"/>
    <n v="13952.309999999998"/>
    <s v="Nov"/>
    <n v="2026"/>
    <n v="11"/>
  </r>
  <r>
    <s v="ORD-00131"/>
    <d v="2026-11-17T00:00:00"/>
    <s v="Belt"/>
    <s v="Accessories"/>
    <s v="WhatsApp"/>
    <s v="Rivers"/>
    <s v="New"/>
    <x v="4"/>
    <n v="1"/>
    <n v="15984"/>
    <n v="15984"/>
    <n v="1598.4"/>
    <n v="0.1"/>
    <n v="14385.6"/>
    <n v="8362.99"/>
    <n v="6022.6100000000006"/>
    <s v="Nov"/>
    <n v="2026"/>
    <n v="11"/>
  </r>
  <r>
    <s v="ORD-00856"/>
    <d v="2026-11-18T00:00:00"/>
    <s v="Polo Shirt"/>
    <s v="Clothing"/>
    <s v="Instagram"/>
    <s v="Delta"/>
    <s v="New"/>
    <x v="4"/>
    <n v="5"/>
    <n v="24879"/>
    <n v="124395"/>
    <n v="18659.25"/>
    <n v="0.15"/>
    <n v="105735.75"/>
    <n v="80687.02"/>
    <n v="25048.729999999996"/>
    <s v="Nov"/>
    <n v="2026"/>
    <n v="11"/>
  </r>
  <r>
    <s v="ORD-00219"/>
    <d v="2026-11-22T00:00:00"/>
    <s v="Sneakers"/>
    <s v="Footwear"/>
    <s v="Physical Store"/>
    <s v="Oyo"/>
    <s v="Returning"/>
    <x v="4"/>
    <n v="3"/>
    <n v="69415"/>
    <n v="208245"/>
    <n v="10412.25"/>
    <n v="0.05"/>
    <n v="197832.75"/>
    <n v="123005.33"/>
    <n v="74827.42"/>
    <s v="Nov"/>
    <n v="2026"/>
    <n v="11"/>
  </r>
  <r>
    <s v="ORD-00093"/>
    <d v="2026-11-22T00:00:00"/>
    <s v="Belt"/>
    <s v="Accessories"/>
    <s v="WhatsApp"/>
    <s v="Lagos"/>
    <s v="New"/>
    <x v="0"/>
    <n v="1"/>
    <n v="15847"/>
    <n v="15847"/>
    <n v="0"/>
    <n v="0"/>
    <n v="15847"/>
    <n v="9570.64"/>
    <n v="6276.3600000000006"/>
    <s v="Nov"/>
    <n v="2026"/>
    <n v="11"/>
  </r>
  <r>
    <s v="ORD-00123"/>
    <d v="2026-11-25T00:00:00"/>
    <s v="Cap"/>
    <s v="Accessories"/>
    <s v="Website"/>
    <s v="Lagos"/>
    <s v="Returning"/>
    <x v="0"/>
    <n v="1"/>
    <n v="11904"/>
    <n v="11904"/>
    <n v="0"/>
    <n v="0"/>
    <n v="11904"/>
    <n v="7196.01"/>
    <n v="4707.99"/>
    <s v="Nov"/>
    <n v="2026"/>
    <n v="11"/>
  </r>
  <r>
    <s v="ORD-00193"/>
    <d v="2026-11-26T00:00:00"/>
    <s v="Belt"/>
    <s v="Accessories"/>
    <s v="Physical Store"/>
    <s v="Lagos"/>
    <s v="New"/>
    <x v="4"/>
    <n v="1"/>
    <n v="15201"/>
    <n v="15201"/>
    <n v="2280.15"/>
    <n v="0.15"/>
    <n v="12920.85"/>
    <n v="7425.45"/>
    <n v="5495.4000000000005"/>
    <s v="Nov"/>
    <n v="2026"/>
    <n v="11"/>
  </r>
  <r>
    <s v="ORD-00248"/>
    <d v="2026-11-26T00:00:00"/>
    <s v="Dress"/>
    <s v="Clothing"/>
    <s v="Physical Store"/>
    <s v="Rivers"/>
    <s v="New"/>
    <x v="4"/>
    <n v="2"/>
    <n v="48984"/>
    <n v="97968"/>
    <n v="14695.2"/>
    <n v="0.15"/>
    <n v="83272.800000000003"/>
    <n v="50303.77"/>
    <n v="32969.030000000006"/>
    <s v="Nov"/>
    <n v="2026"/>
    <n v="11"/>
  </r>
  <r>
    <s v="ORD-00683"/>
    <d v="2026-11-28T00:00:00"/>
    <s v="T-Shirt"/>
    <s v="Clothing"/>
    <s v="Physical Store"/>
    <s v="Lagos"/>
    <s v="New"/>
    <x v="0"/>
    <n v="1"/>
    <n v="17566"/>
    <n v="17566"/>
    <n v="0"/>
    <n v="0"/>
    <n v="17566"/>
    <n v="9810.92"/>
    <n v="7755.08"/>
    <s v="Nov"/>
    <n v="2026"/>
    <n v="11"/>
  </r>
  <r>
    <s v="ORD-00796"/>
    <d v="2026-11-28T00:00:00"/>
    <s v="Sneakers"/>
    <s v="Footwear"/>
    <s v="Website"/>
    <s v="Oyo"/>
    <s v="Returning"/>
    <x v="0"/>
    <n v="2"/>
    <n v="68117"/>
    <n v="136234"/>
    <n v="0"/>
    <n v="0"/>
    <n v="136234"/>
    <n v="72465.88"/>
    <n v="63768.119999999995"/>
    <s v="Nov"/>
    <n v="2026"/>
    <n v="11"/>
  </r>
  <r>
    <s v="ORD-00272"/>
    <d v="2026-11-28T00:00:00"/>
    <s v="Polo Shirt"/>
    <s v="Clothing"/>
    <s v="Website"/>
    <s v="Lagos"/>
    <s v="New"/>
    <x v="0"/>
    <n v="4"/>
    <n v="26689"/>
    <n v="106756"/>
    <n v="0"/>
    <n v="0"/>
    <n v="106756"/>
    <n v="64283.57"/>
    <n v="42472.43"/>
    <s v="Nov"/>
    <n v="2026"/>
    <n v="11"/>
  </r>
  <r>
    <s v="ORD-01121"/>
    <d v="2026-11-28T00:00:00"/>
    <s v="Cap"/>
    <s v="Accessories"/>
    <s v="Website"/>
    <s v="Oyo"/>
    <s v="New"/>
    <x v="4"/>
    <n v="3"/>
    <n v="11588"/>
    <n v="34764"/>
    <n v="1738.2"/>
    <n v="0.05"/>
    <n v="33025.800000000003"/>
    <n v="22840.78"/>
    <n v="10185.020000000004"/>
    <s v="Nov"/>
    <n v="2026"/>
    <n v="11"/>
  </r>
  <r>
    <s v="ORD-01053"/>
    <d v="2026-11-28T00:00:00"/>
    <s v="Sneakers"/>
    <s v="Footwear"/>
    <s v="Instagram"/>
    <s v="Abuja"/>
    <s v="New"/>
    <x v="4"/>
    <n v="1"/>
    <n v="68143"/>
    <n v="68143"/>
    <n v="10221.450000000001"/>
    <n v="0.15"/>
    <n v="57921.55"/>
    <n v="37429.089999999997"/>
    <n v="20492.460000000006"/>
    <s v="Nov"/>
    <n v="2026"/>
    <n v="11"/>
  </r>
  <r>
    <s v="ORD-00437"/>
    <d v="2026-11-28T00:00:00"/>
    <s v="Polo Shirt"/>
    <s v="Clothing"/>
    <s v="Physical Store"/>
    <s v="Abuja"/>
    <s v="Returning"/>
    <x v="4"/>
    <n v="3"/>
    <n v="23233"/>
    <n v="69699"/>
    <n v="6969.9"/>
    <n v="0.1"/>
    <n v="62729.1"/>
    <n v="40067.29"/>
    <n v="22661.809999999998"/>
    <s v="Nov"/>
    <n v="2026"/>
    <n v="11"/>
  </r>
  <r>
    <s v="ORD-00716"/>
    <d v="2026-11-29T00:00:00"/>
    <s v="Dress"/>
    <s v="Clothing"/>
    <s v="Instagram"/>
    <s v="Delta"/>
    <s v="New"/>
    <x v="4"/>
    <n v="3"/>
    <n v="48630"/>
    <n v="145890"/>
    <n v="21883.5"/>
    <n v="0.15"/>
    <n v="124006.5"/>
    <n v="95448.960000000006"/>
    <n v="28557.539999999994"/>
    <s v="Nov"/>
    <n v="2026"/>
    <n v="11"/>
  </r>
  <r>
    <s v="ORD-00074"/>
    <d v="2026-11-30T00:00:00"/>
    <s v="Dress"/>
    <s v="Clothing"/>
    <s v="Instagram"/>
    <s v="Delta"/>
    <s v="New"/>
    <x v="4"/>
    <n v="2"/>
    <n v="49888"/>
    <n v="99776"/>
    <n v="4988.8"/>
    <n v="0.05"/>
    <n v="94787.199999999997"/>
    <n v="58284.51"/>
    <n v="36502.689999999995"/>
    <s v="Nov"/>
    <n v="2026"/>
    <n v="11"/>
  </r>
  <r>
    <s v="ORD-00779"/>
    <d v="2026-12-01T00:00:00"/>
    <s v="Sandals"/>
    <s v="Footwear"/>
    <s v="WhatsApp"/>
    <s v="Delta"/>
    <s v="New"/>
    <x v="5"/>
    <n v="2"/>
    <n v="27673"/>
    <n v="55346"/>
    <n v="5534.6"/>
    <n v="0.1"/>
    <n v="49811.4"/>
    <n v="29686.9"/>
    <n v="20124.5"/>
    <s v="Dec"/>
    <n v="2026"/>
    <n v="12"/>
  </r>
  <r>
    <s v="ORD-00439"/>
    <d v="2026-12-01T00:00:00"/>
    <s v="Hoodie"/>
    <s v="Clothing"/>
    <s v="Physical Store"/>
    <s v="Abuja"/>
    <s v="New"/>
    <x v="5"/>
    <n v="3"/>
    <n v="35193"/>
    <n v="105579"/>
    <n v="15836.85"/>
    <n v="0.15"/>
    <n v="89742.15"/>
    <n v="71350.960000000006"/>
    <n v="18391.189999999988"/>
    <s v="Dec"/>
    <n v="2026"/>
    <n v="12"/>
  </r>
  <r>
    <s v="ORD-00378"/>
    <d v="2026-12-02T00:00:00"/>
    <s v="Jeans"/>
    <s v="Clothing"/>
    <s v="Physical Store"/>
    <s v="Lagos"/>
    <s v="Returning"/>
    <x v="5"/>
    <n v="3"/>
    <n v="44548"/>
    <n v="133644"/>
    <n v="13364.4"/>
    <n v="0.1"/>
    <n v="120279.6"/>
    <n v="67158.53"/>
    <n v="53121.070000000007"/>
    <s v="Dec"/>
    <n v="2026"/>
    <n v="12"/>
  </r>
  <r>
    <s v="ORD-01061"/>
    <d v="2026-12-03T00:00:00"/>
    <s v="Sneakers"/>
    <s v="Footwear"/>
    <s v="Physical Store"/>
    <s v="Lagos"/>
    <s v="Returning"/>
    <x v="0"/>
    <n v="2"/>
    <n v="68653"/>
    <n v="137306"/>
    <n v="0"/>
    <n v="0"/>
    <n v="137306"/>
    <n v="73819.81"/>
    <n v="63486.19"/>
    <s v="Dec"/>
    <n v="2026"/>
    <n v="12"/>
  </r>
  <r>
    <s v="ORD-00245"/>
    <d v="2026-12-05T00:00:00"/>
    <s v="Sneakers"/>
    <s v="Footwear"/>
    <s v="Website"/>
    <s v="Lagos"/>
    <s v="Returning"/>
    <x v="5"/>
    <n v="3"/>
    <n v="68506"/>
    <n v="205518"/>
    <n v="10275.9"/>
    <n v="0.05"/>
    <n v="195242.1"/>
    <n v="121806.22"/>
    <n v="73435.88"/>
    <s v="Dec"/>
    <n v="2026"/>
    <n v="12"/>
  </r>
  <r>
    <s v="ORD-00641"/>
    <d v="2026-12-05T00:00:00"/>
    <s v="Jeans"/>
    <s v="Clothing"/>
    <s v="Physical Store"/>
    <s v="Abuja"/>
    <s v="New"/>
    <x v="5"/>
    <n v="3"/>
    <n v="42868"/>
    <n v="128604"/>
    <n v="12860.4"/>
    <n v="0.1"/>
    <n v="115743.6"/>
    <n v="80020.539999999994"/>
    <n v="35723.060000000012"/>
    <s v="Dec"/>
    <n v="2026"/>
    <n v="12"/>
  </r>
  <r>
    <s v="ORD-01169"/>
    <d v="2026-12-06T00:00:00"/>
    <s v="T-Shirt"/>
    <s v="Clothing"/>
    <s v="Physical Store"/>
    <s v="Lagos"/>
    <s v="Returning"/>
    <x v="5"/>
    <n v="3"/>
    <n v="17865"/>
    <n v="53595"/>
    <n v="5359.5"/>
    <n v="0.1"/>
    <n v="48235.5"/>
    <n v="35989.33"/>
    <n v="12246.169999999998"/>
    <s v="Dec"/>
    <n v="2026"/>
    <n v="12"/>
  </r>
  <r>
    <s v="ORD-00345"/>
    <d v="2026-12-06T00:00:00"/>
    <s v="Handbag"/>
    <s v="Accessories"/>
    <s v="Physical Store"/>
    <s v="Lagos"/>
    <s v="Returning"/>
    <x v="5"/>
    <n v="1"/>
    <n v="45751"/>
    <n v="45751"/>
    <n v="2287.5500000000002"/>
    <n v="0.05"/>
    <n v="43463.45"/>
    <n v="26749.71"/>
    <n v="16713.739999999998"/>
    <s v="Dec"/>
    <n v="2026"/>
    <n v="12"/>
  </r>
  <r>
    <s v="ORD-00094"/>
    <d v="2026-12-07T00:00:00"/>
    <s v="Cap"/>
    <s v="Accessories"/>
    <s v="Instagram"/>
    <s v="Lagos"/>
    <s v="Returning"/>
    <x v="5"/>
    <n v="1"/>
    <n v="12092"/>
    <n v="12092"/>
    <n v="1813.8"/>
    <n v="0.15"/>
    <n v="10278.200000000001"/>
    <n v="7937.52"/>
    <n v="2340.6800000000003"/>
    <s v="Dec"/>
    <n v="2026"/>
    <n v="12"/>
  </r>
  <r>
    <s v="ORD-00895"/>
    <d v="2026-12-08T00:00:00"/>
    <s v="T-Shirt"/>
    <s v="Clothing"/>
    <s v="Website"/>
    <s v="Abuja"/>
    <s v="Returning"/>
    <x v="5"/>
    <n v="3"/>
    <n v="18549"/>
    <n v="55647"/>
    <n v="2782.35"/>
    <n v="0.05"/>
    <n v="52864.65"/>
    <n v="30930.39"/>
    <n v="21934.260000000002"/>
    <s v="Dec"/>
    <n v="2026"/>
    <n v="12"/>
  </r>
  <r>
    <s v="ORD-00241"/>
    <d v="2026-12-08T00:00:00"/>
    <s v="T-Shirt"/>
    <s v="Clothing"/>
    <s v="Instagram"/>
    <s v="Lagos"/>
    <s v="New"/>
    <x v="5"/>
    <n v="4"/>
    <n v="18165"/>
    <n v="72660"/>
    <n v="7266"/>
    <n v="0.1"/>
    <n v="65394"/>
    <n v="44567.43"/>
    <n v="20826.57"/>
    <s v="Dec"/>
    <n v="2026"/>
    <n v="12"/>
  </r>
  <r>
    <s v="ORD-00631"/>
    <d v="2026-12-10T00:00:00"/>
    <s v="Polo Shirt"/>
    <s v="Clothing"/>
    <s v="Website"/>
    <s v="Delta"/>
    <s v="Returning"/>
    <x v="0"/>
    <n v="2"/>
    <n v="26114"/>
    <n v="52228"/>
    <n v="0"/>
    <n v="0"/>
    <n v="52228"/>
    <n v="31346.799999999999"/>
    <n v="20881.2"/>
    <s v="Dec"/>
    <n v="2026"/>
    <n v="12"/>
  </r>
  <r>
    <s v="ORD-00942"/>
    <d v="2026-12-10T00:00:00"/>
    <s v="Sneakers"/>
    <s v="Footwear"/>
    <s v="Website"/>
    <s v="Rivers"/>
    <s v="Returning"/>
    <x v="5"/>
    <n v="4"/>
    <n v="69507"/>
    <n v="278028"/>
    <n v="41704.199999999997"/>
    <n v="0.15"/>
    <n v="236323.8"/>
    <n v="185685.73"/>
    <n v="50638.069999999978"/>
    <s v="Dec"/>
    <n v="2026"/>
    <n v="12"/>
  </r>
  <r>
    <s v="ORD-00067"/>
    <d v="2026-12-12T00:00:00"/>
    <s v="Sneakers"/>
    <s v="Footwear"/>
    <s v="WhatsApp"/>
    <s v="Lagos"/>
    <s v="New"/>
    <x v="5"/>
    <n v="1"/>
    <n v="64750"/>
    <n v="64750"/>
    <n v="9712.5"/>
    <n v="0.15"/>
    <n v="55037.5"/>
    <n v="36188.47"/>
    <n v="18849.03"/>
    <s v="Dec"/>
    <n v="2026"/>
    <n v="12"/>
  </r>
  <r>
    <s v="ORD-00306"/>
    <d v="2026-12-12T00:00:00"/>
    <s v="Hoodie"/>
    <s v="Clothing"/>
    <s v="Instagram"/>
    <s v="Lagos"/>
    <s v="Returning"/>
    <x v="5"/>
    <n v="1"/>
    <n v="35271"/>
    <n v="35271"/>
    <n v="5290.65"/>
    <n v="0.15"/>
    <n v="29980.35"/>
    <n v="20048.79"/>
    <n v="9931.5599999999977"/>
    <s v="Dec"/>
    <n v="2026"/>
    <n v="12"/>
  </r>
  <r>
    <s v="ORD-00975"/>
    <d v="2026-12-12T00:00:00"/>
    <s v="Cap"/>
    <s v="Accessories"/>
    <s v="WhatsApp"/>
    <s v="Lagos"/>
    <s v="New"/>
    <x v="0"/>
    <n v="2"/>
    <n v="11194"/>
    <n v="22388"/>
    <n v="0"/>
    <n v="0"/>
    <n v="22388"/>
    <n v="12639.18"/>
    <n v="9748.82"/>
    <s v="Dec"/>
    <n v="2026"/>
    <n v="12"/>
  </r>
  <r>
    <s v="ORD-00151"/>
    <d v="2026-12-12T00:00:00"/>
    <s v="Polo Shirt"/>
    <s v="Clothing"/>
    <s v="Website"/>
    <s v="Abuja"/>
    <s v="Returning"/>
    <x v="5"/>
    <n v="3"/>
    <n v="24224"/>
    <n v="72672"/>
    <n v="3633.6"/>
    <n v="0.05"/>
    <n v="69038.399999999994"/>
    <n v="44069.61"/>
    <n v="24968.789999999994"/>
    <s v="Dec"/>
    <n v="2026"/>
    <n v="12"/>
  </r>
  <r>
    <s v="ORD-00300"/>
    <d v="2026-12-13T00:00:00"/>
    <s v="Jeans"/>
    <s v="Clothing"/>
    <s v="WhatsApp"/>
    <s v="Abuja"/>
    <s v="New"/>
    <x v="0"/>
    <n v="3"/>
    <n v="42439"/>
    <n v="127317"/>
    <n v="0"/>
    <n v="0"/>
    <n v="127317"/>
    <n v="81411.86"/>
    <n v="45905.14"/>
    <s v="Dec"/>
    <n v="2026"/>
    <n v="12"/>
  </r>
  <r>
    <s v="ORD-00939"/>
    <d v="2026-12-13T00:00:00"/>
    <s v="Dress"/>
    <s v="Clothing"/>
    <s v="WhatsApp"/>
    <s v="Delta"/>
    <s v="New"/>
    <x v="5"/>
    <n v="1"/>
    <n v="52641"/>
    <n v="52641"/>
    <n v="5264.1"/>
    <n v="0.1"/>
    <n v="47376.9"/>
    <n v="31945.22"/>
    <n v="15431.68"/>
    <s v="Dec"/>
    <n v="2026"/>
    <n v="12"/>
  </r>
  <r>
    <s v="ORD-00576"/>
    <d v="2026-12-13T00:00:00"/>
    <s v="Belt"/>
    <s v="Accessories"/>
    <s v="WhatsApp"/>
    <s v="Abuja"/>
    <s v="Returning"/>
    <x v="0"/>
    <n v="1"/>
    <n v="15883"/>
    <n v="15883"/>
    <n v="2382.4499999999998"/>
    <n v="0.15"/>
    <n v="13500.55"/>
    <n v="7818.7"/>
    <n v="5681.8499999999995"/>
    <s v="Dec"/>
    <n v="2026"/>
    <n v="12"/>
  </r>
  <r>
    <s v="ORD-00648"/>
    <d v="2026-12-15T00:00:00"/>
    <s v="Dress"/>
    <s v="Clothing"/>
    <s v="WhatsApp"/>
    <s v="Delta"/>
    <s v="Returning"/>
    <x v="5"/>
    <n v="4"/>
    <n v="46074"/>
    <n v="184296"/>
    <n v="18429.599999999999"/>
    <n v="0.1"/>
    <n v="165866.4"/>
    <n v="90160.15"/>
    <n v="75706.25"/>
    <s v="Dec"/>
    <n v="2026"/>
    <n v="12"/>
  </r>
  <r>
    <s v="ORD-00471"/>
    <d v="2026-12-17T00:00:00"/>
    <s v="Dress"/>
    <s v="Clothing"/>
    <s v="Website"/>
    <s v="Abuja"/>
    <s v="Returning"/>
    <x v="5"/>
    <n v="1"/>
    <n v="49908"/>
    <n v="49908"/>
    <n v="4990.8"/>
    <n v="0.1"/>
    <n v="44917.2"/>
    <n v="30612.92"/>
    <n v="14304.279999999999"/>
    <s v="Dec"/>
    <n v="2026"/>
    <n v="12"/>
  </r>
  <r>
    <s v="ORD-00324"/>
    <d v="2026-12-17T00:00:00"/>
    <s v="Handbag"/>
    <s v="Accessories"/>
    <s v="WhatsApp"/>
    <s v="Delta"/>
    <s v="Returning"/>
    <x v="0"/>
    <n v="2"/>
    <n v="44165"/>
    <n v="88330"/>
    <n v="0"/>
    <n v="0"/>
    <n v="88330"/>
    <n v="59867.17"/>
    <n v="28462.83"/>
    <s v="Dec"/>
    <n v="2026"/>
    <n v="12"/>
  </r>
  <r>
    <s v="ORD-00329"/>
    <d v="2026-12-17T00:00:00"/>
    <s v="Dress"/>
    <s v="Clothing"/>
    <s v="Instagram"/>
    <s v="Lagos"/>
    <s v="Returning"/>
    <x v="5"/>
    <n v="3"/>
    <n v="49793"/>
    <n v="149379"/>
    <n v="29875.8"/>
    <n v="0.2"/>
    <n v="119503.2"/>
    <n v="73138.720000000001"/>
    <n v="46364.479999999996"/>
    <s v="Dec"/>
    <n v="2026"/>
    <n v="12"/>
  </r>
  <r>
    <s v="ORD-00022"/>
    <d v="2026-12-18T00:00:00"/>
    <s v="Jeans"/>
    <s v="Clothing"/>
    <s v="Website"/>
    <s v="Abuja"/>
    <s v="New"/>
    <x v="5"/>
    <n v="1"/>
    <n v="39810"/>
    <n v="39810"/>
    <n v="5971.5"/>
    <n v="0.15"/>
    <n v="33838.5"/>
    <n v="22420.25"/>
    <n v="11418.25"/>
    <s v="Dec"/>
    <n v="2026"/>
    <n v="12"/>
  </r>
  <r>
    <s v="ORD-01156"/>
    <d v="2026-12-21T00:00:00"/>
    <s v="Cap"/>
    <s v="Accessories"/>
    <s v="Website"/>
    <s v="Lagos"/>
    <s v="New"/>
    <x v="0"/>
    <n v="4"/>
    <n v="12394"/>
    <n v="49576"/>
    <n v="0"/>
    <n v="0"/>
    <n v="49576"/>
    <n v="31793.71"/>
    <n v="17782.29"/>
    <s v="Dec"/>
    <n v="2026"/>
    <n v="12"/>
  </r>
  <r>
    <s v="ORD-00079"/>
    <d v="2026-12-22T00:00:00"/>
    <s v="Jeans"/>
    <s v="Clothing"/>
    <s v="Website"/>
    <s v="Lagos"/>
    <s v="New"/>
    <x v="0"/>
    <n v="3"/>
    <n v="39351"/>
    <n v="118053"/>
    <n v="0"/>
    <n v="0"/>
    <n v="118053"/>
    <n v="58879.1"/>
    <n v="59173.9"/>
    <s v="Dec"/>
    <n v="2026"/>
    <n v="12"/>
  </r>
  <r>
    <s v="ORD-00902"/>
    <d v="2026-12-22T00:00:00"/>
    <s v="Cap"/>
    <s v="Accessories"/>
    <s v="Physical Store"/>
    <s v="Abuja"/>
    <s v="New"/>
    <x v="5"/>
    <n v="4"/>
    <n v="11780"/>
    <n v="47120"/>
    <n v="2356"/>
    <n v="0.05"/>
    <n v="44764"/>
    <n v="29170.62"/>
    <n v="15593.380000000001"/>
    <s v="Dec"/>
    <n v="2026"/>
    <n v="12"/>
  </r>
  <r>
    <s v="ORD-00535"/>
    <d v="2026-12-24T00:00:00"/>
    <s v="Dress"/>
    <s v="Clothing"/>
    <s v="Physical Store"/>
    <s v="Abuja"/>
    <s v="Returning"/>
    <x v="0"/>
    <n v="1"/>
    <n v="46761"/>
    <n v="46761"/>
    <n v="0"/>
    <n v="0"/>
    <n v="46761"/>
    <n v="26220.07"/>
    <n v="20540.93"/>
    <s v="Dec"/>
    <n v="2026"/>
    <n v="12"/>
  </r>
  <r>
    <s v="ORD-00344"/>
    <d v="2026-12-28T00:00:00"/>
    <s v="Hoodie"/>
    <s v="Clothing"/>
    <s v="Instagram"/>
    <s v="Oyo"/>
    <s v="New"/>
    <x v="0"/>
    <n v="2"/>
    <n v="38599"/>
    <n v="77198"/>
    <n v="0"/>
    <n v="0"/>
    <n v="77198"/>
    <n v="51845.34"/>
    <n v="25352.660000000003"/>
    <s v="Dec"/>
    <n v="2026"/>
    <n v="12"/>
  </r>
  <r>
    <s v="ORD-00431"/>
    <d v="2026-12-28T00:00:00"/>
    <s v="Hoodie"/>
    <s v="Clothing"/>
    <s v="Physical Store"/>
    <s v="Abuja"/>
    <s v="New"/>
    <x v="5"/>
    <n v="1"/>
    <n v="37808"/>
    <n v="37808"/>
    <n v="3780.8"/>
    <n v="0.1"/>
    <n v="34027.199999999997"/>
    <n v="25593.4"/>
    <n v="8433.7999999999956"/>
    <s v="Dec"/>
    <n v="2026"/>
    <n v="12"/>
  </r>
  <r>
    <s v="ORD-00461"/>
    <d v="2026-12-29T00:00:00"/>
    <s v="Jeans"/>
    <s v="Clothing"/>
    <s v="Website"/>
    <s v="Oyo"/>
    <s v="New"/>
    <x v="0"/>
    <n v="2"/>
    <n v="39538"/>
    <n v="79076"/>
    <n v="0"/>
    <n v="0"/>
    <n v="79076"/>
    <n v="39105.699999999997"/>
    <n v="39970.300000000003"/>
    <s v="Dec"/>
    <n v="2026"/>
    <n v="12"/>
  </r>
  <r>
    <s v="ORD-00568"/>
    <d v="2026-12-31T00:00:00"/>
    <s v="Handbag"/>
    <s v="Accessories"/>
    <s v="WhatsApp"/>
    <s v="Lagos"/>
    <s v="Returning"/>
    <x v="5"/>
    <n v="1"/>
    <n v="43309"/>
    <n v="43309"/>
    <n v="4330.8999999999996"/>
    <n v="0.1"/>
    <n v="38978.1"/>
    <n v="29006.55"/>
    <n v="9971.5499999999993"/>
    <s v="Dec"/>
    <n v="2026"/>
    <n v="12"/>
  </r>
  <r>
    <s v="ORD-00002"/>
    <d v="2026-12-31T00:00:00"/>
    <s v="T-Shirt"/>
    <s v="Clothing"/>
    <s v="WhatsApp"/>
    <s v="Oyo"/>
    <s v="Returning"/>
    <x v="0"/>
    <n v="4"/>
    <n v="18970"/>
    <n v="75880"/>
    <n v="0"/>
    <n v="0"/>
    <n v="75880"/>
    <n v="46744.22"/>
    <n v="29135.78"/>
    <s v="Dec"/>
    <n v="2026"/>
    <n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559"/>
    <x v="0"/>
    <s v="Belt"/>
    <s v="Accessories"/>
    <s v="Physical Store"/>
    <s v="Oyo"/>
    <s v="Returning"/>
    <s v="None"/>
    <n v="1"/>
    <n v="15989"/>
    <n v="15989"/>
    <n v="0"/>
    <n v="0"/>
    <n v="15989"/>
    <n v="7800.77"/>
    <n v="8188.23"/>
    <x v="0"/>
    <x v="0"/>
    <n v="1"/>
  </r>
  <r>
    <s v="ORD-00743"/>
    <x v="0"/>
    <s v="Sneakers"/>
    <s v="Footwear"/>
    <s v="Physical Store"/>
    <s v="Delta"/>
    <s v="New"/>
    <s v="None"/>
    <n v="1"/>
    <n v="69509"/>
    <n v="69509"/>
    <n v="10426.35"/>
    <n v="0.15"/>
    <n v="59082.65"/>
    <n v="36611.910000000003"/>
    <n v="22470.739999999998"/>
    <x v="0"/>
    <x v="0"/>
    <n v="1"/>
  </r>
  <r>
    <s v="ORD-00146"/>
    <x v="1"/>
    <s v="Jeans"/>
    <s v="Clothing"/>
    <s v="Physical Store"/>
    <s v="Rivers"/>
    <s v="Returning"/>
    <s v="None"/>
    <n v="2"/>
    <n v="39039"/>
    <n v="78078"/>
    <n v="0"/>
    <n v="0"/>
    <n v="78078"/>
    <n v="47474.52"/>
    <n v="30603.480000000003"/>
    <x v="0"/>
    <x v="0"/>
    <n v="1"/>
  </r>
  <r>
    <s v="ORD-00189"/>
    <x v="1"/>
    <s v="Jeans"/>
    <s v="Clothing"/>
    <s v="Physical Store"/>
    <s v="Abuja"/>
    <s v="New"/>
    <s v="None"/>
    <n v="1"/>
    <n v="41273"/>
    <n v="41273"/>
    <n v="0"/>
    <n v="0"/>
    <n v="41273"/>
    <n v="24202.67"/>
    <n v="17070.330000000002"/>
    <x v="0"/>
    <x v="0"/>
    <n v="1"/>
  </r>
  <r>
    <s v="ORD-01178"/>
    <x v="2"/>
    <s v="Belt"/>
    <s v="Accessories"/>
    <s v="Physical Store"/>
    <s v="Abuja"/>
    <s v="New"/>
    <s v="None"/>
    <n v="1"/>
    <n v="14451"/>
    <n v="14451"/>
    <n v="0"/>
    <n v="0"/>
    <n v="14451"/>
    <n v="9760.75"/>
    <n v="4690.25"/>
    <x v="0"/>
    <x v="0"/>
    <n v="1"/>
  </r>
  <r>
    <s v="ORD-01138"/>
    <x v="2"/>
    <s v="Belt"/>
    <s v="Accessories"/>
    <s v="Physical Store"/>
    <s v="Lagos"/>
    <s v="Returning"/>
    <s v="None"/>
    <n v="4"/>
    <n v="14676"/>
    <n v="58704"/>
    <n v="0"/>
    <n v="0"/>
    <n v="58704"/>
    <n v="39380.18"/>
    <n v="19323.82"/>
    <x v="0"/>
    <x v="0"/>
    <n v="1"/>
  </r>
  <r>
    <s v="ORD-00723"/>
    <x v="3"/>
    <s v="Belt"/>
    <s v="Accessories"/>
    <s v="Website"/>
    <s v="Abuja"/>
    <s v="New"/>
    <s v="None"/>
    <n v="1"/>
    <n v="15933"/>
    <n v="15933"/>
    <n v="0"/>
    <n v="0"/>
    <n v="15933"/>
    <n v="9442.7099999999991"/>
    <n v="6490.2900000000009"/>
    <x v="0"/>
    <x v="0"/>
    <n v="1"/>
  </r>
  <r>
    <s v="ORD-00990"/>
    <x v="3"/>
    <s v="Jeans"/>
    <s v="Clothing"/>
    <s v="WhatsApp"/>
    <s v="Delta"/>
    <s v="Returning"/>
    <s v="None"/>
    <n v="2"/>
    <n v="41128"/>
    <n v="82256"/>
    <n v="0"/>
    <n v="0"/>
    <n v="82256"/>
    <n v="48103.199999999997"/>
    <n v="34152.800000000003"/>
    <x v="0"/>
    <x v="0"/>
    <n v="1"/>
  </r>
  <r>
    <s v="ORD-00308"/>
    <x v="4"/>
    <s v="Cap"/>
    <s v="Accessories"/>
    <s v="Website"/>
    <s v="Lagos"/>
    <s v="New"/>
    <s v="None"/>
    <n v="2"/>
    <n v="11792"/>
    <n v="23584"/>
    <n v="2358.4"/>
    <n v="0.1"/>
    <n v="21225.599999999999"/>
    <n v="12232.72"/>
    <n v="8992.8799999999992"/>
    <x v="0"/>
    <x v="0"/>
    <n v="1"/>
  </r>
  <r>
    <s v="ORD-00773"/>
    <x v="4"/>
    <s v="Polo Shirt"/>
    <s v="Clothing"/>
    <s v="Physical Store"/>
    <s v="Lagos"/>
    <s v="New"/>
    <s v="None"/>
    <n v="5"/>
    <n v="24808"/>
    <n v="124040"/>
    <n v="0"/>
    <n v="0"/>
    <n v="124040"/>
    <n v="60728.94"/>
    <n v="63311.06"/>
    <x v="0"/>
    <x v="0"/>
    <n v="1"/>
  </r>
  <r>
    <s v="ORD-00720"/>
    <x v="5"/>
    <s v="T-Shirt"/>
    <s v="Clothing"/>
    <s v="WhatsApp"/>
    <s v="Lagos"/>
    <s v="Returning"/>
    <s v="None"/>
    <n v="2"/>
    <n v="19096"/>
    <n v="38192"/>
    <n v="0"/>
    <n v="0"/>
    <n v="38192"/>
    <n v="22437.75"/>
    <n v="15754.25"/>
    <x v="0"/>
    <x v="0"/>
    <n v="1"/>
  </r>
  <r>
    <s v="ORD-00955"/>
    <x v="6"/>
    <s v="Polo Shirt"/>
    <s v="Clothing"/>
    <s v="Website"/>
    <s v="Delta"/>
    <s v="Returning"/>
    <s v="None"/>
    <n v="1"/>
    <n v="24972"/>
    <n v="24972"/>
    <n v="0"/>
    <n v="0"/>
    <n v="24972"/>
    <n v="14986.89"/>
    <n v="9985.11"/>
    <x v="0"/>
    <x v="0"/>
    <n v="1"/>
  </r>
  <r>
    <s v="ORD-00656"/>
    <x v="7"/>
    <s v="Cap"/>
    <s v="Accessories"/>
    <s v="Website"/>
    <s v="Abuja"/>
    <s v="New"/>
    <s v="None"/>
    <n v="4"/>
    <n v="12639"/>
    <n v="50556"/>
    <n v="5055.6000000000004"/>
    <n v="0.1"/>
    <n v="45500.4"/>
    <n v="32247.56"/>
    <n v="13252.84"/>
    <x v="0"/>
    <x v="0"/>
    <n v="1"/>
  </r>
  <r>
    <s v="ORD-00195"/>
    <x v="8"/>
    <s v="T-Shirt"/>
    <s v="Clothing"/>
    <s v="WhatsApp"/>
    <s v="Oyo"/>
    <s v="Returning"/>
    <s v="None"/>
    <n v="3"/>
    <n v="19212"/>
    <n v="57636"/>
    <n v="0"/>
    <n v="0"/>
    <n v="57636"/>
    <n v="36068.39"/>
    <n v="21567.61"/>
    <x v="0"/>
    <x v="0"/>
    <n v="1"/>
  </r>
  <r>
    <s v="ORD-00528"/>
    <x v="9"/>
    <s v="T-Shirt"/>
    <s v="Clothing"/>
    <s v="Website"/>
    <s v="Lagos"/>
    <s v="New"/>
    <s v="None"/>
    <n v="2"/>
    <n v="17848"/>
    <n v="35696"/>
    <n v="0"/>
    <n v="0"/>
    <n v="35696"/>
    <n v="19828.05"/>
    <n v="15867.95"/>
    <x v="0"/>
    <x v="0"/>
    <n v="1"/>
  </r>
  <r>
    <s v="ORD-00752"/>
    <x v="9"/>
    <s v="Cap"/>
    <s v="Accessories"/>
    <s v="Instagram"/>
    <s v="Lagos"/>
    <s v="New"/>
    <s v="None"/>
    <n v="3"/>
    <n v="11744"/>
    <n v="35232"/>
    <n v="1761.6"/>
    <n v="0.05"/>
    <n v="33470.400000000001"/>
    <n v="21763.83"/>
    <n v="11706.57"/>
    <x v="0"/>
    <x v="0"/>
    <n v="1"/>
  </r>
  <r>
    <s v="ORD-00830"/>
    <x v="10"/>
    <s v="Belt"/>
    <s v="Accessories"/>
    <s v="Website"/>
    <s v="Lagos"/>
    <s v="Returning"/>
    <s v="None"/>
    <n v="5"/>
    <n v="14467"/>
    <n v="72335"/>
    <n v="0"/>
    <n v="0"/>
    <n v="72335"/>
    <n v="37182.080000000002"/>
    <n v="35152.92"/>
    <x v="0"/>
    <x v="0"/>
    <n v="1"/>
  </r>
  <r>
    <s v="ORD-01155"/>
    <x v="10"/>
    <s v="Cap"/>
    <s v="Accessories"/>
    <s v="Instagram"/>
    <s v="Oyo"/>
    <s v="New"/>
    <s v="None"/>
    <n v="5"/>
    <n v="11671"/>
    <n v="58355"/>
    <n v="0"/>
    <n v="0"/>
    <n v="58355"/>
    <n v="37902.870000000003"/>
    <n v="20452.129999999997"/>
    <x v="0"/>
    <x v="0"/>
    <n v="1"/>
  </r>
  <r>
    <s v="ORD-01027"/>
    <x v="10"/>
    <s v="T-Shirt"/>
    <s v="Clothing"/>
    <s v="Physical Store"/>
    <s v="Abuja"/>
    <s v="New"/>
    <s v="None"/>
    <n v="4"/>
    <n v="18454"/>
    <n v="73816"/>
    <n v="0"/>
    <n v="0"/>
    <n v="73816"/>
    <n v="37882.29"/>
    <n v="35933.71"/>
    <x v="0"/>
    <x v="0"/>
    <n v="1"/>
  </r>
  <r>
    <s v="ORD-00381"/>
    <x v="11"/>
    <s v="Cap"/>
    <s v="Accessories"/>
    <s v="Website"/>
    <s v="Lagos"/>
    <s v="New"/>
    <s v="None"/>
    <n v="1"/>
    <n v="11838"/>
    <n v="11838"/>
    <n v="0"/>
    <n v="0"/>
    <n v="11838"/>
    <n v="6621.6"/>
    <n v="5216.3999999999996"/>
    <x v="0"/>
    <x v="0"/>
    <n v="1"/>
  </r>
  <r>
    <s v="ORD-01066"/>
    <x v="11"/>
    <s v="T-Shirt"/>
    <s v="Clothing"/>
    <s v="Physical Store"/>
    <s v="Delta"/>
    <s v="Returning"/>
    <s v="None"/>
    <n v="4"/>
    <n v="18288"/>
    <n v="73152"/>
    <n v="0"/>
    <n v="0"/>
    <n v="73152"/>
    <n v="44507.57"/>
    <n v="28644.43"/>
    <x v="0"/>
    <x v="0"/>
    <n v="1"/>
  </r>
  <r>
    <s v="ORD-00756"/>
    <x v="12"/>
    <s v="Jeans"/>
    <s v="Clothing"/>
    <s v="Physical Store"/>
    <s v="Delta"/>
    <s v="Returning"/>
    <s v="None"/>
    <n v="1"/>
    <n v="41414"/>
    <n v="41414"/>
    <n v="0"/>
    <n v="0"/>
    <n v="41414"/>
    <n v="21964.45"/>
    <n v="19449.55"/>
    <x v="0"/>
    <x v="0"/>
    <n v="1"/>
  </r>
  <r>
    <s v="ORD-00039"/>
    <x v="13"/>
    <s v="Sandals"/>
    <s v="Footwear"/>
    <s v="Website"/>
    <s v="Rivers"/>
    <s v="Returning"/>
    <s v="None"/>
    <n v="2"/>
    <n v="29422"/>
    <n v="58844"/>
    <n v="0"/>
    <n v="0"/>
    <n v="58844"/>
    <n v="34354.089999999997"/>
    <n v="24489.910000000003"/>
    <x v="0"/>
    <x v="0"/>
    <n v="1"/>
  </r>
  <r>
    <s v="ORD-00820"/>
    <x v="14"/>
    <s v="Sneakers"/>
    <s v="Footwear"/>
    <s v="WhatsApp"/>
    <s v="Rivers"/>
    <s v="New"/>
    <s v="None"/>
    <n v="1"/>
    <n v="64691"/>
    <n v="64691"/>
    <n v="0"/>
    <n v="0"/>
    <n v="64691"/>
    <n v="39976.720000000001"/>
    <n v="24714.28"/>
    <x v="0"/>
    <x v="0"/>
    <n v="1"/>
  </r>
  <r>
    <s v="ORD-00075"/>
    <x v="14"/>
    <s v="Polo Shirt"/>
    <s v="Clothing"/>
    <s v="Website"/>
    <s v="Lagos"/>
    <s v="Returning"/>
    <s v="None"/>
    <n v="1"/>
    <n v="24728"/>
    <n v="24728"/>
    <n v="0"/>
    <n v="0"/>
    <n v="24728"/>
    <n v="14900.79"/>
    <n v="9827.2099999999991"/>
    <x v="0"/>
    <x v="0"/>
    <n v="1"/>
  </r>
  <r>
    <s v="ORD-01112"/>
    <x v="15"/>
    <s v="Cap"/>
    <s v="Accessories"/>
    <s v="WhatsApp"/>
    <s v="Oyo"/>
    <s v="New"/>
    <s v="None"/>
    <n v="3"/>
    <n v="11360"/>
    <n v="34080"/>
    <n v="0"/>
    <n v="0"/>
    <n v="34080"/>
    <n v="18987.45"/>
    <n v="15092.55"/>
    <x v="0"/>
    <x v="0"/>
    <n v="1"/>
  </r>
  <r>
    <s v="ORD-00242"/>
    <x v="16"/>
    <s v="Sandals"/>
    <s v="Footwear"/>
    <s v="Instagram"/>
    <s v="Lagos"/>
    <s v="New"/>
    <s v="None"/>
    <n v="3"/>
    <n v="30800"/>
    <n v="92400"/>
    <n v="0"/>
    <n v="0"/>
    <n v="92400"/>
    <n v="58175.13"/>
    <n v="34224.870000000003"/>
    <x v="0"/>
    <x v="0"/>
    <n v="1"/>
  </r>
  <r>
    <s v="ORD-00261"/>
    <x v="17"/>
    <s v="Jeans"/>
    <s v="Clothing"/>
    <s v="WhatsApp"/>
    <s v="Rivers"/>
    <s v="New"/>
    <s v="None"/>
    <n v="1"/>
    <n v="42420"/>
    <n v="42420"/>
    <n v="0"/>
    <n v="0"/>
    <n v="42420"/>
    <n v="28340.12"/>
    <n v="14079.880000000001"/>
    <x v="0"/>
    <x v="0"/>
    <n v="1"/>
  </r>
  <r>
    <s v="ORD-00916"/>
    <x v="17"/>
    <s v="Dress"/>
    <s v="Clothing"/>
    <s v="Physical Store"/>
    <s v="Lagos"/>
    <s v="New"/>
    <s v="None"/>
    <n v="1"/>
    <n v="47579"/>
    <n v="47579"/>
    <n v="0"/>
    <n v="0"/>
    <n v="47579"/>
    <n v="31642.55"/>
    <n v="15936.45"/>
    <x v="0"/>
    <x v="0"/>
    <n v="1"/>
  </r>
  <r>
    <s v="ORD-00282"/>
    <x v="18"/>
    <s v="Dress"/>
    <s v="Clothing"/>
    <s v="Instagram"/>
    <s v="Rivers"/>
    <s v="New"/>
    <s v="None"/>
    <n v="1"/>
    <n v="48841"/>
    <n v="48841"/>
    <n v="2442.0500000000002"/>
    <n v="0.05"/>
    <n v="46398.95"/>
    <n v="25572.26"/>
    <n v="20826.689999999999"/>
    <x v="0"/>
    <x v="0"/>
    <n v="1"/>
  </r>
  <r>
    <s v="ORD-00033"/>
    <x v="19"/>
    <s v="Polo Shirt"/>
    <s v="Clothing"/>
    <s v="Website"/>
    <s v="Rivers"/>
    <s v="Returning"/>
    <s v="None"/>
    <n v="1"/>
    <n v="24775"/>
    <n v="24775"/>
    <n v="0"/>
    <n v="0"/>
    <n v="24775"/>
    <n v="12769.78"/>
    <n v="12005.22"/>
    <x v="0"/>
    <x v="0"/>
    <n v="1"/>
  </r>
  <r>
    <s v="ORD-00017"/>
    <x v="20"/>
    <s v="Hoodie"/>
    <s v="Clothing"/>
    <s v="Instagram"/>
    <s v="Lagos"/>
    <s v="Returning"/>
    <s v="None"/>
    <n v="1"/>
    <n v="39954"/>
    <n v="39954"/>
    <n v="0"/>
    <n v="0"/>
    <n v="39954"/>
    <n v="24534.84"/>
    <n v="15419.16"/>
    <x v="0"/>
    <x v="0"/>
    <n v="1"/>
  </r>
  <r>
    <s v="ORD-00358"/>
    <x v="21"/>
    <s v="Polo Shirt"/>
    <s v="Clothing"/>
    <s v="Physical Store"/>
    <s v="Lagos"/>
    <s v="New"/>
    <s v="None"/>
    <n v="2"/>
    <n v="23840"/>
    <n v="47680"/>
    <n v="0"/>
    <n v="0"/>
    <n v="47680"/>
    <n v="23126.7"/>
    <n v="24553.3"/>
    <x v="0"/>
    <x v="0"/>
    <n v="1"/>
  </r>
  <r>
    <s v="ORD-00834"/>
    <x v="21"/>
    <s v="Belt"/>
    <s v="Accessories"/>
    <s v="Physical Store"/>
    <s v="Abuja"/>
    <s v="New"/>
    <s v="None"/>
    <n v="3"/>
    <n v="16062"/>
    <n v="48186"/>
    <n v="0"/>
    <n v="0"/>
    <n v="48186"/>
    <n v="28793.01"/>
    <n v="19392.990000000002"/>
    <x v="0"/>
    <x v="0"/>
    <n v="1"/>
  </r>
  <r>
    <s v="ORD-00689"/>
    <x v="22"/>
    <s v="Cap"/>
    <s v="Accessories"/>
    <s v="WhatsApp"/>
    <s v="Abuja"/>
    <s v="New"/>
    <s v="None"/>
    <n v="2"/>
    <n v="12904"/>
    <n v="25808"/>
    <n v="1290.4000000000001"/>
    <n v="0.05"/>
    <n v="24517.599999999999"/>
    <n v="16832.150000000001"/>
    <n v="7685.4499999999971"/>
    <x v="0"/>
    <x v="0"/>
    <n v="1"/>
  </r>
  <r>
    <s v="ORD-00886"/>
    <x v="22"/>
    <s v="T-Shirt"/>
    <s v="Clothing"/>
    <s v="Website"/>
    <s v="Delta"/>
    <s v="Returning"/>
    <s v="None"/>
    <n v="5"/>
    <n v="17366"/>
    <n v="86830"/>
    <n v="0"/>
    <n v="0"/>
    <n v="86830"/>
    <n v="43627.58"/>
    <n v="43202.42"/>
    <x v="0"/>
    <x v="0"/>
    <n v="1"/>
  </r>
  <r>
    <s v="ORD-01052"/>
    <x v="22"/>
    <s v="Hoodie"/>
    <s v="Clothing"/>
    <s v="Website"/>
    <s v="Delta"/>
    <s v="Returning"/>
    <s v="None"/>
    <n v="1"/>
    <n v="40689"/>
    <n v="40689"/>
    <n v="0"/>
    <n v="0"/>
    <n v="40689"/>
    <n v="22062.93"/>
    <n v="18626.07"/>
    <x v="0"/>
    <x v="0"/>
    <n v="1"/>
  </r>
  <r>
    <s v="ORD-01007"/>
    <x v="23"/>
    <s v="Handbag"/>
    <s v="Accessories"/>
    <s v="Physical Store"/>
    <s v="Oyo"/>
    <s v="New"/>
    <s v="None"/>
    <n v="1"/>
    <n v="45081"/>
    <n v="45081"/>
    <n v="0"/>
    <n v="0"/>
    <n v="45081"/>
    <n v="29521.71"/>
    <n v="15559.29"/>
    <x v="0"/>
    <x v="0"/>
    <n v="1"/>
  </r>
  <r>
    <s v="ORD-00230"/>
    <x v="23"/>
    <s v="Jeans"/>
    <s v="Clothing"/>
    <s v="WhatsApp"/>
    <s v="Abuja"/>
    <s v="New"/>
    <s v="None"/>
    <n v="1"/>
    <n v="42993"/>
    <n v="42993"/>
    <n v="0"/>
    <n v="0"/>
    <n v="42993"/>
    <n v="23051.83"/>
    <n v="19941.169999999998"/>
    <x v="0"/>
    <x v="0"/>
    <n v="1"/>
  </r>
  <r>
    <s v="ORD-00665"/>
    <x v="24"/>
    <s v="Handbag"/>
    <s v="Accessories"/>
    <s v="Physical Store"/>
    <s v="Lagos"/>
    <s v="Returning"/>
    <s v="None"/>
    <n v="2"/>
    <n v="41843"/>
    <n v="83686"/>
    <n v="0"/>
    <n v="0"/>
    <n v="83686"/>
    <n v="55149.64"/>
    <n v="28536.36"/>
    <x v="0"/>
    <x v="0"/>
    <n v="1"/>
  </r>
  <r>
    <s v="ORD-00681"/>
    <x v="24"/>
    <s v="Dress"/>
    <s v="Clothing"/>
    <s v="WhatsApp"/>
    <s v="Lagos"/>
    <s v="Returning"/>
    <s v="None"/>
    <n v="3"/>
    <n v="51987"/>
    <n v="155961"/>
    <n v="0"/>
    <n v="0"/>
    <n v="155961"/>
    <n v="89177.56"/>
    <n v="66783.44"/>
    <x v="0"/>
    <x v="0"/>
    <n v="1"/>
  </r>
  <r>
    <s v="ORD-01123"/>
    <x v="25"/>
    <s v="Polo Shirt"/>
    <s v="Clothing"/>
    <s v="Instagram"/>
    <s v="Rivers"/>
    <s v="New"/>
    <s v="None"/>
    <n v="1"/>
    <n v="23063"/>
    <n v="23063"/>
    <n v="0"/>
    <n v="0"/>
    <n v="23063"/>
    <n v="13658.15"/>
    <n v="9404.85"/>
    <x v="0"/>
    <x v="0"/>
    <n v="1"/>
  </r>
  <r>
    <s v="ORD-00456"/>
    <x v="25"/>
    <s v="Polo Shirt"/>
    <s v="Clothing"/>
    <s v="Physical Store"/>
    <s v="Oyo"/>
    <s v="New"/>
    <s v="None"/>
    <n v="2"/>
    <n v="25639"/>
    <n v="51278"/>
    <n v="0"/>
    <n v="0"/>
    <n v="51278"/>
    <n v="25961.15"/>
    <n v="25316.85"/>
    <x v="0"/>
    <x v="0"/>
    <n v="1"/>
  </r>
  <r>
    <s v="ORD-00993"/>
    <x v="25"/>
    <s v="Hoodie"/>
    <s v="Clothing"/>
    <s v="Physical Store"/>
    <s v="Oyo"/>
    <s v="New"/>
    <s v="None"/>
    <n v="2"/>
    <n v="40120"/>
    <n v="80240"/>
    <n v="4012"/>
    <n v="0.05"/>
    <n v="76228"/>
    <n v="53553.98"/>
    <n v="22674.019999999997"/>
    <x v="0"/>
    <x v="0"/>
    <n v="1"/>
  </r>
  <r>
    <s v="ORD-01025"/>
    <x v="25"/>
    <s v="Polo Shirt"/>
    <s v="Clothing"/>
    <s v="Physical Store"/>
    <s v="Delta"/>
    <s v="Returning"/>
    <s v="None"/>
    <n v="3"/>
    <n v="23929"/>
    <n v="71787"/>
    <n v="7178.7"/>
    <n v="0.1"/>
    <n v="64608.3"/>
    <n v="46845.16"/>
    <n v="17763.14"/>
    <x v="0"/>
    <x v="0"/>
    <n v="1"/>
  </r>
  <r>
    <s v="ORD-00910"/>
    <x v="26"/>
    <s v="T-Shirt"/>
    <s v="Clothing"/>
    <s v="WhatsApp"/>
    <s v="Oyo"/>
    <s v="New"/>
    <s v="None"/>
    <n v="3"/>
    <n v="17057"/>
    <n v="51171"/>
    <n v="0"/>
    <n v="0"/>
    <n v="51171"/>
    <n v="29176.720000000001"/>
    <n v="21994.28"/>
    <x v="1"/>
    <x v="0"/>
    <n v="2"/>
  </r>
  <r>
    <s v="ORD-00696"/>
    <x v="27"/>
    <s v="T-Shirt"/>
    <s v="Clothing"/>
    <s v="WhatsApp"/>
    <s v="Lagos"/>
    <s v="New"/>
    <s v="None"/>
    <n v="2"/>
    <n v="17949"/>
    <n v="35898"/>
    <n v="0"/>
    <n v="0"/>
    <n v="35898"/>
    <n v="22745.61"/>
    <n v="13152.39"/>
    <x v="1"/>
    <x v="0"/>
    <n v="2"/>
  </r>
  <r>
    <s v="ORD-00566"/>
    <x v="27"/>
    <s v="Sandals"/>
    <s v="Footwear"/>
    <s v="Physical Store"/>
    <s v="Abuja"/>
    <s v="New"/>
    <s v="Valentine Promo"/>
    <n v="2"/>
    <n v="27700"/>
    <n v="55400"/>
    <n v="5540"/>
    <n v="0.1"/>
    <n v="49860"/>
    <n v="26951.95"/>
    <n v="22908.05"/>
    <x v="1"/>
    <x v="0"/>
    <n v="2"/>
  </r>
  <r>
    <s v="ORD-01002"/>
    <x v="27"/>
    <s v="Sandals"/>
    <s v="Footwear"/>
    <s v="Website"/>
    <s v="Rivers"/>
    <s v="Returning"/>
    <s v="Valentine Promo"/>
    <n v="4"/>
    <n v="30624"/>
    <n v="122496"/>
    <n v="12249.6"/>
    <n v="0.1"/>
    <n v="110246.39999999999"/>
    <n v="66069.45"/>
    <n v="44176.95"/>
    <x v="1"/>
    <x v="0"/>
    <n v="2"/>
  </r>
  <r>
    <s v="ORD-00048"/>
    <x v="28"/>
    <s v="T-Shirt"/>
    <s v="Clothing"/>
    <s v="Website"/>
    <s v="Lagos"/>
    <s v="New"/>
    <s v="Valentine Promo"/>
    <n v="2"/>
    <n v="18380"/>
    <n v="36760"/>
    <n v="3676"/>
    <n v="0.1"/>
    <n v="33084"/>
    <n v="18687.13"/>
    <n v="14396.869999999999"/>
    <x v="1"/>
    <x v="0"/>
    <n v="2"/>
  </r>
  <r>
    <s v="ORD-00384"/>
    <x v="28"/>
    <s v="Cap"/>
    <s v="Accessories"/>
    <s v="Instagram"/>
    <s v="Delta"/>
    <s v="New"/>
    <s v="Valentine Promo"/>
    <n v="1"/>
    <n v="11461"/>
    <n v="11461"/>
    <n v="1146.0999999999999"/>
    <n v="0.1"/>
    <n v="10314.9"/>
    <n v="7598.65"/>
    <n v="2716.25"/>
    <x v="1"/>
    <x v="0"/>
    <n v="2"/>
  </r>
  <r>
    <s v="ORD-00280"/>
    <x v="29"/>
    <s v="Cap"/>
    <s v="Accessories"/>
    <s v="Physical Store"/>
    <s v="Abuja"/>
    <s v="New"/>
    <s v="None"/>
    <n v="4"/>
    <n v="11642"/>
    <n v="46568"/>
    <n v="0"/>
    <n v="0"/>
    <n v="46568"/>
    <n v="24882.52"/>
    <n v="21685.48"/>
    <x v="1"/>
    <x v="0"/>
    <n v="2"/>
  </r>
  <r>
    <s v="ORD-01199"/>
    <x v="30"/>
    <s v="Cap"/>
    <s v="Accessories"/>
    <s v="Physical Store"/>
    <s v="Delta"/>
    <s v="Returning"/>
    <s v="Valentine Promo"/>
    <n v="2"/>
    <n v="12108"/>
    <n v="24216"/>
    <n v="2421.6"/>
    <n v="0.1"/>
    <n v="21794.400000000001"/>
    <n v="15782.9"/>
    <n v="6011.5000000000018"/>
    <x v="1"/>
    <x v="0"/>
    <n v="2"/>
  </r>
  <r>
    <s v="ORD-00409"/>
    <x v="30"/>
    <s v="T-Shirt"/>
    <s v="Clothing"/>
    <s v="Website"/>
    <s v="Lagos"/>
    <s v="New"/>
    <s v="Valentine Promo"/>
    <n v="2"/>
    <n v="17943"/>
    <n v="35886"/>
    <n v="5382.9"/>
    <n v="0.15"/>
    <n v="30503.1"/>
    <n v="18797.990000000002"/>
    <n v="11705.109999999997"/>
    <x v="1"/>
    <x v="0"/>
    <n v="2"/>
  </r>
  <r>
    <s v="ORD-00226"/>
    <x v="31"/>
    <s v="T-Shirt"/>
    <s v="Clothing"/>
    <s v="Physical Store"/>
    <s v="Rivers"/>
    <s v="Returning"/>
    <s v="Valentine Promo"/>
    <n v="2"/>
    <n v="19067"/>
    <n v="38134"/>
    <n v="3813.4"/>
    <n v="0.1"/>
    <n v="34320.6"/>
    <n v="22365.62"/>
    <n v="11954.98"/>
    <x v="1"/>
    <x v="0"/>
    <n v="2"/>
  </r>
  <r>
    <s v="ORD-01195"/>
    <x v="31"/>
    <s v="Polo Shirt"/>
    <s v="Clothing"/>
    <s v="Physical Store"/>
    <s v="Abuja"/>
    <s v="New"/>
    <s v="Valentine Promo"/>
    <n v="1"/>
    <n v="24805"/>
    <n v="24805"/>
    <n v="3720.75"/>
    <n v="0.15"/>
    <n v="21084.25"/>
    <n v="13200.27"/>
    <n v="7883.98"/>
    <x v="1"/>
    <x v="0"/>
    <n v="2"/>
  </r>
  <r>
    <s v="ORD-01107"/>
    <x v="32"/>
    <s v="Polo Shirt"/>
    <s v="Clothing"/>
    <s v="Instagram"/>
    <s v="Abuja"/>
    <s v="New"/>
    <s v="Valentine Promo"/>
    <n v="1"/>
    <n v="23338"/>
    <n v="23338"/>
    <n v="1166.9000000000001"/>
    <n v="0.05"/>
    <n v="22171.1"/>
    <n v="11720.14"/>
    <n v="10450.959999999999"/>
    <x v="1"/>
    <x v="0"/>
    <n v="2"/>
  </r>
  <r>
    <s v="ORD-00467"/>
    <x v="32"/>
    <s v="Jeans"/>
    <s v="Clothing"/>
    <s v="Instagram"/>
    <s v="Lagos"/>
    <s v="New"/>
    <s v="None"/>
    <n v="2"/>
    <n v="42125"/>
    <n v="84250"/>
    <n v="0"/>
    <n v="0"/>
    <n v="84250"/>
    <n v="44363.67"/>
    <n v="39886.33"/>
    <x v="1"/>
    <x v="0"/>
    <n v="2"/>
  </r>
  <r>
    <s v="ORD-01191"/>
    <x v="33"/>
    <s v="Polo Shirt"/>
    <s v="Clothing"/>
    <s v="WhatsApp"/>
    <s v="Lagos"/>
    <s v="Returning"/>
    <s v="Valentine Promo"/>
    <n v="1"/>
    <n v="26419"/>
    <n v="26419"/>
    <n v="3962.85"/>
    <n v="0.15"/>
    <n v="22456.15"/>
    <n v="14409.94"/>
    <n v="8046.2100000000009"/>
    <x v="1"/>
    <x v="0"/>
    <n v="2"/>
  </r>
  <r>
    <s v="ORD-00087"/>
    <x v="34"/>
    <s v="Hoodie"/>
    <s v="Clothing"/>
    <s v="Physical Store"/>
    <s v="Abuja"/>
    <s v="New"/>
    <s v="Valentine Promo"/>
    <n v="2"/>
    <n v="36301"/>
    <n v="72602"/>
    <n v="3630.1"/>
    <n v="0.05"/>
    <n v="68971.899999999994"/>
    <n v="45531.08"/>
    <n v="23440.819999999992"/>
    <x v="1"/>
    <x v="0"/>
    <n v="2"/>
  </r>
  <r>
    <s v="ORD-00513"/>
    <x v="34"/>
    <s v="Cap"/>
    <s v="Accessories"/>
    <s v="Instagram"/>
    <s v="Lagos"/>
    <s v="Returning"/>
    <s v="Valentine Promo"/>
    <n v="3"/>
    <n v="11447"/>
    <n v="34341"/>
    <n v="5151.1499999999996"/>
    <n v="0.15"/>
    <n v="29189.85"/>
    <n v="18415.599999999999"/>
    <n v="10774.25"/>
    <x v="1"/>
    <x v="0"/>
    <n v="2"/>
  </r>
  <r>
    <s v="ORD-01000"/>
    <x v="34"/>
    <s v="T-Shirt"/>
    <s v="Clothing"/>
    <s v="Instagram"/>
    <s v="Rivers"/>
    <s v="Returning"/>
    <s v="Valentine Promo"/>
    <n v="1"/>
    <n v="18125"/>
    <n v="18125"/>
    <n v="1812.5"/>
    <n v="0.1"/>
    <n v="16312.5"/>
    <n v="9161.44"/>
    <n v="7151.0599999999995"/>
    <x v="1"/>
    <x v="0"/>
    <n v="2"/>
  </r>
  <r>
    <s v="ORD-00999"/>
    <x v="35"/>
    <s v="Sandals"/>
    <s v="Footwear"/>
    <s v="Instagram"/>
    <s v="Lagos"/>
    <s v="New"/>
    <s v="Valentine Promo"/>
    <n v="2"/>
    <n v="30539"/>
    <n v="61078"/>
    <n v="3053.9"/>
    <n v="0.05"/>
    <n v="58024.1"/>
    <n v="38690.199999999997"/>
    <n v="19333.900000000001"/>
    <x v="1"/>
    <x v="0"/>
    <n v="2"/>
  </r>
  <r>
    <s v="ORD-01051"/>
    <x v="35"/>
    <s v="T-Shirt"/>
    <s v="Clothing"/>
    <s v="WhatsApp"/>
    <s v="Lagos"/>
    <s v="New"/>
    <s v="Valentine Promo"/>
    <n v="2"/>
    <n v="18860"/>
    <n v="37720"/>
    <n v="5658"/>
    <n v="0.15"/>
    <n v="32062"/>
    <n v="22696.16"/>
    <n v="9365.84"/>
    <x v="1"/>
    <x v="0"/>
    <n v="2"/>
  </r>
  <r>
    <s v="ORD-00617"/>
    <x v="36"/>
    <s v="Sneakers"/>
    <s v="Footwear"/>
    <s v="WhatsApp"/>
    <s v="Oyo"/>
    <s v="New"/>
    <s v="None"/>
    <n v="2"/>
    <n v="67308"/>
    <n v="134616"/>
    <n v="0"/>
    <n v="0"/>
    <n v="134616"/>
    <n v="82225.539999999994"/>
    <n v="52390.460000000006"/>
    <x v="1"/>
    <x v="0"/>
    <n v="2"/>
  </r>
  <r>
    <s v="ORD-01075"/>
    <x v="37"/>
    <s v="Handbag"/>
    <s v="Accessories"/>
    <s v="WhatsApp"/>
    <s v="Rivers"/>
    <s v="New"/>
    <s v="None"/>
    <n v="2"/>
    <n v="45330"/>
    <n v="90660"/>
    <n v="4533"/>
    <n v="0.05"/>
    <n v="86127"/>
    <n v="48065.98"/>
    <n v="38061.019999999997"/>
    <x v="1"/>
    <x v="0"/>
    <n v="2"/>
  </r>
  <r>
    <s v="ORD-00645"/>
    <x v="37"/>
    <s v="Handbag"/>
    <s v="Accessories"/>
    <s v="WhatsApp"/>
    <s v="Lagos"/>
    <s v="New"/>
    <s v="Valentine Promo"/>
    <n v="1"/>
    <n v="45978"/>
    <n v="45978"/>
    <n v="6896.7"/>
    <n v="0.15"/>
    <n v="39081.300000000003"/>
    <n v="22830.27"/>
    <n v="16251.030000000002"/>
    <x v="1"/>
    <x v="0"/>
    <n v="2"/>
  </r>
  <r>
    <s v="ORD-00494"/>
    <x v="37"/>
    <s v="Hoodie"/>
    <s v="Clothing"/>
    <s v="Website"/>
    <s v="Lagos"/>
    <s v="Returning"/>
    <s v="None"/>
    <n v="2"/>
    <n v="36283"/>
    <n v="72566"/>
    <n v="0"/>
    <n v="0"/>
    <n v="72566"/>
    <n v="43154.01"/>
    <n v="29411.989999999998"/>
    <x v="1"/>
    <x v="0"/>
    <n v="2"/>
  </r>
  <r>
    <s v="ORD-00821"/>
    <x v="37"/>
    <s v="Belt"/>
    <s v="Accessories"/>
    <s v="Website"/>
    <s v="Lagos"/>
    <s v="New"/>
    <s v="Valentine Promo"/>
    <n v="2"/>
    <n v="15866"/>
    <n v="31732"/>
    <n v="4759.8"/>
    <n v="0.15"/>
    <n v="26972.2"/>
    <n v="15312.32"/>
    <n v="11659.880000000001"/>
    <x v="1"/>
    <x v="0"/>
    <n v="2"/>
  </r>
  <r>
    <s v="ORD-00313"/>
    <x v="37"/>
    <s v="Belt"/>
    <s v="Accessories"/>
    <s v="WhatsApp"/>
    <s v="Abuja"/>
    <s v="Returning"/>
    <s v="Valentine Promo"/>
    <n v="3"/>
    <n v="15935"/>
    <n v="47805"/>
    <n v="2390.25"/>
    <n v="0.05"/>
    <n v="45414.75"/>
    <n v="25757.98"/>
    <n v="19656.77"/>
    <x v="1"/>
    <x v="0"/>
    <n v="2"/>
  </r>
  <r>
    <s v="ORD-00652"/>
    <x v="38"/>
    <s v="T-Shirt"/>
    <s v="Clothing"/>
    <s v="Physical Store"/>
    <s v="Lagos"/>
    <s v="Returning"/>
    <s v="Valentine Promo"/>
    <n v="1"/>
    <n v="17956"/>
    <n v="17956"/>
    <n v="1795.6"/>
    <n v="0.1"/>
    <n v="16160.4"/>
    <n v="9770.6200000000008"/>
    <n v="6389.7799999999988"/>
    <x v="1"/>
    <x v="0"/>
    <n v="2"/>
  </r>
  <r>
    <s v="ORD-00292"/>
    <x v="39"/>
    <s v="Jeans"/>
    <s v="Clothing"/>
    <s v="Website"/>
    <s v="Rivers"/>
    <s v="Returning"/>
    <s v="Valentine Promo"/>
    <n v="1"/>
    <n v="44683"/>
    <n v="44683"/>
    <n v="4468.3"/>
    <n v="0.1"/>
    <n v="40214.699999999997"/>
    <n v="25416.720000000001"/>
    <n v="14797.979999999996"/>
    <x v="1"/>
    <x v="0"/>
    <n v="2"/>
  </r>
  <r>
    <s v="ORD-00855"/>
    <x v="39"/>
    <s v="Sneakers"/>
    <s v="Footwear"/>
    <s v="Physical Store"/>
    <s v="Abuja"/>
    <s v="Returning"/>
    <s v="None"/>
    <n v="1"/>
    <n v="64042"/>
    <n v="64042"/>
    <n v="3202.1"/>
    <n v="0.05"/>
    <n v="60839.9"/>
    <n v="39400.449999999997"/>
    <n v="21439.450000000004"/>
    <x v="1"/>
    <x v="0"/>
    <n v="2"/>
  </r>
  <r>
    <s v="ORD-00560"/>
    <x v="39"/>
    <s v="Sneakers"/>
    <s v="Footwear"/>
    <s v="Physical Store"/>
    <s v="Delta"/>
    <s v="New"/>
    <s v="Valentine Promo"/>
    <n v="1"/>
    <n v="66514"/>
    <n v="66514"/>
    <n v="9977.1"/>
    <n v="0.15"/>
    <n v="56536.9"/>
    <n v="41676.04"/>
    <n v="14860.86"/>
    <x v="1"/>
    <x v="0"/>
    <n v="2"/>
  </r>
  <r>
    <s v="ORD-00614"/>
    <x v="40"/>
    <s v="Jeans"/>
    <s v="Clothing"/>
    <s v="Instagram"/>
    <s v="Oyo"/>
    <s v="Returning"/>
    <s v="Valentine Promo"/>
    <n v="1"/>
    <n v="44026"/>
    <n v="44026"/>
    <n v="2201.3000000000002"/>
    <n v="0.05"/>
    <n v="41824.699999999997"/>
    <n v="25372.97"/>
    <n v="16451.729999999996"/>
    <x v="1"/>
    <x v="0"/>
    <n v="2"/>
  </r>
  <r>
    <s v="ORD-01168"/>
    <x v="41"/>
    <s v="Sneakers"/>
    <s v="Footwear"/>
    <s v="Website"/>
    <s v="Oyo"/>
    <s v="Returning"/>
    <s v="Valentine Promo"/>
    <n v="1"/>
    <n v="68491"/>
    <n v="68491"/>
    <n v="10273.65"/>
    <n v="0.15"/>
    <n v="58217.35"/>
    <n v="33363.410000000003"/>
    <n v="24853.939999999995"/>
    <x v="1"/>
    <x v="0"/>
    <n v="2"/>
  </r>
  <r>
    <s v="ORD-00200"/>
    <x v="41"/>
    <s v="Hoodie"/>
    <s v="Clothing"/>
    <s v="Physical Store"/>
    <s v="Rivers"/>
    <s v="New"/>
    <s v="None"/>
    <n v="2"/>
    <n v="38759"/>
    <n v="77518"/>
    <n v="7751.8"/>
    <n v="0.1"/>
    <n v="69766.2"/>
    <n v="50120.51"/>
    <n v="19645.689999999995"/>
    <x v="1"/>
    <x v="0"/>
    <n v="2"/>
  </r>
  <r>
    <s v="ORD-00932"/>
    <x v="42"/>
    <s v="Cap"/>
    <s v="Accessories"/>
    <s v="Instagram"/>
    <s v="Delta"/>
    <s v="Returning"/>
    <s v="Valentine Promo"/>
    <n v="2"/>
    <n v="11075"/>
    <n v="22150"/>
    <n v="2215"/>
    <n v="0.1"/>
    <n v="19935"/>
    <n v="13973.24"/>
    <n v="5961.76"/>
    <x v="1"/>
    <x v="0"/>
    <n v="2"/>
  </r>
  <r>
    <s v="ORD-01033"/>
    <x v="42"/>
    <s v="Sneakers"/>
    <s v="Footwear"/>
    <s v="Physical Store"/>
    <s v="Lagos"/>
    <s v="Returning"/>
    <s v="Valentine Promo"/>
    <n v="4"/>
    <n v="60924"/>
    <n v="243696"/>
    <n v="24369.599999999999"/>
    <n v="0.1"/>
    <n v="219326.4"/>
    <n v="121156.43"/>
    <n v="98169.97"/>
    <x v="1"/>
    <x v="0"/>
    <n v="2"/>
  </r>
  <r>
    <s v="ORD-00927"/>
    <x v="42"/>
    <s v="Sandals"/>
    <s v="Footwear"/>
    <s v="WhatsApp"/>
    <s v="Abuja"/>
    <s v="New"/>
    <s v="Valentine Promo"/>
    <n v="2"/>
    <n v="30285"/>
    <n v="60570"/>
    <n v="6057"/>
    <n v="0.1"/>
    <n v="54513"/>
    <n v="40925.03"/>
    <n v="13587.970000000001"/>
    <x v="1"/>
    <x v="0"/>
    <n v="2"/>
  </r>
  <r>
    <s v="ORD-00661"/>
    <x v="43"/>
    <s v="Jeans"/>
    <s v="Clothing"/>
    <s v="Physical Store"/>
    <s v="Rivers"/>
    <s v="New"/>
    <s v="Valentine Promo"/>
    <n v="5"/>
    <n v="43201"/>
    <n v="216005"/>
    <n v="10800.25"/>
    <n v="0.05"/>
    <n v="205204.75"/>
    <n v="134645.35999999999"/>
    <n v="70559.390000000014"/>
    <x v="1"/>
    <x v="0"/>
    <n v="2"/>
  </r>
  <r>
    <s v="ORD-00485"/>
    <x v="44"/>
    <s v="Sandals"/>
    <s v="Footwear"/>
    <s v="Physical Store"/>
    <s v="Lagos"/>
    <s v="Returning"/>
    <s v="None"/>
    <n v="2"/>
    <n v="32161"/>
    <n v="64322"/>
    <n v="0"/>
    <n v="0"/>
    <n v="64322"/>
    <n v="31121.14"/>
    <n v="33200.86"/>
    <x v="1"/>
    <x v="0"/>
    <n v="2"/>
  </r>
  <r>
    <s v="ORD-00981"/>
    <x v="45"/>
    <s v="Hoodie"/>
    <s v="Clothing"/>
    <s v="Physical Store"/>
    <s v="Rivers"/>
    <s v="New"/>
    <s v="None"/>
    <n v="2"/>
    <n v="41024"/>
    <n v="82048"/>
    <n v="0"/>
    <n v="0"/>
    <n v="82048"/>
    <n v="42310.48"/>
    <n v="39737.519999999997"/>
    <x v="1"/>
    <x v="0"/>
    <n v="2"/>
  </r>
  <r>
    <s v="ORD-00629"/>
    <x v="46"/>
    <s v="Sneakers"/>
    <s v="Footwear"/>
    <s v="WhatsApp"/>
    <s v="Lagos"/>
    <s v="Returning"/>
    <s v="None"/>
    <n v="1"/>
    <n v="60614"/>
    <n v="60614"/>
    <n v="0"/>
    <n v="0"/>
    <n v="60614"/>
    <n v="38611.199999999997"/>
    <n v="22002.800000000003"/>
    <x v="2"/>
    <x v="0"/>
    <n v="3"/>
  </r>
  <r>
    <s v="ORD-01151"/>
    <x v="46"/>
    <s v="Belt"/>
    <s v="Accessories"/>
    <s v="Website"/>
    <s v="Oyo"/>
    <s v="New"/>
    <s v="Easter Sale"/>
    <n v="2"/>
    <n v="14179"/>
    <n v="28358"/>
    <n v="4253.7"/>
    <n v="0.15"/>
    <n v="24104.3"/>
    <n v="16150.12"/>
    <n v="7954.1799999999985"/>
    <x v="2"/>
    <x v="0"/>
    <n v="3"/>
  </r>
  <r>
    <s v="ORD-01049"/>
    <x v="46"/>
    <s v="Polo Shirt"/>
    <s v="Clothing"/>
    <s v="Instagram"/>
    <s v="Abuja"/>
    <s v="Returning"/>
    <s v="None"/>
    <n v="1"/>
    <n v="26696"/>
    <n v="26696"/>
    <n v="0"/>
    <n v="0"/>
    <n v="26696"/>
    <n v="17786.3"/>
    <n v="8909.7000000000007"/>
    <x v="2"/>
    <x v="0"/>
    <n v="3"/>
  </r>
  <r>
    <s v="ORD-00414"/>
    <x v="47"/>
    <s v="Sandals"/>
    <s v="Footwear"/>
    <s v="Website"/>
    <s v="Oyo"/>
    <s v="Returning"/>
    <s v="Easter Sale"/>
    <n v="1"/>
    <n v="30402"/>
    <n v="30402"/>
    <n v="3040.2"/>
    <n v="0.1"/>
    <n v="27361.8"/>
    <n v="19769.849999999999"/>
    <n v="7591.9500000000007"/>
    <x v="2"/>
    <x v="0"/>
    <n v="3"/>
  </r>
  <r>
    <s v="ORD-01176"/>
    <x v="47"/>
    <s v="Handbag"/>
    <s v="Accessories"/>
    <s v="WhatsApp"/>
    <s v="Delta"/>
    <s v="Returning"/>
    <s v="None"/>
    <n v="3"/>
    <n v="45873"/>
    <n v="137619"/>
    <n v="0"/>
    <n v="0"/>
    <n v="137619"/>
    <n v="89781.1"/>
    <n v="47837.899999999994"/>
    <x v="2"/>
    <x v="0"/>
    <n v="3"/>
  </r>
  <r>
    <s v="ORD-00890"/>
    <x v="48"/>
    <s v="Jeans"/>
    <s v="Clothing"/>
    <s v="Website"/>
    <s v="Abuja"/>
    <s v="New"/>
    <s v="Easter Sale"/>
    <n v="3"/>
    <n v="39910"/>
    <n v="119730"/>
    <n v="17959.5"/>
    <n v="0.15"/>
    <n v="101770.5"/>
    <n v="74719.25"/>
    <n v="27051.25"/>
    <x v="2"/>
    <x v="0"/>
    <n v="3"/>
  </r>
  <r>
    <s v="ORD-00540"/>
    <x v="48"/>
    <s v="T-Shirt"/>
    <s v="Clothing"/>
    <s v="Website"/>
    <s v="Lagos"/>
    <s v="New"/>
    <s v="Easter Sale"/>
    <n v="1"/>
    <n v="17133"/>
    <n v="17133"/>
    <n v="856.65"/>
    <n v="0.05"/>
    <n v="16276.35"/>
    <n v="8231.32"/>
    <n v="8045.0300000000007"/>
    <x v="2"/>
    <x v="0"/>
    <n v="3"/>
  </r>
  <r>
    <s v="ORD-00076"/>
    <x v="49"/>
    <s v="Sandals"/>
    <s v="Footwear"/>
    <s v="Website"/>
    <s v="Delta"/>
    <s v="Returning"/>
    <s v="None"/>
    <n v="1"/>
    <n v="30822"/>
    <n v="30822"/>
    <n v="0"/>
    <n v="0"/>
    <n v="30822"/>
    <n v="20214.72"/>
    <n v="10607.279999999999"/>
    <x v="2"/>
    <x v="0"/>
    <n v="3"/>
  </r>
  <r>
    <s v="ORD-00690"/>
    <x v="50"/>
    <s v="Sneakers"/>
    <s v="Footwear"/>
    <s v="Website"/>
    <s v="Oyo"/>
    <s v="New"/>
    <s v="None"/>
    <n v="1"/>
    <n v="64023"/>
    <n v="64023"/>
    <n v="0"/>
    <n v="0"/>
    <n v="64023"/>
    <n v="38117.800000000003"/>
    <n v="25905.199999999997"/>
    <x v="2"/>
    <x v="0"/>
    <n v="3"/>
  </r>
  <r>
    <s v="ORD-00612"/>
    <x v="51"/>
    <s v="Sneakers"/>
    <s v="Footwear"/>
    <s v="Instagram"/>
    <s v="Lagos"/>
    <s v="New"/>
    <s v="None"/>
    <n v="1"/>
    <n v="67123"/>
    <n v="67123"/>
    <n v="0"/>
    <n v="0"/>
    <n v="67123"/>
    <n v="32350.32"/>
    <n v="34772.68"/>
    <x v="2"/>
    <x v="0"/>
    <n v="3"/>
  </r>
  <r>
    <s v="ORD-01038"/>
    <x v="51"/>
    <s v="Handbag"/>
    <s v="Accessories"/>
    <s v="Physical Store"/>
    <s v="Abuja"/>
    <s v="New"/>
    <s v="Easter Sale"/>
    <n v="2"/>
    <n v="42506"/>
    <n v="85012"/>
    <n v="17002.400000000001"/>
    <n v="0.2"/>
    <n v="68009.600000000006"/>
    <n v="48178.1"/>
    <n v="19831.500000000007"/>
    <x v="2"/>
    <x v="0"/>
    <n v="3"/>
  </r>
  <r>
    <s v="ORD-00829"/>
    <x v="51"/>
    <s v="Polo Shirt"/>
    <s v="Clothing"/>
    <s v="Physical Store"/>
    <s v="Lagos"/>
    <s v="Returning"/>
    <s v="Easter Sale"/>
    <n v="1"/>
    <n v="24560"/>
    <n v="24560"/>
    <n v="2456"/>
    <n v="0.1"/>
    <n v="22104"/>
    <n v="16353.33"/>
    <n v="5750.67"/>
    <x v="2"/>
    <x v="0"/>
    <n v="3"/>
  </r>
  <r>
    <s v="ORD-01045"/>
    <x v="52"/>
    <s v="Sandals"/>
    <s v="Footwear"/>
    <s v="Instagram"/>
    <s v="Lagos"/>
    <s v="Returning"/>
    <s v="Easter Sale"/>
    <n v="4"/>
    <n v="29121"/>
    <n v="116484"/>
    <n v="17472.599999999999"/>
    <n v="0.15"/>
    <n v="99011.4"/>
    <n v="61801.96"/>
    <n v="37209.439999999995"/>
    <x v="2"/>
    <x v="0"/>
    <n v="3"/>
  </r>
  <r>
    <s v="ORD-00996"/>
    <x v="53"/>
    <s v="Cap"/>
    <s v="Accessories"/>
    <s v="WhatsApp"/>
    <s v="Rivers"/>
    <s v="New"/>
    <s v="Easter Sale"/>
    <n v="3"/>
    <n v="12381"/>
    <n v="37143"/>
    <n v="1857.15"/>
    <n v="0.05"/>
    <n v="35285.85"/>
    <n v="20280.91"/>
    <n v="15004.939999999999"/>
    <x v="2"/>
    <x v="0"/>
    <n v="3"/>
  </r>
  <r>
    <s v="ORD-00722"/>
    <x v="53"/>
    <s v="Sandals"/>
    <s v="Footwear"/>
    <s v="Website"/>
    <s v="Delta"/>
    <s v="New"/>
    <s v="None"/>
    <n v="4"/>
    <n v="28410"/>
    <n v="113640"/>
    <n v="0"/>
    <n v="0"/>
    <n v="113640"/>
    <n v="72030.73"/>
    <n v="41609.270000000004"/>
    <x v="2"/>
    <x v="0"/>
    <n v="3"/>
  </r>
  <r>
    <s v="ORD-00587"/>
    <x v="53"/>
    <s v="Cap"/>
    <s v="Accessories"/>
    <s v="Instagram"/>
    <s v="Rivers"/>
    <s v="New"/>
    <s v="None"/>
    <n v="3"/>
    <n v="11828"/>
    <n v="35484"/>
    <n v="5322.6"/>
    <n v="0.15"/>
    <n v="30161.4"/>
    <n v="23392.87"/>
    <n v="6768.5300000000025"/>
    <x v="2"/>
    <x v="0"/>
    <n v="3"/>
  </r>
  <r>
    <s v="ORD-00875"/>
    <x v="53"/>
    <s v="Jeans"/>
    <s v="Clothing"/>
    <s v="WhatsApp"/>
    <s v="Oyo"/>
    <s v="New"/>
    <s v="None"/>
    <n v="2"/>
    <n v="44438"/>
    <n v="88876"/>
    <n v="0"/>
    <n v="0"/>
    <n v="88876"/>
    <n v="56489.31"/>
    <n v="32386.690000000002"/>
    <x v="2"/>
    <x v="0"/>
    <n v="3"/>
  </r>
  <r>
    <s v="ORD-00423"/>
    <x v="54"/>
    <s v="Belt"/>
    <s v="Accessories"/>
    <s v="Physical Store"/>
    <s v="Abuja"/>
    <s v="Returning"/>
    <s v="Easter Sale"/>
    <n v="1"/>
    <n v="14707"/>
    <n v="14707"/>
    <n v="2206.0500000000002"/>
    <n v="0.15"/>
    <n v="12500.95"/>
    <n v="8430.7999999999993"/>
    <n v="4070.1500000000015"/>
    <x v="2"/>
    <x v="0"/>
    <n v="3"/>
  </r>
  <r>
    <s v="ORD-00775"/>
    <x v="55"/>
    <s v="Jeans"/>
    <s v="Clothing"/>
    <s v="Physical Store"/>
    <s v="Lagos"/>
    <s v="Returning"/>
    <s v="Easter Sale"/>
    <n v="3"/>
    <n v="40429"/>
    <n v="121287"/>
    <n v="6064.35"/>
    <n v="0.05"/>
    <n v="115222.65"/>
    <n v="68404.38"/>
    <n v="46818.26999999999"/>
    <x v="2"/>
    <x v="0"/>
    <n v="3"/>
  </r>
  <r>
    <s v="ORD-00666"/>
    <x v="55"/>
    <s v="Sandals"/>
    <s v="Footwear"/>
    <s v="Physical Store"/>
    <s v="Lagos"/>
    <s v="Returning"/>
    <s v="Easter Sale"/>
    <n v="2"/>
    <n v="30408"/>
    <n v="60816"/>
    <n v="6081.6"/>
    <n v="0.1"/>
    <n v="54734.400000000001"/>
    <n v="35220.870000000003"/>
    <n v="19513.53"/>
    <x v="2"/>
    <x v="0"/>
    <n v="3"/>
  </r>
  <r>
    <s v="ORD-00490"/>
    <x v="56"/>
    <s v="Hoodie"/>
    <s v="Clothing"/>
    <s v="Website"/>
    <s v="Abuja"/>
    <s v="New"/>
    <s v="Easter Sale"/>
    <n v="3"/>
    <n v="38453"/>
    <n v="115359"/>
    <n v="11535.9"/>
    <n v="0.1"/>
    <n v="103823.1"/>
    <n v="67214.16"/>
    <n v="36608.94"/>
    <x v="2"/>
    <x v="0"/>
    <n v="3"/>
  </r>
  <r>
    <s v="ORD-00604"/>
    <x v="57"/>
    <s v="T-Shirt"/>
    <s v="Clothing"/>
    <s v="Physical Store"/>
    <s v="Lagos"/>
    <s v="New"/>
    <s v="Easter Sale"/>
    <n v="2"/>
    <n v="18863"/>
    <n v="37726"/>
    <n v="3772.6"/>
    <n v="0.1"/>
    <n v="33953.4"/>
    <n v="21325.14"/>
    <n v="12628.260000000002"/>
    <x v="2"/>
    <x v="0"/>
    <n v="3"/>
  </r>
  <r>
    <s v="ORD-00962"/>
    <x v="58"/>
    <s v="Jeans"/>
    <s v="Clothing"/>
    <s v="WhatsApp"/>
    <s v="Oyo"/>
    <s v="New"/>
    <s v="Easter Sale"/>
    <n v="2"/>
    <n v="38764"/>
    <n v="77528"/>
    <n v="7752.8"/>
    <n v="0.1"/>
    <n v="69775.199999999997"/>
    <n v="40731.67"/>
    <n v="29043.53"/>
    <x v="2"/>
    <x v="0"/>
    <n v="3"/>
  </r>
  <r>
    <s v="ORD-00557"/>
    <x v="59"/>
    <s v="Belt"/>
    <s v="Accessories"/>
    <s v="Physical Store"/>
    <s v="Rivers"/>
    <s v="New"/>
    <s v="None"/>
    <n v="1"/>
    <n v="16009"/>
    <n v="16009"/>
    <n v="0"/>
    <n v="0"/>
    <n v="16009"/>
    <n v="9415.06"/>
    <n v="6593.9400000000005"/>
    <x v="2"/>
    <x v="0"/>
    <n v="3"/>
  </r>
  <r>
    <s v="ORD-00684"/>
    <x v="60"/>
    <s v="Belt"/>
    <s v="Accessories"/>
    <s v="WhatsApp"/>
    <s v="Lagos"/>
    <s v="Returning"/>
    <s v="Easter Sale"/>
    <n v="5"/>
    <n v="15496"/>
    <n v="77480"/>
    <n v="11622"/>
    <n v="0.15"/>
    <n v="65858"/>
    <n v="43576.25"/>
    <n v="22281.75"/>
    <x v="2"/>
    <x v="0"/>
    <n v="3"/>
  </r>
  <r>
    <s v="ORD-00931"/>
    <x v="61"/>
    <s v="Polo Shirt"/>
    <s v="Clothing"/>
    <s v="Physical Store"/>
    <s v="Lagos"/>
    <s v="Returning"/>
    <s v="None"/>
    <n v="3"/>
    <n v="24492"/>
    <n v="73476"/>
    <n v="3673.8"/>
    <n v="0.05"/>
    <n v="69802.2"/>
    <n v="43474.05"/>
    <n v="26328.149999999994"/>
    <x v="2"/>
    <x v="0"/>
    <n v="3"/>
  </r>
  <r>
    <s v="ORD-00007"/>
    <x v="62"/>
    <s v="Dress"/>
    <s v="Clothing"/>
    <s v="Website"/>
    <s v="Oyo"/>
    <s v="Returning"/>
    <s v="None"/>
    <n v="2"/>
    <n v="50755"/>
    <n v="101510"/>
    <n v="0"/>
    <n v="0"/>
    <n v="101510"/>
    <n v="50057.14"/>
    <n v="51452.86"/>
    <x v="2"/>
    <x v="0"/>
    <n v="3"/>
  </r>
  <r>
    <s v="ORD-00780"/>
    <x v="63"/>
    <s v="Hoodie"/>
    <s v="Clothing"/>
    <s v="Website"/>
    <s v="Oyo"/>
    <s v="Returning"/>
    <s v="Easter Sale"/>
    <n v="2"/>
    <n v="40773"/>
    <n v="81546"/>
    <n v="12231.9"/>
    <n v="0.15"/>
    <n v="69314.100000000006"/>
    <n v="43185.66"/>
    <n v="26128.440000000002"/>
    <x v="2"/>
    <x v="0"/>
    <n v="3"/>
  </r>
  <r>
    <s v="ORD-00508"/>
    <x v="64"/>
    <s v="Handbag"/>
    <s v="Accessories"/>
    <s v="Physical Store"/>
    <s v="Abuja"/>
    <s v="New"/>
    <s v="Easter Sale"/>
    <n v="4"/>
    <n v="41405"/>
    <n v="165620"/>
    <n v="33124"/>
    <n v="0.2"/>
    <n v="132496"/>
    <n v="103323.71"/>
    <n v="29172.289999999994"/>
    <x v="2"/>
    <x v="0"/>
    <n v="3"/>
  </r>
  <r>
    <s v="ORD-00744"/>
    <x v="64"/>
    <s v="Cap"/>
    <s v="Accessories"/>
    <s v="Physical Store"/>
    <s v="Rivers"/>
    <s v="New"/>
    <s v="None"/>
    <n v="1"/>
    <n v="12222"/>
    <n v="12222"/>
    <n v="0"/>
    <n v="0"/>
    <n v="12222"/>
    <n v="6854.46"/>
    <n v="5367.54"/>
    <x v="2"/>
    <x v="0"/>
    <n v="3"/>
  </r>
  <r>
    <s v="ORD-00387"/>
    <x v="64"/>
    <s v="Belt"/>
    <s v="Accessories"/>
    <s v="Website"/>
    <s v="Abuja"/>
    <s v="Returning"/>
    <s v="Easter Sale"/>
    <n v="2"/>
    <n v="15021"/>
    <n v="30042"/>
    <n v="4506.3"/>
    <n v="0.15"/>
    <n v="25535.7"/>
    <n v="19623.650000000001"/>
    <n v="5912.0499999999993"/>
    <x v="2"/>
    <x v="0"/>
    <n v="3"/>
  </r>
  <r>
    <s v="ORD-00465"/>
    <x v="65"/>
    <s v="Cap"/>
    <s v="Accessories"/>
    <s v="Physical Store"/>
    <s v="Lagos"/>
    <s v="New"/>
    <s v="None"/>
    <n v="2"/>
    <n v="12695"/>
    <n v="25390"/>
    <n v="0"/>
    <n v="0"/>
    <n v="25390"/>
    <n v="17183.48"/>
    <n v="8206.52"/>
    <x v="2"/>
    <x v="0"/>
    <n v="3"/>
  </r>
  <r>
    <s v="ORD-00044"/>
    <x v="66"/>
    <s v="Handbag"/>
    <s v="Accessories"/>
    <s v="Physical Store"/>
    <s v="Rivers"/>
    <s v="New"/>
    <s v="None"/>
    <n v="1"/>
    <n v="44881"/>
    <n v="44881"/>
    <n v="0"/>
    <n v="0"/>
    <n v="44881"/>
    <n v="26481.82"/>
    <n v="18399.18"/>
    <x v="3"/>
    <x v="0"/>
    <n v="4"/>
  </r>
  <r>
    <s v="ORD-00627"/>
    <x v="67"/>
    <s v="Cap"/>
    <s v="Accessories"/>
    <s v="WhatsApp"/>
    <s v="Lagos"/>
    <s v="Returning"/>
    <s v="Easter Sale"/>
    <n v="3"/>
    <n v="12688"/>
    <n v="38064"/>
    <n v="3806.4"/>
    <n v="0.1"/>
    <n v="34257.599999999999"/>
    <n v="21329.65"/>
    <n v="12927.949999999997"/>
    <x v="3"/>
    <x v="0"/>
    <n v="4"/>
  </r>
  <r>
    <s v="ORD-00347"/>
    <x v="68"/>
    <s v="Sandals"/>
    <s v="Footwear"/>
    <s v="Physical Store"/>
    <s v="Abuja"/>
    <s v="New"/>
    <s v="None"/>
    <n v="1"/>
    <n v="27897"/>
    <n v="27897"/>
    <n v="0"/>
    <n v="0"/>
    <n v="27897"/>
    <n v="16592.39"/>
    <n v="11304.61"/>
    <x v="3"/>
    <x v="0"/>
    <n v="4"/>
  </r>
  <r>
    <s v="ORD-00825"/>
    <x v="69"/>
    <s v="Cap"/>
    <s v="Accessories"/>
    <s v="Physical Store"/>
    <s v="Lagos"/>
    <s v="Returning"/>
    <s v="None"/>
    <n v="1"/>
    <n v="11689"/>
    <n v="11689"/>
    <n v="0"/>
    <n v="0"/>
    <n v="11689"/>
    <n v="6460.65"/>
    <n v="5228.3500000000004"/>
    <x v="3"/>
    <x v="0"/>
    <n v="4"/>
  </r>
  <r>
    <s v="ORD-00621"/>
    <x v="69"/>
    <s v="T-Shirt"/>
    <s v="Clothing"/>
    <s v="Physical Store"/>
    <s v="Abuja"/>
    <s v="Returning"/>
    <s v="None"/>
    <n v="1"/>
    <n v="18986"/>
    <n v="18986"/>
    <n v="0"/>
    <n v="0"/>
    <n v="18986"/>
    <n v="11621.22"/>
    <n v="7364.7800000000007"/>
    <x v="3"/>
    <x v="0"/>
    <n v="4"/>
  </r>
  <r>
    <s v="ORD-00567"/>
    <x v="69"/>
    <s v="Handbag"/>
    <s v="Accessories"/>
    <s v="Website"/>
    <s v="Delta"/>
    <s v="Returning"/>
    <s v="Easter Sale"/>
    <n v="1"/>
    <n v="41757"/>
    <n v="41757"/>
    <n v="6263.55"/>
    <n v="0.15"/>
    <n v="35493.449999999997"/>
    <n v="20317.759999999998"/>
    <n v="15175.689999999999"/>
    <x v="3"/>
    <x v="0"/>
    <n v="4"/>
  </r>
  <r>
    <s v="ORD-00407"/>
    <x v="70"/>
    <s v="Polo Shirt"/>
    <s v="Clothing"/>
    <s v="WhatsApp"/>
    <s v="Lagos"/>
    <s v="Returning"/>
    <s v="None"/>
    <n v="1"/>
    <n v="24248"/>
    <n v="24248"/>
    <n v="0"/>
    <n v="0"/>
    <n v="24248"/>
    <n v="15500.78"/>
    <n v="8747.2199999999993"/>
    <x v="3"/>
    <x v="0"/>
    <n v="4"/>
  </r>
  <r>
    <s v="ORD-00118"/>
    <x v="70"/>
    <s v="Belt"/>
    <s v="Accessories"/>
    <s v="WhatsApp"/>
    <s v="Lagos"/>
    <s v="New"/>
    <s v="None"/>
    <n v="2"/>
    <n v="15811"/>
    <n v="31622"/>
    <n v="0"/>
    <n v="0"/>
    <n v="31622"/>
    <n v="17892.88"/>
    <n v="13729.119999999999"/>
    <x v="3"/>
    <x v="0"/>
    <n v="4"/>
  </r>
  <r>
    <s v="ORD-00944"/>
    <x v="70"/>
    <s v="Sandals"/>
    <s v="Footwear"/>
    <s v="Physical Store"/>
    <s v="Abuja"/>
    <s v="Returning"/>
    <s v="None"/>
    <n v="3"/>
    <n v="30439"/>
    <n v="91317"/>
    <n v="0"/>
    <n v="0"/>
    <n v="91317"/>
    <n v="44458.44"/>
    <n v="46858.559999999998"/>
    <x v="3"/>
    <x v="0"/>
    <n v="4"/>
  </r>
  <r>
    <s v="ORD-01032"/>
    <x v="71"/>
    <s v="Handbag"/>
    <s v="Accessories"/>
    <s v="Physical Store"/>
    <s v="Rivers"/>
    <s v="Returning"/>
    <s v="None"/>
    <n v="2"/>
    <n v="42152"/>
    <n v="84304"/>
    <n v="0"/>
    <n v="0"/>
    <n v="84304"/>
    <n v="45306.81"/>
    <n v="38997.19"/>
    <x v="3"/>
    <x v="0"/>
    <n v="4"/>
  </r>
  <r>
    <s v="ORD-00593"/>
    <x v="71"/>
    <s v="Dress"/>
    <s v="Clothing"/>
    <s v="Physical Store"/>
    <s v="Lagos"/>
    <s v="Returning"/>
    <s v="Easter Sale"/>
    <n v="2"/>
    <n v="49031"/>
    <n v="98062"/>
    <n v="14709.3"/>
    <n v="0.15"/>
    <n v="83352.7"/>
    <n v="56078.64"/>
    <n v="27274.059999999998"/>
    <x v="3"/>
    <x v="0"/>
    <n v="4"/>
  </r>
  <r>
    <s v="ORD-00098"/>
    <x v="72"/>
    <s v="Polo Shirt"/>
    <s v="Clothing"/>
    <s v="Physical Store"/>
    <s v="Lagos"/>
    <s v="Returning"/>
    <s v="None"/>
    <n v="2"/>
    <n v="24647"/>
    <n v="49294"/>
    <n v="0"/>
    <n v="0"/>
    <n v="49294"/>
    <n v="29038.42"/>
    <n v="20255.580000000002"/>
    <x v="3"/>
    <x v="0"/>
    <n v="4"/>
  </r>
  <r>
    <s v="ORD-00206"/>
    <x v="72"/>
    <s v="Polo Shirt"/>
    <s v="Clothing"/>
    <s v="Instagram"/>
    <s v="Rivers"/>
    <s v="Returning"/>
    <s v="None"/>
    <n v="1"/>
    <n v="23273"/>
    <n v="23273"/>
    <n v="2327.3000000000002"/>
    <n v="0.1"/>
    <n v="20945.7"/>
    <n v="14409.7"/>
    <n v="6536"/>
    <x v="3"/>
    <x v="0"/>
    <n v="4"/>
  </r>
  <r>
    <s v="ORD-00247"/>
    <x v="72"/>
    <s v="Jeans"/>
    <s v="Clothing"/>
    <s v="WhatsApp"/>
    <s v="Lagos"/>
    <s v="New"/>
    <s v="None"/>
    <n v="2"/>
    <n v="41617"/>
    <n v="83234"/>
    <n v="0"/>
    <n v="0"/>
    <n v="83234"/>
    <n v="54285.97"/>
    <n v="28948.03"/>
    <x v="3"/>
    <x v="0"/>
    <n v="4"/>
  </r>
  <r>
    <s v="ORD-01057"/>
    <x v="73"/>
    <s v="Sandals"/>
    <s v="Footwear"/>
    <s v="Instagram"/>
    <s v="Delta"/>
    <s v="New"/>
    <s v="None"/>
    <n v="2"/>
    <n v="31413"/>
    <n v="62826"/>
    <n v="0"/>
    <n v="0"/>
    <n v="62826"/>
    <n v="34332.019999999997"/>
    <n v="28493.980000000003"/>
    <x v="3"/>
    <x v="0"/>
    <n v="4"/>
  </r>
  <r>
    <s v="ORD-00589"/>
    <x v="74"/>
    <s v="Dress"/>
    <s v="Clothing"/>
    <s v="Physical Store"/>
    <s v="Abuja"/>
    <s v="New"/>
    <s v="None"/>
    <n v="2"/>
    <n v="48446"/>
    <n v="96892"/>
    <n v="0"/>
    <n v="0"/>
    <n v="96892"/>
    <n v="64581.23"/>
    <n v="32310.769999999997"/>
    <x v="3"/>
    <x v="0"/>
    <n v="4"/>
  </r>
  <r>
    <s v="ORD-00203"/>
    <x v="75"/>
    <s v="Polo Shirt"/>
    <s v="Clothing"/>
    <s v="Website"/>
    <s v="Abuja"/>
    <s v="Returning"/>
    <s v="None"/>
    <n v="3"/>
    <n v="24673"/>
    <n v="74019"/>
    <n v="11102.85"/>
    <n v="0.15"/>
    <n v="62916.15"/>
    <n v="37029.82"/>
    <n v="25886.33"/>
    <x v="3"/>
    <x v="0"/>
    <n v="4"/>
  </r>
  <r>
    <s v="ORD-00795"/>
    <x v="75"/>
    <s v="Cap"/>
    <s v="Accessories"/>
    <s v="Instagram"/>
    <s v="Delta"/>
    <s v="Returning"/>
    <s v="Easter Sale"/>
    <n v="1"/>
    <n v="12879"/>
    <n v="12879"/>
    <n v="2575.8000000000002"/>
    <n v="0.2"/>
    <n v="10303.200000000001"/>
    <n v="6220.55"/>
    <n v="4082.6500000000005"/>
    <x v="3"/>
    <x v="0"/>
    <n v="4"/>
  </r>
  <r>
    <s v="ORD-00544"/>
    <x v="76"/>
    <s v="Handbag"/>
    <s v="Accessories"/>
    <s v="Website"/>
    <s v="Rivers"/>
    <s v="New"/>
    <s v="None"/>
    <n v="3"/>
    <n v="45565"/>
    <n v="136695"/>
    <n v="0"/>
    <n v="0"/>
    <n v="136695"/>
    <n v="80762.12"/>
    <n v="55932.880000000005"/>
    <x v="3"/>
    <x v="0"/>
    <n v="4"/>
  </r>
  <r>
    <s v="ORD-00650"/>
    <x v="77"/>
    <s v="Hoodie"/>
    <s v="Clothing"/>
    <s v="Physical Store"/>
    <s v="Lagos"/>
    <s v="New"/>
    <s v="None"/>
    <n v="4"/>
    <n v="39899"/>
    <n v="159596"/>
    <n v="0"/>
    <n v="0"/>
    <n v="159596"/>
    <n v="105791.1"/>
    <n v="53804.899999999994"/>
    <x v="3"/>
    <x v="0"/>
    <n v="4"/>
  </r>
  <r>
    <s v="ORD-01055"/>
    <x v="78"/>
    <s v="Polo Shirt"/>
    <s v="Clothing"/>
    <s v="Website"/>
    <s v="Lagos"/>
    <s v="New"/>
    <s v="Easter Sale"/>
    <n v="2"/>
    <n v="26863"/>
    <n v="53726"/>
    <n v="5372.6"/>
    <n v="0.1"/>
    <n v="48353.4"/>
    <n v="30556.29"/>
    <n v="17797.11"/>
    <x v="3"/>
    <x v="0"/>
    <n v="4"/>
  </r>
  <r>
    <s v="ORD-00692"/>
    <x v="79"/>
    <s v="Dress"/>
    <s v="Clothing"/>
    <s v="Instagram"/>
    <s v="Lagos"/>
    <s v="New"/>
    <s v="Easter Sale"/>
    <n v="1"/>
    <n v="50116"/>
    <n v="50116"/>
    <n v="7517.4"/>
    <n v="0.15"/>
    <n v="42598.6"/>
    <n v="27258.99"/>
    <n v="15339.609999999997"/>
    <x v="3"/>
    <x v="0"/>
    <n v="4"/>
  </r>
  <r>
    <s v="ORD-00438"/>
    <x v="79"/>
    <s v="Handbag"/>
    <s v="Accessories"/>
    <s v="Physical Store"/>
    <s v="Lagos"/>
    <s v="Returning"/>
    <s v="None"/>
    <n v="2"/>
    <n v="41519"/>
    <n v="83038"/>
    <n v="0"/>
    <n v="0"/>
    <n v="83038"/>
    <n v="53072.25"/>
    <n v="29965.75"/>
    <x v="3"/>
    <x v="0"/>
    <n v="4"/>
  </r>
  <r>
    <s v="ORD-00693"/>
    <x v="80"/>
    <s v="Polo Shirt"/>
    <s v="Clothing"/>
    <s v="Physical Store"/>
    <s v="Lagos"/>
    <s v="Returning"/>
    <s v="None"/>
    <n v="3"/>
    <n v="23759"/>
    <n v="71277"/>
    <n v="0"/>
    <n v="0"/>
    <n v="71277"/>
    <n v="44495.199999999997"/>
    <n v="26781.800000000003"/>
    <x v="3"/>
    <x v="0"/>
    <n v="4"/>
  </r>
  <r>
    <s v="ORD-00618"/>
    <x v="80"/>
    <s v="Handbag"/>
    <s v="Accessories"/>
    <s v="Instagram"/>
    <s v="Lagos"/>
    <s v="Returning"/>
    <s v="None"/>
    <n v="1"/>
    <n v="44985"/>
    <n v="44985"/>
    <n v="0"/>
    <n v="0"/>
    <n v="44985"/>
    <n v="28898.07"/>
    <n v="16086.93"/>
    <x v="3"/>
    <x v="0"/>
    <n v="4"/>
  </r>
  <r>
    <s v="ORD-00695"/>
    <x v="80"/>
    <s v="Polo Shirt"/>
    <s v="Clothing"/>
    <s v="WhatsApp"/>
    <s v="Abuja"/>
    <s v="Returning"/>
    <s v="Easter Sale"/>
    <n v="1"/>
    <n v="26945"/>
    <n v="26945"/>
    <n v="5389"/>
    <n v="0.2"/>
    <n v="21556"/>
    <n v="17968.38"/>
    <n v="3587.619999999999"/>
    <x v="3"/>
    <x v="0"/>
    <n v="4"/>
  </r>
  <r>
    <s v="ORD-00740"/>
    <x v="81"/>
    <s v="Sandals"/>
    <s v="Footwear"/>
    <s v="Website"/>
    <s v="Lagos"/>
    <s v="Returning"/>
    <s v="Easter Sale"/>
    <n v="3"/>
    <n v="28788"/>
    <n v="86364"/>
    <n v="4318.2"/>
    <n v="0.05"/>
    <n v="82045.8"/>
    <n v="54633.74"/>
    <n v="27412.060000000005"/>
    <x v="3"/>
    <x v="0"/>
    <n v="4"/>
  </r>
  <r>
    <s v="ORD-00145"/>
    <x v="81"/>
    <s v="Sandals"/>
    <s v="Footwear"/>
    <s v="Physical Store"/>
    <s v="Rivers"/>
    <s v="New"/>
    <s v="None"/>
    <n v="4"/>
    <n v="31083"/>
    <n v="124332"/>
    <n v="0"/>
    <n v="0"/>
    <n v="124332"/>
    <n v="71017.919999999998"/>
    <n v="53314.080000000002"/>
    <x v="3"/>
    <x v="0"/>
    <n v="4"/>
  </r>
  <r>
    <s v="ORD-00923"/>
    <x v="82"/>
    <s v="Cap"/>
    <s v="Accessories"/>
    <s v="Instagram"/>
    <s v="Lagos"/>
    <s v="New"/>
    <s v="None"/>
    <n v="3"/>
    <n v="11420"/>
    <n v="34260"/>
    <n v="0"/>
    <n v="0"/>
    <n v="34260"/>
    <n v="21869.119999999999"/>
    <n v="12390.880000000001"/>
    <x v="3"/>
    <x v="0"/>
    <n v="4"/>
  </r>
  <r>
    <s v="ORD-00393"/>
    <x v="83"/>
    <s v="Jeans"/>
    <s v="Clothing"/>
    <s v="Physical Store"/>
    <s v="Lagos"/>
    <s v="Returning"/>
    <s v="Easter Sale"/>
    <n v="1"/>
    <n v="43598"/>
    <n v="43598"/>
    <n v="4359.8"/>
    <n v="0.1"/>
    <n v="39238.199999999997"/>
    <n v="24764.28"/>
    <n v="14473.919999999998"/>
    <x v="3"/>
    <x v="0"/>
    <n v="4"/>
  </r>
  <r>
    <s v="ORD-00326"/>
    <x v="84"/>
    <s v="Jeans"/>
    <s v="Clothing"/>
    <s v="WhatsApp"/>
    <s v="Abuja"/>
    <s v="New"/>
    <s v="None"/>
    <n v="1"/>
    <n v="44416"/>
    <n v="44416"/>
    <n v="0"/>
    <n v="0"/>
    <n v="44416"/>
    <n v="27490.43"/>
    <n v="16925.57"/>
    <x v="3"/>
    <x v="0"/>
    <n v="4"/>
  </r>
  <r>
    <s v="ORD-00870"/>
    <x v="84"/>
    <s v="Belt"/>
    <s v="Accessories"/>
    <s v="Physical Store"/>
    <s v="Delta"/>
    <s v="New"/>
    <s v="Easter Sale"/>
    <n v="2"/>
    <n v="16174"/>
    <n v="32348"/>
    <n v="3234.8"/>
    <n v="0.1"/>
    <n v="29113.200000000001"/>
    <n v="16007.94"/>
    <n v="13105.26"/>
    <x v="3"/>
    <x v="0"/>
    <n v="4"/>
  </r>
  <r>
    <s v="ORD-00573"/>
    <x v="85"/>
    <s v="Handbag"/>
    <s v="Accessories"/>
    <s v="Website"/>
    <s v="Abuja"/>
    <s v="New"/>
    <s v="Easter Sale"/>
    <n v="3"/>
    <n v="47988"/>
    <n v="143964"/>
    <n v="21594.6"/>
    <n v="0.15"/>
    <n v="122369.4"/>
    <n v="88773.26"/>
    <n v="33596.14"/>
    <x v="3"/>
    <x v="0"/>
    <n v="4"/>
  </r>
  <r>
    <s v="ORD-00725"/>
    <x v="85"/>
    <s v="Hoodie"/>
    <s v="Clothing"/>
    <s v="Website"/>
    <s v="Lagos"/>
    <s v="Returning"/>
    <s v="None"/>
    <n v="3"/>
    <n v="40309"/>
    <n v="120927"/>
    <n v="0"/>
    <n v="0"/>
    <n v="120927"/>
    <n v="63947.75"/>
    <n v="56979.25"/>
    <x v="3"/>
    <x v="0"/>
    <n v="4"/>
  </r>
  <r>
    <s v="ORD-00322"/>
    <x v="86"/>
    <s v="Sandals"/>
    <s v="Footwear"/>
    <s v="Physical Store"/>
    <s v="Delta"/>
    <s v="Returning"/>
    <s v="Easter Sale"/>
    <n v="1"/>
    <n v="32036"/>
    <n v="32036"/>
    <n v="4805.3999999999996"/>
    <n v="0.15"/>
    <n v="27230.6"/>
    <n v="18574.29"/>
    <n v="8656.3099999999977"/>
    <x v="3"/>
    <x v="0"/>
    <n v="4"/>
  </r>
  <r>
    <s v="ORD-00004"/>
    <x v="87"/>
    <s v="Polo Shirt"/>
    <s v="Clothing"/>
    <s v="WhatsApp"/>
    <s v="Oyo"/>
    <s v="New"/>
    <s v="None"/>
    <n v="1"/>
    <n v="25467"/>
    <n v="25467"/>
    <n v="0"/>
    <n v="0"/>
    <n v="25467"/>
    <n v="15442.24"/>
    <n v="10024.76"/>
    <x v="4"/>
    <x v="0"/>
    <n v="5"/>
  </r>
  <r>
    <s v="ORD-00156"/>
    <x v="88"/>
    <s v="Sandals"/>
    <s v="Footwear"/>
    <s v="Physical Store"/>
    <s v="Lagos"/>
    <s v="Returning"/>
    <s v="None"/>
    <n v="3"/>
    <n v="28361"/>
    <n v="85083"/>
    <n v="0"/>
    <n v="0"/>
    <n v="85083"/>
    <n v="54857.74"/>
    <n v="30225.260000000002"/>
    <x v="4"/>
    <x v="0"/>
    <n v="5"/>
  </r>
  <r>
    <s v="ORD-00685"/>
    <x v="89"/>
    <s v="Hoodie"/>
    <s v="Clothing"/>
    <s v="Physical Store"/>
    <s v="Rivers"/>
    <s v="Returning"/>
    <s v="None"/>
    <n v="3"/>
    <n v="37357"/>
    <n v="112071"/>
    <n v="0"/>
    <n v="0"/>
    <n v="112071"/>
    <n v="56487.35"/>
    <n v="55583.65"/>
    <x v="4"/>
    <x v="0"/>
    <n v="5"/>
  </r>
  <r>
    <s v="ORD-00616"/>
    <x v="89"/>
    <s v="Sneakers"/>
    <s v="Footwear"/>
    <s v="Website"/>
    <s v="Delta"/>
    <s v="Returning"/>
    <s v="None"/>
    <n v="1"/>
    <n v="66792"/>
    <n v="66792"/>
    <n v="0"/>
    <n v="0"/>
    <n v="66792"/>
    <n v="33380.949999999997"/>
    <n v="33411.050000000003"/>
    <x v="4"/>
    <x v="0"/>
    <n v="5"/>
  </r>
  <r>
    <s v="ORD-00851"/>
    <x v="90"/>
    <s v="Polo Shirt"/>
    <s v="Clothing"/>
    <s v="WhatsApp"/>
    <s v="Abuja"/>
    <s v="Returning"/>
    <s v="None"/>
    <n v="1"/>
    <n v="25531"/>
    <n v="25531"/>
    <n v="0"/>
    <n v="0"/>
    <n v="25531"/>
    <n v="14849.67"/>
    <n v="10681.33"/>
    <x v="4"/>
    <x v="0"/>
    <n v="5"/>
  </r>
  <r>
    <s v="ORD-00260"/>
    <x v="91"/>
    <s v="Handbag"/>
    <s v="Accessories"/>
    <s v="Website"/>
    <s v="Abuja"/>
    <s v="New"/>
    <s v="None"/>
    <n v="3"/>
    <n v="44700"/>
    <n v="134100"/>
    <n v="13410"/>
    <n v="0.1"/>
    <n v="120690"/>
    <n v="79770.39"/>
    <n v="40919.61"/>
    <x v="4"/>
    <x v="0"/>
    <n v="5"/>
  </r>
  <r>
    <s v="ORD-00982"/>
    <x v="91"/>
    <s v="Hoodie"/>
    <s v="Clothing"/>
    <s v="WhatsApp"/>
    <s v="Oyo"/>
    <s v="Returning"/>
    <s v="None"/>
    <n v="3"/>
    <n v="40201"/>
    <n v="120603"/>
    <n v="0"/>
    <n v="0"/>
    <n v="120603"/>
    <n v="62572.52"/>
    <n v="58030.48"/>
    <x v="4"/>
    <x v="0"/>
    <n v="5"/>
  </r>
  <r>
    <s v="ORD-00998"/>
    <x v="91"/>
    <s v="Polo Shirt"/>
    <s v="Clothing"/>
    <s v="WhatsApp"/>
    <s v="Abuja"/>
    <s v="Returning"/>
    <s v="None"/>
    <n v="4"/>
    <n v="26413"/>
    <n v="105652"/>
    <n v="10565.2"/>
    <n v="0.1"/>
    <n v="95086.8"/>
    <n v="57102.45"/>
    <n v="37984.350000000006"/>
    <x v="4"/>
    <x v="0"/>
    <n v="5"/>
  </r>
  <r>
    <s v="ORD-00824"/>
    <x v="92"/>
    <s v="Sandals"/>
    <s v="Footwear"/>
    <s v="Physical Store"/>
    <s v="Lagos"/>
    <s v="New"/>
    <s v="None"/>
    <n v="1"/>
    <n v="32306"/>
    <n v="32306"/>
    <n v="0"/>
    <n v="0"/>
    <n v="32306"/>
    <n v="15569.56"/>
    <n v="16736.440000000002"/>
    <x v="4"/>
    <x v="0"/>
    <n v="5"/>
  </r>
  <r>
    <s v="ORD-01020"/>
    <x v="92"/>
    <s v="Polo Shirt"/>
    <s v="Clothing"/>
    <s v="Physical Store"/>
    <s v="Rivers"/>
    <s v="New"/>
    <s v="None"/>
    <n v="1"/>
    <n v="24945"/>
    <n v="24945"/>
    <n v="0"/>
    <n v="0"/>
    <n v="24945"/>
    <n v="12947.33"/>
    <n v="11997.67"/>
    <x v="4"/>
    <x v="0"/>
    <n v="5"/>
  </r>
  <r>
    <s v="ORD-01054"/>
    <x v="93"/>
    <s v="Hoodie"/>
    <s v="Clothing"/>
    <s v="Instagram"/>
    <s v="Lagos"/>
    <s v="New"/>
    <s v="None"/>
    <n v="1"/>
    <n v="36613"/>
    <n v="36613"/>
    <n v="0"/>
    <n v="0"/>
    <n v="36613"/>
    <n v="17929.759999999998"/>
    <n v="18683.240000000002"/>
    <x v="4"/>
    <x v="0"/>
    <n v="5"/>
  </r>
  <r>
    <s v="ORD-01100"/>
    <x v="93"/>
    <s v="Dress"/>
    <s v="Clothing"/>
    <s v="WhatsApp"/>
    <s v="Lagos"/>
    <s v="New"/>
    <s v="None"/>
    <n v="3"/>
    <n v="50376"/>
    <n v="151128"/>
    <n v="0"/>
    <n v="0"/>
    <n v="151128"/>
    <n v="84589.35"/>
    <n v="66538.649999999994"/>
    <x v="4"/>
    <x v="0"/>
    <n v="5"/>
  </r>
  <r>
    <s v="ORD-00009"/>
    <x v="93"/>
    <s v="Cap"/>
    <s v="Accessories"/>
    <s v="Website"/>
    <s v="Oyo"/>
    <s v="Returning"/>
    <s v="None"/>
    <n v="1"/>
    <n v="11481"/>
    <n v="11481"/>
    <n v="1148.0999999999999"/>
    <n v="0.1"/>
    <n v="10332.9"/>
    <n v="7504.11"/>
    <n v="2828.79"/>
    <x v="4"/>
    <x v="0"/>
    <n v="5"/>
  </r>
  <r>
    <s v="ORD-00777"/>
    <x v="94"/>
    <s v="T-Shirt"/>
    <s v="Clothing"/>
    <s v="Physical Store"/>
    <s v="Oyo"/>
    <s v="New"/>
    <s v="None"/>
    <n v="3"/>
    <n v="16891"/>
    <n v="50673"/>
    <n v="0"/>
    <n v="0"/>
    <n v="50673"/>
    <n v="28797.95"/>
    <n v="21875.05"/>
    <x v="4"/>
    <x v="0"/>
    <n v="5"/>
  </r>
  <r>
    <s v="ORD-00605"/>
    <x v="95"/>
    <s v="Sneakers"/>
    <s v="Footwear"/>
    <s v="Physical Store"/>
    <s v="Lagos"/>
    <s v="New"/>
    <s v="None"/>
    <n v="1"/>
    <n v="68198"/>
    <n v="68198"/>
    <n v="0"/>
    <n v="0"/>
    <n v="68198"/>
    <n v="33481.32"/>
    <n v="34716.68"/>
    <x v="4"/>
    <x v="0"/>
    <n v="5"/>
  </r>
  <r>
    <s v="ORD-00484"/>
    <x v="96"/>
    <s v="Polo Shirt"/>
    <s v="Clothing"/>
    <s v="Physical Store"/>
    <s v="Oyo"/>
    <s v="Returning"/>
    <s v="None"/>
    <n v="2"/>
    <n v="23422"/>
    <n v="46844"/>
    <n v="0"/>
    <n v="0"/>
    <n v="46844"/>
    <n v="27907.37"/>
    <n v="18936.63"/>
    <x v="4"/>
    <x v="0"/>
    <n v="5"/>
  </r>
  <r>
    <s v="ORD-00089"/>
    <x v="97"/>
    <s v="Cap"/>
    <s v="Accessories"/>
    <s v="WhatsApp"/>
    <s v="Lagos"/>
    <s v="New"/>
    <s v="None"/>
    <n v="5"/>
    <n v="12384"/>
    <n v="61920"/>
    <n v="0"/>
    <n v="0"/>
    <n v="61920"/>
    <n v="36984.559999999998"/>
    <n v="24935.440000000002"/>
    <x v="4"/>
    <x v="0"/>
    <n v="5"/>
  </r>
  <r>
    <s v="ORD-01085"/>
    <x v="98"/>
    <s v="Sandals"/>
    <s v="Footwear"/>
    <s v="Physical Store"/>
    <s v="Lagos"/>
    <s v="Returning"/>
    <s v="None"/>
    <n v="2"/>
    <n v="27690"/>
    <n v="55380"/>
    <n v="0"/>
    <n v="0"/>
    <n v="55380"/>
    <n v="35244.21"/>
    <n v="20135.79"/>
    <x v="4"/>
    <x v="0"/>
    <n v="5"/>
  </r>
  <r>
    <s v="ORD-00608"/>
    <x v="99"/>
    <s v="Jeans"/>
    <s v="Clothing"/>
    <s v="Instagram"/>
    <s v="Rivers"/>
    <s v="New"/>
    <s v="None"/>
    <n v="5"/>
    <n v="39761"/>
    <n v="198805"/>
    <n v="0"/>
    <n v="0"/>
    <n v="198805"/>
    <n v="98822.33"/>
    <n v="99982.67"/>
    <x v="4"/>
    <x v="0"/>
    <n v="5"/>
  </r>
  <r>
    <s v="ORD-00747"/>
    <x v="100"/>
    <s v="Sneakers"/>
    <s v="Footwear"/>
    <s v="Physical Store"/>
    <s v="Abuja"/>
    <s v="Returning"/>
    <s v="None"/>
    <n v="4"/>
    <n v="60343"/>
    <n v="241372"/>
    <n v="24137.200000000001"/>
    <n v="0.1"/>
    <n v="217234.8"/>
    <n v="136916.54999999999"/>
    <n v="80318.25"/>
    <x v="4"/>
    <x v="0"/>
    <n v="5"/>
  </r>
  <r>
    <s v="ORD-00741"/>
    <x v="101"/>
    <s v="Cap"/>
    <s v="Accessories"/>
    <s v="Website"/>
    <s v="Oyo"/>
    <s v="Returning"/>
    <s v="None"/>
    <n v="1"/>
    <n v="12465"/>
    <n v="12465"/>
    <n v="0"/>
    <n v="0"/>
    <n v="12465"/>
    <n v="7228.75"/>
    <n v="5236.25"/>
    <x v="4"/>
    <x v="0"/>
    <n v="5"/>
  </r>
  <r>
    <s v="ORD-00841"/>
    <x v="102"/>
    <s v="Jeans"/>
    <s v="Clothing"/>
    <s v="Physical Store"/>
    <s v="Abuja"/>
    <s v="New"/>
    <s v="None"/>
    <n v="5"/>
    <n v="40707"/>
    <n v="203535"/>
    <n v="0"/>
    <n v="0"/>
    <n v="203535"/>
    <n v="131881.1"/>
    <n v="71653.899999999994"/>
    <x v="4"/>
    <x v="0"/>
    <n v="5"/>
  </r>
  <r>
    <s v="ORD-00788"/>
    <x v="103"/>
    <s v="Handbag"/>
    <s v="Accessories"/>
    <s v="Instagram"/>
    <s v="Lagos"/>
    <s v="Returning"/>
    <s v="None"/>
    <n v="1"/>
    <n v="44375"/>
    <n v="44375"/>
    <n v="0"/>
    <n v="0"/>
    <n v="44375"/>
    <n v="27331.02"/>
    <n v="17043.98"/>
    <x v="4"/>
    <x v="0"/>
    <n v="5"/>
  </r>
  <r>
    <s v="ORD-00165"/>
    <x v="104"/>
    <s v="Jeans"/>
    <s v="Clothing"/>
    <s v="Physical Store"/>
    <s v="Oyo"/>
    <s v="Returning"/>
    <s v="None"/>
    <n v="2"/>
    <n v="38738"/>
    <n v="77476"/>
    <n v="7747.6"/>
    <n v="0.1"/>
    <n v="69728.399999999994"/>
    <n v="42415.72"/>
    <n v="27312.679999999993"/>
    <x v="4"/>
    <x v="0"/>
    <n v="5"/>
  </r>
  <r>
    <s v="ORD-00429"/>
    <x v="104"/>
    <s v="Sneakers"/>
    <s v="Footwear"/>
    <s v="Instagram"/>
    <s v="Oyo"/>
    <s v="New"/>
    <s v="None"/>
    <n v="1"/>
    <n v="68141"/>
    <n v="68141"/>
    <n v="0"/>
    <n v="0"/>
    <n v="68141"/>
    <n v="40030.660000000003"/>
    <n v="28110.339999999997"/>
    <x v="4"/>
    <x v="0"/>
    <n v="5"/>
  </r>
  <r>
    <s v="ORD-00184"/>
    <x v="104"/>
    <s v="Polo Shirt"/>
    <s v="Clothing"/>
    <s v="Physical Store"/>
    <s v="Lagos"/>
    <s v="New"/>
    <s v="None"/>
    <n v="4"/>
    <n v="26359"/>
    <n v="105436"/>
    <n v="10543.6"/>
    <n v="0.1"/>
    <n v="94892.4"/>
    <n v="55431.8"/>
    <n v="39460.599999999991"/>
    <x v="4"/>
    <x v="0"/>
    <n v="5"/>
  </r>
  <r>
    <s v="ORD-00688"/>
    <x v="105"/>
    <s v="T-Shirt"/>
    <s v="Clothing"/>
    <s v="WhatsApp"/>
    <s v="Oyo"/>
    <s v="Returning"/>
    <s v="None"/>
    <n v="3"/>
    <n v="18880"/>
    <n v="56640"/>
    <n v="0"/>
    <n v="0"/>
    <n v="56640"/>
    <n v="30538.28"/>
    <n v="26101.72"/>
    <x v="4"/>
    <x v="0"/>
    <n v="5"/>
  </r>
  <r>
    <s v="ORD-00791"/>
    <x v="105"/>
    <s v="Jeans"/>
    <s v="Clothing"/>
    <s v="WhatsApp"/>
    <s v="Lagos"/>
    <s v="New"/>
    <s v="None"/>
    <n v="2"/>
    <n v="40090"/>
    <n v="80180"/>
    <n v="0"/>
    <n v="0"/>
    <n v="80180"/>
    <n v="43500.58"/>
    <n v="36679.42"/>
    <x v="4"/>
    <x v="0"/>
    <n v="5"/>
  </r>
  <r>
    <s v="ORD-01141"/>
    <x v="106"/>
    <s v="Belt"/>
    <s v="Accessories"/>
    <s v="Website"/>
    <s v="Lagos"/>
    <s v="New"/>
    <s v="None"/>
    <n v="4"/>
    <n v="14132"/>
    <n v="56528"/>
    <n v="0"/>
    <n v="0"/>
    <n v="56528"/>
    <n v="35047.25"/>
    <n v="21480.75"/>
    <x v="4"/>
    <x v="0"/>
    <n v="5"/>
  </r>
  <r>
    <s v="ORD-00536"/>
    <x v="106"/>
    <s v="Cap"/>
    <s v="Accessories"/>
    <s v="WhatsApp"/>
    <s v="Rivers"/>
    <s v="New"/>
    <s v="None"/>
    <n v="1"/>
    <n v="11102"/>
    <n v="11102"/>
    <n v="1665.3"/>
    <n v="0.15"/>
    <n v="9436.7000000000007"/>
    <n v="6935.04"/>
    <n v="2501.6600000000008"/>
    <x v="4"/>
    <x v="0"/>
    <n v="5"/>
  </r>
  <r>
    <s v="ORD-00959"/>
    <x v="107"/>
    <s v="Jeans"/>
    <s v="Clothing"/>
    <s v="WhatsApp"/>
    <s v="Oyo"/>
    <s v="New"/>
    <s v="None"/>
    <n v="2"/>
    <n v="41271"/>
    <n v="82542"/>
    <n v="0"/>
    <n v="0"/>
    <n v="82542"/>
    <n v="41693.82"/>
    <n v="40848.18"/>
    <x v="4"/>
    <x v="0"/>
    <n v="5"/>
  </r>
  <r>
    <s v="ORD-00173"/>
    <x v="107"/>
    <s v="Belt"/>
    <s v="Accessories"/>
    <s v="WhatsApp"/>
    <s v="Lagos"/>
    <s v="Returning"/>
    <s v="None"/>
    <n v="3"/>
    <n v="14609"/>
    <n v="43827"/>
    <n v="0"/>
    <n v="0"/>
    <n v="43827"/>
    <n v="25759.87"/>
    <n v="18067.13"/>
    <x v="4"/>
    <x v="0"/>
    <n v="5"/>
  </r>
  <r>
    <s v="ORD-00899"/>
    <x v="108"/>
    <s v="Sandals"/>
    <s v="Footwear"/>
    <s v="Website"/>
    <s v="Lagos"/>
    <s v="New"/>
    <s v="None"/>
    <n v="1"/>
    <n v="29512"/>
    <n v="29512"/>
    <n v="0"/>
    <n v="0"/>
    <n v="29512"/>
    <n v="18725.349999999999"/>
    <n v="10786.650000000001"/>
    <x v="4"/>
    <x v="0"/>
    <n v="5"/>
  </r>
  <r>
    <s v="ORD-01026"/>
    <x v="109"/>
    <s v="Cap"/>
    <s v="Accessories"/>
    <s v="Instagram"/>
    <s v="Oyo"/>
    <s v="New"/>
    <s v="None"/>
    <n v="1"/>
    <n v="11824"/>
    <n v="11824"/>
    <n v="0"/>
    <n v="0"/>
    <n v="11824"/>
    <n v="7481.39"/>
    <n v="4342.6099999999997"/>
    <x v="4"/>
    <x v="0"/>
    <n v="5"/>
  </r>
  <r>
    <s v="ORD-00294"/>
    <x v="110"/>
    <s v="Dress"/>
    <s v="Clothing"/>
    <s v="Website"/>
    <s v="Oyo"/>
    <s v="New"/>
    <s v="None"/>
    <n v="1"/>
    <n v="51851"/>
    <n v="51851"/>
    <n v="0"/>
    <n v="0"/>
    <n v="51851"/>
    <n v="27174.55"/>
    <n v="24676.45"/>
    <x v="4"/>
    <x v="0"/>
    <n v="5"/>
  </r>
  <r>
    <s v="ORD-00182"/>
    <x v="111"/>
    <s v="Dress"/>
    <s v="Clothing"/>
    <s v="WhatsApp"/>
    <s v="Lagos"/>
    <s v="Returning"/>
    <s v="None"/>
    <n v="5"/>
    <n v="50101"/>
    <n v="250505"/>
    <n v="0"/>
    <n v="0"/>
    <n v="250505"/>
    <n v="152078.76"/>
    <n v="98426.239999999991"/>
    <x v="4"/>
    <x v="0"/>
    <n v="5"/>
  </r>
  <r>
    <s v="ORD-00958"/>
    <x v="111"/>
    <s v="Hoodie"/>
    <s v="Clothing"/>
    <s v="Physical Store"/>
    <s v="Lagos"/>
    <s v="New"/>
    <s v="None"/>
    <n v="2"/>
    <n v="38235"/>
    <n v="76470"/>
    <n v="0"/>
    <n v="0"/>
    <n v="76470"/>
    <n v="42306.89"/>
    <n v="34163.11"/>
    <x v="4"/>
    <x v="0"/>
    <n v="5"/>
  </r>
  <r>
    <s v="ORD-00199"/>
    <x v="112"/>
    <s v="Sneakers"/>
    <s v="Footwear"/>
    <s v="Physical Store"/>
    <s v="Oyo"/>
    <s v="New"/>
    <s v="None"/>
    <n v="3"/>
    <n v="63924"/>
    <n v="191772"/>
    <n v="0"/>
    <n v="0"/>
    <n v="191772"/>
    <n v="125238.46"/>
    <n v="66533.539999999994"/>
    <x v="4"/>
    <x v="0"/>
    <n v="5"/>
  </r>
  <r>
    <s v="ORD-00207"/>
    <x v="113"/>
    <s v="Jeans"/>
    <s v="Clothing"/>
    <s v="Physical Store"/>
    <s v="Rivers"/>
    <s v="New"/>
    <s v="Mid-Year Sale"/>
    <n v="5"/>
    <n v="43182"/>
    <n v="215910"/>
    <n v="21591"/>
    <n v="0.1"/>
    <n v="194319"/>
    <n v="129978.14"/>
    <n v="64340.86"/>
    <x v="5"/>
    <x v="0"/>
    <n v="6"/>
  </r>
  <r>
    <s v="ORD-01044"/>
    <x v="114"/>
    <s v="Sneakers"/>
    <s v="Footwear"/>
    <s v="Physical Store"/>
    <s v="Lagos"/>
    <s v="Returning"/>
    <s v="Mid-Year Sale"/>
    <n v="1"/>
    <n v="66637"/>
    <n v="66637"/>
    <n v="6663.7"/>
    <n v="0.1"/>
    <n v="59973.3"/>
    <n v="37193.01"/>
    <n v="22780.29"/>
    <x v="5"/>
    <x v="0"/>
    <n v="6"/>
  </r>
  <r>
    <s v="ORD-00341"/>
    <x v="114"/>
    <s v="Belt"/>
    <s v="Accessories"/>
    <s v="WhatsApp"/>
    <s v="Abuja"/>
    <s v="New"/>
    <s v="None"/>
    <n v="1"/>
    <n v="14157"/>
    <n v="14157"/>
    <n v="0"/>
    <n v="0"/>
    <n v="14157"/>
    <n v="8544.9699999999993"/>
    <n v="5612.0300000000007"/>
    <x v="5"/>
    <x v="0"/>
    <n v="6"/>
  </r>
  <r>
    <s v="ORD-00569"/>
    <x v="114"/>
    <s v="Dress"/>
    <s v="Clothing"/>
    <s v="Physical Store"/>
    <s v="Rivers"/>
    <s v="Returning"/>
    <s v="Mid-Year Sale"/>
    <n v="1"/>
    <n v="51810"/>
    <n v="51810"/>
    <n v="10362"/>
    <n v="0.2"/>
    <n v="41448"/>
    <n v="29522.2"/>
    <n v="11925.8"/>
    <x v="5"/>
    <x v="0"/>
    <n v="6"/>
  </r>
  <r>
    <s v="ORD-00268"/>
    <x v="115"/>
    <s v="Sandals"/>
    <s v="Footwear"/>
    <s v="Website"/>
    <s v="Abuja"/>
    <s v="New"/>
    <s v="Mid-Year Sale"/>
    <n v="1"/>
    <n v="32134"/>
    <n v="32134"/>
    <n v="6426.8"/>
    <n v="0.2"/>
    <n v="25707.200000000001"/>
    <n v="21366.04"/>
    <n v="4341.16"/>
    <x v="5"/>
    <x v="0"/>
    <n v="6"/>
  </r>
  <r>
    <s v="ORD-00894"/>
    <x v="116"/>
    <s v="Sneakers"/>
    <s v="Footwear"/>
    <s v="Website"/>
    <s v="Lagos"/>
    <s v="New"/>
    <s v="None"/>
    <n v="1"/>
    <n v="67426"/>
    <n v="67426"/>
    <n v="0"/>
    <n v="0"/>
    <n v="67426"/>
    <n v="41066.18"/>
    <n v="26359.82"/>
    <x v="5"/>
    <x v="0"/>
    <n v="6"/>
  </r>
  <r>
    <s v="ORD-00805"/>
    <x v="117"/>
    <s v="Sandals"/>
    <s v="Footwear"/>
    <s v="Website"/>
    <s v="Oyo"/>
    <s v="Returning"/>
    <s v="Mid-Year Sale"/>
    <n v="2"/>
    <n v="31867"/>
    <n v="63734"/>
    <n v="6373.4"/>
    <n v="0.1"/>
    <n v="57360.6"/>
    <n v="37289.9"/>
    <n v="20070.699999999997"/>
    <x v="5"/>
    <x v="0"/>
    <n v="6"/>
  </r>
  <r>
    <s v="ORD-00243"/>
    <x v="118"/>
    <s v="T-Shirt"/>
    <s v="Clothing"/>
    <s v="Physical Store"/>
    <s v="Lagos"/>
    <s v="New"/>
    <s v="None"/>
    <n v="1"/>
    <n v="18883"/>
    <n v="18883"/>
    <n v="0"/>
    <n v="0"/>
    <n v="18883"/>
    <n v="12831.48"/>
    <n v="6051.52"/>
    <x v="5"/>
    <x v="0"/>
    <n v="6"/>
  </r>
  <r>
    <s v="ORD-00372"/>
    <x v="119"/>
    <s v="Hoodie"/>
    <s v="Clothing"/>
    <s v="Instagram"/>
    <s v="Lagos"/>
    <s v="New"/>
    <s v="None"/>
    <n v="1"/>
    <n v="36887"/>
    <n v="36887"/>
    <n v="0"/>
    <n v="0"/>
    <n v="36887"/>
    <n v="24164.59"/>
    <n v="12722.41"/>
    <x v="5"/>
    <x v="0"/>
    <n v="6"/>
  </r>
  <r>
    <s v="ORD-01179"/>
    <x v="119"/>
    <s v="Hoodie"/>
    <s v="Clothing"/>
    <s v="Instagram"/>
    <s v="Lagos"/>
    <s v="New"/>
    <s v="None"/>
    <n v="2"/>
    <n v="39594"/>
    <n v="79188"/>
    <n v="0"/>
    <n v="0"/>
    <n v="79188"/>
    <n v="52833.81"/>
    <n v="26354.190000000002"/>
    <x v="5"/>
    <x v="0"/>
    <n v="6"/>
  </r>
  <r>
    <s v="ORD-00213"/>
    <x v="120"/>
    <s v="T-Shirt"/>
    <s v="Clothing"/>
    <s v="Website"/>
    <s v="Lagos"/>
    <s v="New"/>
    <s v="Mid-Year Sale"/>
    <n v="2"/>
    <n v="18307"/>
    <n v="36614"/>
    <n v="5492.1"/>
    <n v="0.15"/>
    <n v="31121.9"/>
    <n v="18168.96"/>
    <n v="12952.940000000002"/>
    <x v="5"/>
    <x v="0"/>
    <n v="6"/>
  </r>
  <r>
    <s v="ORD-00056"/>
    <x v="121"/>
    <s v="Handbag"/>
    <s v="Accessories"/>
    <s v="Website"/>
    <s v="Lagos"/>
    <s v="New"/>
    <s v="None"/>
    <n v="2"/>
    <n v="44258"/>
    <n v="88516"/>
    <n v="0"/>
    <n v="0"/>
    <n v="88516"/>
    <n v="53120.12"/>
    <n v="35395.879999999997"/>
    <x v="5"/>
    <x v="0"/>
    <n v="6"/>
  </r>
  <r>
    <s v="ORD-00930"/>
    <x v="121"/>
    <s v="Belt"/>
    <s v="Accessories"/>
    <s v="Physical Store"/>
    <s v="Lagos"/>
    <s v="New"/>
    <s v="Mid-Year Sale"/>
    <n v="2"/>
    <n v="14280"/>
    <n v="28560"/>
    <n v="2856"/>
    <n v="0.1"/>
    <n v="25704"/>
    <n v="18288.38"/>
    <n v="7415.619999999999"/>
    <x v="5"/>
    <x v="0"/>
    <n v="6"/>
  </r>
  <r>
    <s v="ORD-00948"/>
    <x v="122"/>
    <s v="Hoodie"/>
    <s v="Clothing"/>
    <s v="Physical Store"/>
    <s v="Abuja"/>
    <s v="New"/>
    <s v="None"/>
    <n v="2"/>
    <n v="36529"/>
    <n v="73058"/>
    <n v="0"/>
    <n v="0"/>
    <n v="73058"/>
    <n v="43589.25"/>
    <n v="29468.75"/>
    <x v="5"/>
    <x v="0"/>
    <n v="6"/>
  </r>
  <r>
    <s v="ORD-00599"/>
    <x v="123"/>
    <s v="Cap"/>
    <s v="Accessories"/>
    <s v="Physical Store"/>
    <s v="Lagos"/>
    <s v="Returning"/>
    <s v="Mid-Year Sale"/>
    <n v="1"/>
    <n v="11933"/>
    <n v="11933"/>
    <n v="2386.6"/>
    <n v="0.2"/>
    <n v="9546.4"/>
    <n v="7155.47"/>
    <n v="2390.9299999999994"/>
    <x v="5"/>
    <x v="0"/>
    <n v="6"/>
  </r>
  <r>
    <s v="ORD-00035"/>
    <x v="124"/>
    <s v="Cap"/>
    <s v="Accessories"/>
    <s v="Physical Store"/>
    <s v="Rivers"/>
    <s v="New"/>
    <s v="None"/>
    <n v="2"/>
    <n v="11244"/>
    <n v="22488"/>
    <n v="0"/>
    <n v="0"/>
    <n v="22488"/>
    <n v="15289.2"/>
    <n v="7198.7999999999993"/>
    <x v="5"/>
    <x v="0"/>
    <n v="6"/>
  </r>
  <r>
    <s v="ORD-00464"/>
    <x v="124"/>
    <s v="Belt"/>
    <s v="Accessories"/>
    <s v="Physical Store"/>
    <s v="Oyo"/>
    <s v="Returning"/>
    <s v="None"/>
    <n v="1"/>
    <n v="14550"/>
    <n v="14550"/>
    <n v="0"/>
    <n v="0"/>
    <n v="14550"/>
    <n v="9025.5499999999993"/>
    <n v="5524.4500000000007"/>
    <x v="5"/>
    <x v="0"/>
    <n v="6"/>
  </r>
  <r>
    <s v="ORD-01010"/>
    <x v="125"/>
    <s v="Sandals"/>
    <s v="Footwear"/>
    <s v="Physical Store"/>
    <s v="Oyo"/>
    <s v="New"/>
    <s v="None"/>
    <n v="4"/>
    <n v="32136"/>
    <n v="128544"/>
    <n v="0"/>
    <n v="0"/>
    <n v="128544"/>
    <n v="63607.66"/>
    <n v="64936.34"/>
    <x v="5"/>
    <x v="0"/>
    <n v="6"/>
  </r>
  <r>
    <s v="ORD-00452"/>
    <x v="126"/>
    <s v="Jeans"/>
    <s v="Clothing"/>
    <s v="Physical Store"/>
    <s v="Delta"/>
    <s v="New"/>
    <s v="None"/>
    <n v="2"/>
    <n v="39776"/>
    <n v="79552"/>
    <n v="0"/>
    <n v="0"/>
    <n v="79552"/>
    <n v="51761.58"/>
    <n v="27790.42"/>
    <x v="5"/>
    <x v="0"/>
    <n v="6"/>
  </r>
  <r>
    <s v="ORD-01189"/>
    <x v="126"/>
    <s v="Belt"/>
    <s v="Accessories"/>
    <s v="Physical Store"/>
    <s v="Oyo"/>
    <s v="New"/>
    <s v="None"/>
    <n v="1"/>
    <n v="16165"/>
    <n v="16165"/>
    <n v="0"/>
    <n v="0"/>
    <n v="16165"/>
    <n v="10851.77"/>
    <n v="5313.23"/>
    <x v="5"/>
    <x v="0"/>
    <n v="6"/>
  </r>
  <r>
    <s v="ORD-00754"/>
    <x v="127"/>
    <s v="Sandals"/>
    <s v="Footwear"/>
    <s v="Instagram"/>
    <s v="Lagos"/>
    <s v="New"/>
    <s v="None"/>
    <n v="1"/>
    <n v="30973"/>
    <n v="30973"/>
    <n v="1548.65"/>
    <n v="0.05"/>
    <n v="29424.35"/>
    <n v="18764.169999999998"/>
    <n v="10660.18"/>
    <x v="5"/>
    <x v="0"/>
    <n v="6"/>
  </r>
  <r>
    <s v="ORD-01056"/>
    <x v="127"/>
    <s v="Hoodie"/>
    <s v="Clothing"/>
    <s v="Website"/>
    <s v="Abuja"/>
    <s v="Returning"/>
    <s v="Mid-Year Sale"/>
    <n v="1"/>
    <n v="37646"/>
    <n v="37646"/>
    <n v="1882.3"/>
    <n v="0.05"/>
    <n v="35763.699999999997"/>
    <n v="20937.84"/>
    <n v="14825.859999999997"/>
    <x v="5"/>
    <x v="0"/>
    <n v="6"/>
  </r>
  <r>
    <s v="ORD-00734"/>
    <x v="128"/>
    <s v="Jeans"/>
    <s v="Clothing"/>
    <s v="Website"/>
    <s v="Oyo"/>
    <s v="New"/>
    <s v="None"/>
    <n v="5"/>
    <n v="38915"/>
    <n v="194575"/>
    <n v="0"/>
    <n v="0"/>
    <n v="194575"/>
    <n v="110946.14"/>
    <n v="83628.86"/>
    <x v="5"/>
    <x v="0"/>
    <n v="6"/>
  </r>
  <r>
    <s v="ORD-00468"/>
    <x v="128"/>
    <s v="Handbag"/>
    <s v="Accessories"/>
    <s v="Instagram"/>
    <s v="Delta"/>
    <s v="New"/>
    <s v="None"/>
    <n v="1"/>
    <n v="45388"/>
    <n v="45388"/>
    <n v="0"/>
    <n v="0"/>
    <n v="45388"/>
    <n v="25917.23"/>
    <n v="19470.77"/>
    <x v="5"/>
    <x v="0"/>
    <n v="6"/>
  </r>
  <r>
    <s v="ORD-00488"/>
    <x v="128"/>
    <s v="T-Shirt"/>
    <s v="Clothing"/>
    <s v="Physical Store"/>
    <s v="Lagos"/>
    <s v="New"/>
    <s v="Mid-Year Sale"/>
    <n v="5"/>
    <n v="17409"/>
    <n v="87045"/>
    <n v="8704.5"/>
    <n v="0.1"/>
    <n v="78340.5"/>
    <n v="51610.62"/>
    <n v="26729.879999999997"/>
    <x v="5"/>
    <x v="0"/>
    <n v="6"/>
  </r>
  <r>
    <s v="ORD-00420"/>
    <x v="129"/>
    <s v="Hoodie"/>
    <s v="Clothing"/>
    <s v="Website"/>
    <s v="Abuja"/>
    <s v="Returning"/>
    <s v="Mid-Year Sale"/>
    <n v="1"/>
    <n v="37069"/>
    <n v="37069"/>
    <n v="3706.9"/>
    <n v="0.1"/>
    <n v="33362.1"/>
    <n v="24633.43"/>
    <n v="8728.6699999999983"/>
    <x v="5"/>
    <x v="0"/>
    <n v="6"/>
  </r>
  <r>
    <s v="ORD-00888"/>
    <x v="129"/>
    <s v="Hoodie"/>
    <s v="Clothing"/>
    <s v="Website"/>
    <s v="Lagos"/>
    <s v="New"/>
    <s v="None"/>
    <n v="2"/>
    <n v="37560"/>
    <n v="75120"/>
    <n v="0"/>
    <n v="0"/>
    <n v="75120"/>
    <n v="39283.78"/>
    <n v="35836.22"/>
    <x v="5"/>
    <x v="0"/>
    <n v="6"/>
  </r>
  <r>
    <s v="ORD-00538"/>
    <x v="129"/>
    <s v="Cap"/>
    <s v="Accessories"/>
    <s v="WhatsApp"/>
    <s v="Lagos"/>
    <s v="New"/>
    <s v="Mid-Year Sale"/>
    <n v="2"/>
    <n v="12645"/>
    <n v="25290"/>
    <n v="1264.5"/>
    <n v="0.05"/>
    <n v="24025.5"/>
    <n v="14804.8"/>
    <n v="9220.7000000000007"/>
    <x v="5"/>
    <x v="0"/>
    <n v="6"/>
  </r>
  <r>
    <s v="ORD-00252"/>
    <x v="130"/>
    <s v="Hoodie"/>
    <s v="Clothing"/>
    <s v="Website"/>
    <s v="Oyo"/>
    <s v="New"/>
    <s v="None"/>
    <n v="3"/>
    <n v="35474"/>
    <n v="106422"/>
    <n v="10642.2"/>
    <n v="0.1"/>
    <n v="95779.8"/>
    <n v="69833.539999999994"/>
    <n v="25946.260000000009"/>
    <x v="5"/>
    <x v="0"/>
    <n v="6"/>
  </r>
  <r>
    <s v="ORD-00949"/>
    <x v="131"/>
    <s v="Belt"/>
    <s v="Accessories"/>
    <s v="Physical Store"/>
    <s v="Abuja"/>
    <s v="New"/>
    <s v="None"/>
    <n v="3"/>
    <n v="15764"/>
    <n v="47292"/>
    <n v="0"/>
    <n v="0"/>
    <n v="47292"/>
    <n v="24517.81"/>
    <n v="22774.19"/>
    <x v="5"/>
    <x v="0"/>
    <n v="6"/>
  </r>
  <r>
    <s v="ORD-01104"/>
    <x v="132"/>
    <s v="Belt"/>
    <s v="Accessories"/>
    <s v="Physical Store"/>
    <s v="Delta"/>
    <s v="New"/>
    <s v="Mid-Year Sale"/>
    <n v="1"/>
    <n v="14640"/>
    <n v="14640"/>
    <n v="2196"/>
    <n v="0.15"/>
    <n v="12444"/>
    <n v="8060.33"/>
    <n v="4383.67"/>
    <x v="6"/>
    <x v="0"/>
    <n v="7"/>
  </r>
  <r>
    <s v="ORD-00609"/>
    <x v="133"/>
    <s v="Cap"/>
    <s v="Accessories"/>
    <s v="Instagram"/>
    <s v="Oyo"/>
    <s v="New"/>
    <s v="None"/>
    <n v="2"/>
    <n v="11869"/>
    <n v="23738"/>
    <n v="0"/>
    <n v="0"/>
    <n v="23738"/>
    <n v="14669.25"/>
    <n v="9068.75"/>
    <x v="6"/>
    <x v="0"/>
    <n v="7"/>
  </r>
  <r>
    <s v="ORD-00167"/>
    <x v="134"/>
    <s v="Cap"/>
    <s v="Accessories"/>
    <s v="WhatsApp"/>
    <s v="Abuja"/>
    <s v="Returning"/>
    <s v="Mid-Year Sale"/>
    <n v="3"/>
    <n v="12040"/>
    <n v="36120"/>
    <n v="5418"/>
    <n v="0.15"/>
    <n v="30702"/>
    <n v="18244.57"/>
    <n v="12457.43"/>
    <x v="6"/>
    <x v="0"/>
    <n v="7"/>
  </r>
  <r>
    <s v="ORD-01150"/>
    <x v="134"/>
    <s v="Hoodie"/>
    <s v="Clothing"/>
    <s v="Physical Store"/>
    <s v="Lagos"/>
    <s v="New"/>
    <s v="Mid-Year Sale"/>
    <n v="1"/>
    <n v="40420"/>
    <n v="40420"/>
    <n v="4042"/>
    <n v="0.1"/>
    <n v="36378"/>
    <n v="23819.64"/>
    <n v="12558.36"/>
    <x v="6"/>
    <x v="0"/>
    <n v="7"/>
  </r>
  <r>
    <s v="ORD-01029"/>
    <x v="134"/>
    <s v="Sneakers"/>
    <s v="Footwear"/>
    <s v="Website"/>
    <s v="Abuja"/>
    <s v="New"/>
    <s v="Mid-Year Sale"/>
    <n v="5"/>
    <n v="67053"/>
    <n v="335265"/>
    <n v="16763.25"/>
    <n v="0.05"/>
    <n v="318501.75"/>
    <n v="162645.92000000001"/>
    <n v="155855.82999999999"/>
    <x v="6"/>
    <x v="0"/>
    <n v="7"/>
  </r>
  <r>
    <s v="ORD-01099"/>
    <x v="135"/>
    <s v="T-Shirt"/>
    <s v="Clothing"/>
    <s v="Physical Store"/>
    <s v="Abuja"/>
    <s v="New"/>
    <s v="None"/>
    <n v="1"/>
    <n v="17549"/>
    <n v="17549"/>
    <n v="0"/>
    <n v="0"/>
    <n v="17549"/>
    <n v="11094.87"/>
    <n v="6454.1299999999992"/>
    <x v="6"/>
    <x v="0"/>
    <n v="7"/>
  </r>
  <r>
    <s v="ORD-00071"/>
    <x v="135"/>
    <s v="Belt"/>
    <s v="Accessories"/>
    <s v="Website"/>
    <s v="Lagos"/>
    <s v="New"/>
    <s v="Mid-Year Sale"/>
    <n v="2"/>
    <n v="16129"/>
    <n v="32258"/>
    <n v="6451.6"/>
    <n v="0.2"/>
    <n v="25806.400000000001"/>
    <n v="20540.88"/>
    <n v="5265.52"/>
    <x v="6"/>
    <x v="0"/>
    <n v="7"/>
  </r>
  <r>
    <s v="ORD-00132"/>
    <x v="136"/>
    <s v="Cap"/>
    <s v="Accessories"/>
    <s v="Physical Store"/>
    <s v="Rivers"/>
    <s v="Returning"/>
    <s v="None"/>
    <n v="2"/>
    <n v="11568"/>
    <n v="23136"/>
    <n v="0"/>
    <n v="0"/>
    <n v="23136"/>
    <n v="14756.07"/>
    <n v="8379.93"/>
    <x v="6"/>
    <x v="0"/>
    <n v="7"/>
  </r>
  <r>
    <s v="ORD-00479"/>
    <x v="136"/>
    <s v="Belt"/>
    <s v="Accessories"/>
    <s v="WhatsApp"/>
    <s v="Abuja"/>
    <s v="Returning"/>
    <s v="None"/>
    <n v="2"/>
    <n v="14129"/>
    <n v="28258"/>
    <n v="0"/>
    <n v="0"/>
    <n v="28258"/>
    <n v="15552.81"/>
    <n v="12705.19"/>
    <x v="6"/>
    <x v="0"/>
    <n v="7"/>
  </r>
  <r>
    <s v="ORD-00026"/>
    <x v="136"/>
    <s v="Sneakers"/>
    <s v="Footwear"/>
    <s v="WhatsApp"/>
    <s v="Abuja"/>
    <s v="New"/>
    <s v="None"/>
    <n v="2"/>
    <n v="63536"/>
    <n v="127072"/>
    <n v="0"/>
    <n v="0"/>
    <n v="127072"/>
    <n v="65150.42"/>
    <n v="61921.58"/>
    <x v="6"/>
    <x v="0"/>
    <n v="7"/>
  </r>
  <r>
    <s v="ORD-00256"/>
    <x v="137"/>
    <s v="Polo Shirt"/>
    <s v="Clothing"/>
    <s v="Website"/>
    <s v="Lagos"/>
    <s v="New"/>
    <s v="Mid-Year Sale"/>
    <n v="5"/>
    <n v="26871"/>
    <n v="134355"/>
    <n v="20153.25"/>
    <n v="0.15"/>
    <n v="114201.75"/>
    <n v="71970.44"/>
    <n v="42231.31"/>
    <x v="6"/>
    <x v="0"/>
    <n v="7"/>
  </r>
  <r>
    <s v="ORD-00403"/>
    <x v="138"/>
    <s v="Belt"/>
    <s v="Accessories"/>
    <s v="Website"/>
    <s v="Abuja"/>
    <s v="New"/>
    <s v="None"/>
    <n v="2"/>
    <n v="15749"/>
    <n v="31498"/>
    <n v="0"/>
    <n v="0"/>
    <n v="31498"/>
    <n v="15821.37"/>
    <n v="15676.63"/>
    <x v="6"/>
    <x v="0"/>
    <n v="7"/>
  </r>
  <r>
    <s v="ORD-00730"/>
    <x v="139"/>
    <s v="Jeans"/>
    <s v="Clothing"/>
    <s v="Instagram"/>
    <s v="Delta"/>
    <s v="New"/>
    <s v="None"/>
    <n v="3"/>
    <n v="39325"/>
    <n v="117975"/>
    <n v="11797.5"/>
    <n v="0.1"/>
    <n v="106177.5"/>
    <n v="58101.45"/>
    <n v="48076.05"/>
    <x v="6"/>
    <x v="0"/>
    <n v="7"/>
  </r>
  <r>
    <s v="ORD-00920"/>
    <x v="139"/>
    <s v="T-Shirt"/>
    <s v="Clothing"/>
    <s v="Website"/>
    <s v="Lagos"/>
    <s v="New"/>
    <s v="Mid-Year Sale"/>
    <n v="1"/>
    <n v="18210"/>
    <n v="18210"/>
    <n v="1821"/>
    <n v="0.1"/>
    <n v="16389"/>
    <n v="11091.15"/>
    <n v="5297.85"/>
    <x v="6"/>
    <x v="0"/>
    <n v="7"/>
  </r>
  <r>
    <s v="ORD-00811"/>
    <x v="140"/>
    <s v="Cap"/>
    <s v="Accessories"/>
    <s v="Website"/>
    <s v="Rivers"/>
    <s v="New"/>
    <s v="Mid-Year Sale"/>
    <n v="1"/>
    <n v="12782"/>
    <n v="12782"/>
    <n v="1278.2"/>
    <n v="0.1"/>
    <n v="11503.8"/>
    <n v="7389.14"/>
    <n v="4114.6599999999989"/>
    <x v="6"/>
    <x v="0"/>
    <n v="7"/>
  </r>
  <r>
    <s v="ORD-00797"/>
    <x v="141"/>
    <s v="Belt"/>
    <s v="Accessories"/>
    <s v="Physical Store"/>
    <s v="Rivers"/>
    <s v="New"/>
    <s v="Mid-Year Sale"/>
    <n v="2"/>
    <n v="15741"/>
    <n v="31482"/>
    <n v="3148.2"/>
    <n v="0.1"/>
    <n v="28333.8"/>
    <n v="17988.97"/>
    <n v="10344.829999999998"/>
    <x v="6"/>
    <x v="0"/>
    <n v="7"/>
  </r>
  <r>
    <s v="ORD-00162"/>
    <x v="141"/>
    <s v="Cap"/>
    <s v="Accessories"/>
    <s v="Instagram"/>
    <s v="Lagos"/>
    <s v="Returning"/>
    <s v="None"/>
    <n v="1"/>
    <n v="11397"/>
    <n v="11397"/>
    <n v="0"/>
    <n v="0"/>
    <n v="11397"/>
    <n v="6418.33"/>
    <n v="4978.67"/>
    <x v="6"/>
    <x v="0"/>
    <n v="7"/>
  </r>
  <r>
    <s v="ORD-01043"/>
    <x v="142"/>
    <s v="Cap"/>
    <s v="Accessories"/>
    <s v="Website"/>
    <s v="Lagos"/>
    <s v="Returning"/>
    <s v="None"/>
    <n v="1"/>
    <n v="12635"/>
    <n v="12635"/>
    <n v="0"/>
    <n v="0"/>
    <n v="12635"/>
    <n v="7062.43"/>
    <n v="5572.57"/>
    <x v="6"/>
    <x v="0"/>
    <n v="7"/>
  </r>
  <r>
    <s v="ORD-00090"/>
    <x v="142"/>
    <s v="Sandals"/>
    <s v="Footwear"/>
    <s v="Physical Store"/>
    <s v="Lagos"/>
    <s v="Returning"/>
    <s v="Mid-Year Sale"/>
    <n v="2"/>
    <n v="31641"/>
    <n v="63282"/>
    <n v="9492.2999999999993"/>
    <n v="0.15"/>
    <n v="53789.7"/>
    <n v="40533.93"/>
    <n v="13255.769999999997"/>
    <x v="6"/>
    <x v="0"/>
    <n v="7"/>
  </r>
  <r>
    <s v="ORD-00057"/>
    <x v="143"/>
    <s v="Handbag"/>
    <s v="Accessories"/>
    <s v="Website"/>
    <s v="Oyo"/>
    <s v="New"/>
    <s v="None"/>
    <n v="2"/>
    <n v="44259"/>
    <n v="88518"/>
    <n v="0"/>
    <n v="0"/>
    <n v="88518"/>
    <n v="53605.62"/>
    <n v="34912.379999999997"/>
    <x v="6"/>
    <x v="0"/>
    <n v="7"/>
  </r>
  <r>
    <s v="ORD-00868"/>
    <x v="143"/>
    <s v="Sandals"/>
    <s v="Footwear"/>
    <s v="WhatsApp"/>
    <s v="Delta"/>
    <s v="New"/>
    <s v="Mid-Year Sale"/>
    <n v="2"/>
    <n v="30024"/>
    <n v="60048"/>
    <n v="9007.2000000000007"/>
    <n v="0.15"/>
    <n v="51040.800000000003"/>
    <n v="30491.89"/>
    <n v="20548.910000000003"/>
    <x v="6"/>
    <x v="0"/>
    <n v="7"/>
  </r>
  <r>
    <s v="ORD-00492"/>
    <x v="144"/>
    <s v="Cap"/>
    <s v="Accessories"/>
    <s v="Instagram"/>
    <s v="Lagos"/>
    <s v="New"/>
    <s v="Mid-Year Sale"/>
    <n v="1"/>
    <n v="11370"/>
    <n v="11370"/>
    <n v="568.5"/>
    <n v="0.05"/>
    <n v="10801.5"/>
    <n v="6618.52"/>
    <n v="4182.9799999999996"/>
    <x v="6"/>
    <x v="0"/>
    <n v="7"/>
  </r>
  <r>
    <s v="ORD-00155"/>
    <x v="144"/>
    <s v="Handbag"/>
    <s v="Accessories"/>
    <s v="WhatsApp"/>
    <s v="Abuja"/>
    <s v="Returning"/>
    <s v="None"/>
    <n v="2"/>
    <n v="44734"/>
    <n v="89468"/>
    <n v="0"/>
    <n v="0"/>
    <n v="89468"/>
    <n v="48369.87"/>
    <n v="41098.129999999997"/>
    <x v="6"/>
    <x v="0"/>
    <n v="7"/>
  </r>
  <r>
    <s v="ORD-00615"/>
    <x v="145"/>
    <s v="Jeans"/>
    <s v="Clothing"/>
    <s v="WhatsApp"/>
    <s v="Rivers"/>
    <s v="Returning"/>
    <s v="None"/>
    <n v="1"/>
    <n v="44023"/>
    <n v="44023"/>
    <n v="0"/>
    <n v="0"/>
    <n v="44023"/>
    <n v="29084.55"/>
    <n v="14938.45"/>
    <x v="6"/>
    <x v="0"/>
    <n v="7"/>
  </r>
  <r>
    <s v="ORD-00049"/>
    <x v="146"/>
    <s v="Jeans"/>
    <s v="Clothing"/>
    <s v="Physical Store"/>
    <s v="Rivers"/>
    <s v="New"/>
    <s v="Mid-Year Sale"/>
    <n v="3"/>
    <n v="40932"/>
    <n v="122796"/>
    <n v="6139.8"/>
    <n v="0.05"/>
    <n v="116656.2"/>
    <n v="73756.67"/>
    <n v="42899.53"/>
    <x v="6"/>
    <x v="0"/>
    <n v="7"/>
  </r>
  <r>
    <s v="ORD-00111"/>
    <x v="147"/>
    <s v="Polo Shirt"/>
    <s v="Clothing"/>
    <s v="Instagram"/>
    <s v="Lagos"/>
    <s v="Returning"/>
    <s v="Mid-Year Sale"/>
    <n v="2"/>
    <n v="23290"/>
    <n v="46580"/>
    <n v="9316"/>
    <n v="0.2"/>
    <n v="37264"/>
    <n v="25529.38"/>
    <n v="11734.619999999999"/>
    <x v="6"/>
    <x v="0"/>
    <n v="7"/>
  </r>
  <r>
    <s v="ORD-00197"/>
    <x v="148"/>
    <s v="Handbag"/>
    <s v="Accessories"/>
    <s v="Physical Store"/>
    <s v="Lagos"/>
    <s v="New"/>
    <s v="None"/>
    <n v="2"/>
    <n v="41515"/>
    <n v="83030"/>
    <n v="0"/>
    <n v="0"/>
    <n v="83030"/>
    <n v="41919.9"/>
    <n v="41110.1"/>
    <x v="6"/>
    <x v="0"/>
    <n v="7"/>
  </r>
  <r>
    <s v="ORD-00646"/>
    <x v="149"/>
    <s v="T-Shirt"/>
    <s v="Clothing"/>
    <s v="WhatsApp"/>
    <s v="Lagos"/>
    <s v="New"/>
    <s v="None"/>
    <n v="2"/>
    <n v="18848"/>
    <n v="37696"/>
    <n v="0"/>
    <n v="0"/>
    <n v="37696"/>
    <n v="19381.54"/>
    <n v="18314.46"/>
    <x v="7"/>
    <x v="0"/>
    <n v="8"/>
  </r>
  <r>
    <s v="ORD-00906"/>
    <x v="150"/>
    <s v="Hoodie"/>
    <s v="Clothing"/>
    <s v="Website"/>
    <s v="Lagos"/>
    <s v="New"/>
    <s v="None"/>
    <n v="3"/>
    <n v="38479"/>
    <n v="115437"/>
    <n v="17315.55"/>
    <n v="0.15"/>
    <n v="98121.45"/>
    <n v="68748.179999999993"/>
    <n v="29373.270000000004"/>
    <x v="7"/>
    <x v="0"/>
    <n v="8"/>
  </r>
  <r>
    <s v="ORD-01177"/>
    <x v="151"/>
    <s v="Dress"/>
    <s v="Clothing"/>
    <s v="Instagram"/>
    <s v="Abuja"/>
    <s v="Returning"/>
    <s v="None"/>
    <n v="1"/>
    <n v="46602"/>
    <n v="46602"/>
    <n v="0"/>
    <n v="0"/>
    <n v="46602"/>
    <n v="24194.26"/>
    <n v="22407.74"/>
    <x v="7"/>
    <x v="0"/>
    <n v="8"/>
  </r>
  <r>
    <s v="ORD-00818"/>
    <x v="151"/>
    <s v="Sandals"/>
    <s v="Footwear"/>
    <s v="WhatsApp"/>
    <s v="Rivers"/>
    <s v="New"/>
    <s v="None"/>
    <n v="2"/>
    <n v="32129"/>
    <n v="64258"/>
    <n v="6425.8"/>
    <n v="0.1"/>
    <n v="57832.2"/>
    <n v="37309.07"/>
    <n v="20523.129999999997"/>
    <x v="7"/>
    <x v="0"/>
    <n v="8"/>
  </r>
  <r>
    <s v="ORD-01067"/>
    <x v="151"/>
    <s v="Jeans"/>
    <s v="Clothing"/>
    <s v="Website"/>
    <s v="Rivers"/>
    <s v="New"/>
    <s v="None"/>
    <n v="2"/>
    <n v="40236"/>
    <n v="80472"/>
    <n v="0"/>
    <n v="0"/>
    <n v="80472"/>
    <n v="53415.75"/>
    <n v="27056.25"/>
    <x v="7"/>
    <x v="0"/>
    <n v="8"/>
  </r>
  <r>
    <s v="ORD-00460"/>
    <x v="152"/>
    <s v="Hoodie"/>
    <s v="Clothing"/>
    <s v="Instagram"/>
    <s v="Lagos"/>
    <s v="Returning"/>
    <s v="None"/>
    <n v="2"/>
    <n v="35007"/>
    <n v="70014"/>
    <n v="0"/>
    <n v="0"/>
    <n v="70014"/>
    <n v="47420.31"/>
    <n v="22593.690000000002"/>
    <x v="7"/>
    <x v="0"/>
    <n v="8"/>
  </r>
  <r>
    <s v="ORD-00069"/>
    <x v="152"/>
    <s v="Polo Shirt"/>
    <s v="Clothing"/>
    <s v="Website"/>
    <s v="Delta"/>
    <s v="New"/>
    <s v="None"/>
    <n v="2"/>
    <n v="26580"/>
    <n v="53160"/>
    <n v="0"/>
    <n v="0"/>
    <n v="53160"/>
    <n v="32044.14"/>
    <n v="21115.86"/>
    <x v="7"/>
    <x v="0"/>
    <n v="8"/>
  </r>
  <r>
    <s v="ORD-00411"/>
    <x v="152"/>
    <s v="T-Shirt"/>
    <s v="Clothing"/>
    <s v="WhatsApp"/>
    <s v="Abuja"/>
    <s v="Returning"/>
    <s v="None"/>
    <n v="1"/>
    <n v="16915"/>
    <n v="16915"/>
    <n v="0"/>
    <n v="0"/>
    <n v="16915"/>
    <n v="8122.39"/>
    <n v="8792.61"/>
    <x v="7"/>
    <x v="0"/>
    <n v="8"/>
  </r>
  <r>
    <s v="ORD-00840"/>
    <x v="153"/>
    <s v="Sandals"/>
    <s v="Footwear"/>
    <s v="WhatsApp"/>
    <s v="Oyo"/>
    <s v="New"/>
    <s v="None"/>
    <n v="1"/>
    <n v="32285"/>
    <n v="32285"/>
    <n v="0"/>
    <n v="0"/>
    <n v="32285"/>
    <n v="18442.009999999998"/>
    <n v="13842.990000000002"/>
    <x v="7"/>
    <x v="0"/>
    <n v="8"/>
  </r>
  <r>
    <s v="ORD-00352"/>
    <x v="153"/>
    <s v="Dress"/>
    <s v="Clothing"/>
    <s v="Physical Store"/>
    <s v="Oyo"/>
    <s v="New"/>
    <s v="None"/>
    <n v="2"/>
    <n v="46775"/>
    <n v="93550"/>
    <n v="0"/>
    <n v="0"/>
    <n v="93550"/>
    <n v="59825.49"/>
    <n v="33724.51"/>
    <x v="7"/>
    <x v="0"/>
    <n v="8"/>
  </r>
  <r>
    <s v="ORD-01163"/>
    <x v="153"/>
    <s v="Polo Shirt"/>
    <s v="Clothing"/>
    <s v="Website"/>
    <s v="Oyo"/>
    <s v="New"/>
    <s v="None"/>
    <n v="1"/>
    <n v="24010"/>
    <n v="24010"/>
    <n v="0"/>
    <n v="0"/>
    <n v="24010"/>
    <n v="14570.18"/>
    <n v="9439.82"/>
    <x v="7"/>
    <x v="0"/>
    <n v="8"/>
  </r>
  <r>
    <s v="ORD-00148"/>
    <x v="154"/>
    <s v="Sandals"/>
    <s v="Footwear"/>
    <s v="Physical Store"/>
    <s v="Oyo"/>
    <s v="Returning"/>
    <s v="None"/>
    <n v="1"/>
    <n v="29321"/>
    <n v="29321"/>
    <n v="0"/>
    <n v="0"/>
    <n v="29321"/>
    <n v="15708.78"/>
    <n v="13612.22"/>
    <x v="7"/>
    <x v="0"/>
    <n v="8"/>
  </r>
  <r>
    <s v="ORD-00537"/>
    <x v="155"/>
    <s v="Jeans"/>
    <s v="Clothing"/>
    <s v="Physical Store"/>
    <s v="Abuja"/>
    <s v="Returning"/>
    <s v="None"/>
    <n v="1"/>
    <n v="44612"/>
    <n v="44612"/>
    <n v="0"/>
    <n v="0"/>
    <n v="44612"/>
    <n v="25429.41"/>
    <n v="19182.59"/>
    <x v="7"/>
    <x v="0"/>
    <n v="8"/>
  </r>
  <r>
    <s v="ORD-00738"/>
    <x v="156"/>
    <s v="Handbag"/>
    <s v="Accessories"/>
    <s v="Instagram"/>
    <s v="Abuja"/>
    <s v="Returning"/>
    <s v="None"/>
    <n v="2"/>
    <n v="48250"/>
    <n v="96500"/>
    <n v="0"/>
    <n v="0"/>
    <n v="96500"/>
    <n v="61329.23"/>
    <n v="35170.769999999997"/>
    <x v="7"/>
    <x v="0"/>
    <n v="8"/>
  </r>
  <r>
    <s v="ORD-00231"/>
    <x v="157"/>
    <s v="Polo Shirt"/>
    <s v="Clothing"/>
    <s v="Website"/>
    <s v="Oyo"/>
    <s v="New"/>
    <s v="None"/>
    <n v="2"/>
    <n v="23266"/>
    <n v="46532"/>
    <n v="0"/>
    <n v="0"/>
    <n v="46532"/>
    <n v="23025.01"/>
    <n v="23506.99"/>
    <x v="7"/>
    <x v="0"/>
    <n v="8"/>
  </r>
  <r>
    <s v="ORD-01157"/>
    <x v="157"/>
    <s v="Sandals"/>
    <s v="Footwear"/>
    <s v="Website"/>
    <s v="Oyo"/>
    <s v="New"/>
    <s v="None"/>
    <n v="2"/>
    <n v="30011"/>
    <n v="60022"/>
    <n v="0"/>
    <n v="0"/>
    <n v="60022"/>
    <n v="37898.03"/>
    <n v="22123.97"/>
    <x v="7"/>
    <x v="0"/>
    <n v="8"/>
  </r>
  <r>
    <s v="ORD-01161"/>
    <x v="157"/>
    <s v="T-Shirt"/>
    <s v="Clothing"/>
    <s v="Instagram"/>
    <s v="Lagos"/>
    <s v="Returning"/>
    <s v="None"/>
    <n v="4"/>
    <n v="17895"/>
    <n v="71580"/>
    <n v="0"/>
    <n v="0"/>
    <n v="71580"/>
    <n v="36492.85"/>
    <n v="35087.15"/>
    <x v="7"/>
    <x v="0"/>
    <n v="8"/>
  </r>
  <r>
    <s v="ORD-00694"/>
    <x v="158"/>
    <s v="Cap"/>
    <s v="Accessories"/>
    <s v="Physical Store"/>
    <s v="Lagos"/>
    <s v="Returning"/>
    <s v="None"/>
    <n v="3"/>
    <n v="11726"/>
    <n v="35178"/>
    <n v="0"/>
    <n v="0"/>
    <n v="35178"/>
    <n v="21407.94"/>
    <n v="13770.060000000001"/>
    <x v="7"/>
    <x v="0"/>
    <n v="8"/>
  </r>
  <r>
    <s v="ORD-00817"/>
    <x v="158"/>
    <s v="Handbag"/>
    <s v="Accessories"/>
    <s v="Physical Store"/>
    <s v="Lagos"/>
    <s v="New"/>
    <s v="None"/>
    <n v="5"/>
    <n v="41920"/>
    <n v="209600"/>
    <n v="0"/>
    <n v="0"/>
    <n v="209600"/>
    <n v="113260.91"/>
    <n v="96339.09"/>
    <x v="7"/>
    <x v="0"/>
    <n v="8"/>
  </r>
  <r>
    <s v="ORD-00717"/>
    <x v="159"/>
    <s v="Polo Shirt"/>
    <s v="Clothing"/>
    <s v="Instagram"/>
    <s v="Lagos"/>
    <s v="New"/>
    <s v="None"/>
    <n v="2"/>
    <n v="23375"/>
    <n v="46750"/>
    <n v="0"/>
    <n v="0"/>
    <n v="46750"/>
    <n v="27715.22"/>
    <n v="19034.78"/>
    <x v="7"/>
    <x v="0"/>
    <n v="8"/>
  </r>
  <r>
    <s v="ORD-00227"/>
    <x v="160"/>
    <s v="T-Shirt"/>
    <s v="Clothing"/>
    <s v="Physical Store"/>
    <s v="Delta"/>
    <s v="New"/>
    <s v="None"/>
    <n v="5"/>
    <n v="16889"/>
    <n v="84445"/>
    <n v="0"/>
    <n v="0"/>
    <n v="84445"/>
    <n v="51999.5"/>
    <n v="32445.5"/>
    <x v="7"/>
    <x v="0"/>
    <n v="8"/>
  </r>
  <r>
    <s v="ORD-00120"/>
    <x v="161"/>
    <s v="Polo Shirt"/>
    <s v="Clothing"/>
    <s v="WhatsApp"/>
    <s v="Rivers"/>
    <s v="New"/>
    <s v="None"/>
    <n v="2"/>
    <n v="24738"/>
    <n v="49476"/>
    <n v="0"/>
    <n v="0"/>
    <n v="49476"/>
    <n v="29704.63"/>
    <n v="19771.37"/>
    <x v="7"/>
    <x v="0"/>
    <n v="8"/>
  </r>
  <r>
    <s v="ORD-00085"/>
    <x v="161"/>
    <s v="Hoodie"/>
    <s v="Clothing"/>
    <s v="Physical Store"/>
    <s v="Oyo"/>
    <s v="New"/>
    <s v="None"/>
    <n v="1"/>
    <n v="35281"/>
    <n v="35281"/>
    <n v="0"/>
    <n v="0"/>
    <n v="35281"/>
    <n v="21164.15"/>
    <n v="14116.849999999999"/>
    <x v="7"/>
    <x v="0"/>
    <n v="8"/>
  </r>
  <r>
    <s v="ORD-00691"/>
    <x v="162"/>
    <s v="T-Shirt"/>
    <s v="Clothing"/>
    <s v="Physical Store"/>
    <s v="Delta"/>
    <s v="Returning"/>
    <s v="None"/>
    <n v="4"/>
    <n v="16861"/>
    <n v="67444"/>
    <n v="0"/>
    <n v="0"/>
    <n v="67444"/>
    <n v="39886.47"/>
    <n v="27557.53"/>
    <x v="7"/>
    <x v="0"/>
    <n v="8"/>
  </r>
  <r>
    <s v="ORD-00638"/>
    <x v="162"/>
    <s v="Dress"/>
    <s v="Clothing"/>
    <s v="Website"/>
    <s v="Oyo"/>
    <s v="New"/>
    <s v="None"/>
    <n v="2"/>
    <n v="52018"/>
    <n v="104036"/>
    <n v="0"/>
    <n v="0"/>
    <n v="104036"/>
    <n v="61467.09"/>
    <n v="42568.91"/>
    <x v="7"/>
    <x v="0"/>
    <n v="8"/>
  </r>
  <r>
    <s v="ORD-00444"/>
    <x v="163"/>
    <s v="Polo Shirt"/>
    <s v="Clothing"/>
    <s v="Instagram"/>
    <s v="Delta"/>
    <s v="New"/>
    <s v="None"/>
    <n v="1"/>
    <n v="24841"/>
    <n v="24841"/>
    <n v="0"/>
    <n v="0"/>
    <n v="24841"/>
    <n v="16810.96"/>
    <n v="8030.0400000000009"/>
    <x v="7"/>
    <x v="0"/>
    <n v="8"/>
  </r>
  <r>
    <s v="ORD-00763"/>
    <x v="164"/>
    <s v="Handbag"/>
    <s v="Accessories"/>
    <s v="Website"/>
    <s v="Lagos"/>
    <s v="New"/>
    <s v="None"/>
    <n v="1"/>
    <n v="43855"/>
    <n v="43855"/>
    <n v="0"/>
    <n v="0"/>
    <n v="43855"/>
    <n v="27292.560000000001"/>
    <n v="16562.439999999999"/>
    <x v="7"/>
    <x v="0"/>
    <n v="8"/>
  </r>
  <r>
    <s v="ORD-00577"/>
    <x v="164"/>
    <s v="Polo Shirt"/>
    <s v="Clothing"/>
    <s v="Physical Store"/>
    <s v="Lagos"/>
    <s v="Returning"/>
    <s v="None"/>
    <n v="5"/>
    <n v="24979"/>
    <n v="124895"/>
    <n v="0"/>
    <n v="0"/>
    <n v="124895"/>
    <n v="73916.27"/>
    <n v="50978.729999999996"/>
    <x v="7"/>
    <x v="0"/>
    <n v="8"/>
  </r>
  <r>
    <s v="ORD-00988"/>
    <x v="165"/>
    <s v="Sandals"/>
    <s v="Footwear"/>
    <s v="Instagram"/>
    <s v="Lagos"/>
    <s v="New"/>
    <s v="None"/>
    <n v="2"/>
    <n v="30929"/>
    <n v="61858"/>
    <n v="0"/>
    <n v="0"/>
    <n v="61858"/>
    <n v="40244.620000000003"/>
    <n v="21613.379999999997"/>
    <x v="7"/>
    <x v="0"/>
    <n v="8"/>
  </r>
  <r>
    <s v="ORD-00647"/>
    <x v="166"/>
    <s v="Belt"/>
    <s v="Accessories"/>
    <s v="WhatsApp"/>
    <s v="Oyo"/>
    <s v="New"/>
    <s v="None"/>
    <n v="1"/>
    <n v="15989"/>
    <n v="15989"/>
    <n v="2398.35"/>
    <n v="0.15"/>
    <n v="13590.65"/>
    <n v="8457.27"/>
    <n v="5133.3799999999992"/>
    <x v="7"/>
    <x v="0"/>
    <n v="8"/>
  </r>
  <r>
    <s v="ORD-00040"/>
    <x v="167"/>
    <s v="Sandals"/>
    <s v="Footwear"/>
    <s v="WhatsApp"/>
    <s v="Oyo"/>
    <s v="New"/>
    <s v="None"/>
    <n v="1"/>
    <n v="28781"/>
    <n v="28781"/>
    <n v="0"/>
    <n v="0"/>
    <n v="28781"/>
    <n v="16084.93"/>
    <n v="12696.07"/>
    <x v="7"/>
    <x v="0"/>
    <n v="8"/>
  </r>
  <r>
    <s v="ORD-00714"/>
    <x v="168"/>
    <s v="Polo Shirt"/>
    <s v="Clothing"/>
    <s v="Website"/>
    <s v="Lagos"/>
    <s v="New"/>
    <s v="None"/>
    <n v="3"/>
    <n v="24183"/>
    <n v="72549"/>
    <n v="0"/>
    <n v="0"/>
    <n v="72549"/>
    <n v="40933.870000000003"/>
    <n v="31615.129999999997"/>
    <x v="7"/>
    <x v="0"/>
    <n v="8"/>
  </r>
  <r>
    <s v="ORD-00873"/>
    <x v="169"/>
    <s v="T-Shirt"/>
    <s v="Clothing"/>
    <s v="Instagram"/>
    <s v="Abuja"/>
    <s v="New"/>
    <s v="None"/>
    <n v="2"/>
    <n v="18927"/>
    <n v="37854"/>
    <n v="0"/>
    <n v="0"/>
    <n v="37854"/>
    <n v="23510.080000000002"/>
    <n v="14343.919999999998"/>
    <x v="7"/>
    <x v="0"/>
    <n v="8"/>
  </r>
  <r>
    <s v="ORD-01127"/>
    <x v="170"/>
    <s v="T-Shirt"/>
    <s v="Clothing"/>
    <s v="Instagram"/>
    <s v="Delta"/>
    <s v="Returning"/>
    <s v="None"/>
    <n v="1"/>
    <n v="16734"/>
    <n v="16734"/>
    <n v="1673.4"/>
    <n v="0.1"/>
    <n v="15060.6"/>
    <n v="10426.02"/>
    <n v="4634.58"/>
    <x v="8"/>
    <x v="0"/>
    <n v="9"/>
  </r>
  <r>
    <s v="ORD-00271"/>
    <x v="171"/>
    <s v="Dress"/>
    <s v="Clothing"/>
    <s v="Physical Store"/>
    <s v="Lagos"/>
    <s v="Returning"/>
    <s v="None"/>
    <n v="1"/>
    <n v="53427"/>
    <n v="53427"/>
    <n v="0"/>
    <n v="0"/>
    <n v="53427"/>
    <n v="34150.620000000003"/>
    <n v="19276.379999999997"/>
    <x v="8"/>
    <x v="0"/>
    <n v="9"/>
  </r>
  <r>
    <s v="ORD-00340"/>
    <x v="172"/>
    <s v="Hoodie"/>
    <s v="Clothing"/>
    <s v="Physical Store"/>
    <s v="Lagos"/>
    <s v="Returning"/>
    <s v="None"/>
    <n v="1"/>
    <n v="40863"/>
    <n v="40863"/>
    <n v="0"/>
    <n v="0"/>
    <n v="40863"/>
    <n v="25515.4"/>
    <n v="15347.599999999999"/>
    <x v="8"/>
    <x v="0"/>
    <n v="9"/>
  </r>
  <r>
    <s v="ORD-00153"/>
    <x v="172"/>
    <s v="Dress"/>
    <s v="Clothing"/>
    <s v="Instagram"/>
    <s v="Lagos"/>
    <s v="New"/>
    <s v="None"/>
    <n v="1"/>
    <n v="53433"/>
    <n v="53433"/>
    <n v="0"/>
    <n v="0"/>
    <n v="53433"/>
    <n v="35331.089999999997"/>
    <n v="18101.910000000003"/>
    <x v="8"/>
    <x v="0"/>
    <n v="9"/>
  </r>
  <r>
    <s v="ORD-00644"/>
    <x v="173"/>
    <s v="Cap"/>
    <s v="Accessories"/>
    <s v="WhatsApp"/>
    <s v="Rivers"/>
    <s v="New"/>
    <s v="None"/>
    <n v="2"/>
    <n v="12114"/>
    <n v="24228"/>
    <n v="0"/>
    <n v="0"/>
    <n v="24228"/>
    <n v="14076.14"/>
    <n v="10151.86"/>
    <x v="8"/>
    <x v="0"/>
    <n v="9"/>
  </r>
  <r>
    <s v="ORD-00598"/>
    <x v="173"/>
    <s v="Jeans"/>
    <s v="Clothing"/>
    <s v="WhatsApp"/>
    <s v="Abuja"/>
    <s v="Returning"/>
    <s v="None"/>
    <n v="2"/>
    <n v="45358"/>
    <n v="90716"/>
    <n v="13607.4"/>
    <n v="0.15"/>
    <n v="77108.600000000006"/>
    <n v="45615.34"/>
    <n v="31493.260000000009"/>
    <x v="8"/>
    <x v="0"/>
    <n v="9"/>
  </r>
  <r>
    <s v="ORD-01081"/>
    <x v="174"/>
    <s v="Sneakers"/>
    <s v="Footwear"/>
    <s v="Instagram"/>
    <s v="Delta"/>
    <s v="Returning"/>
    <s v="None"/>
    <n v="3"/>
    <n v="64531"/>
    <n v="193593"/>
    <n v="0"/>
    <n v="0"/>
    <n v="193593"/>
    <n v="129594.54"/>
    <n v="63998.460000000006"/>
    <x v="8"/>
    <x v="0"/>
    <n v="9"/>
  </r>
  <r>
    <s v="ORD-00570"/>
    <x v="174"/>
    <s v="Sandals"/>
    <s v="Footwear"/>
    <s v="WhatsApp"/>
    <s v="Rivers"/>
    <s v="Returning"/>
    <s v="None"/>
    <n v="2"/>
    <n v="31198"/>
    <n v="62396"/>
    <n v="6239.6"/>
    <n v="0.1"/>
    <n v="56156.4"/>
    <n v="37810.379999999997"/>
    <n v="18346.020000000004"/>
    <x v="8"/>
    <x v="0"/>
    <n v="9"/>
  </r>
  <r>
    <s v="ORD-01119"/>
    <x v="175"/>
    <s v="T-Shirt"/>
    <s v="Clothing"/>
    <s v="Physical Store"/>
    <s v="Lagos"/>
    <s v="New"/>
    <s v="None"/>
    <n v="1"/>
    <n v="19167"/>
    <n v="19167"/>
    <n v="0"/>
    <n v="0"/>
    <n v="19167"/>
    <n v="10042.74"/>
    <n v="9124.26"/>
    <x v="8"/>
    <x v="0"/>
    <n v="9"/>
  </r>
  <r>
    <s v="ORD-00018"/>
    <x v="176"/>
    <s v="Belt"/>
    <s v="Accessories"/>
    <s v="Physical Store"/>
    <s v="Rivers"/>
    <s v="New"/>
    <s v="None"/>
    <n v="4"/>
    <n v="15501"/>
    <n v="62004"/>
    <n v="3100.2"/>
    <n v="0.05"/>
    <n v="58903.8"/>
    <n v="38617.17"/>
    <n v="20286.630000000005"/>
    <x v="8"/>
    <x v="0"/>
    <n v="9"/>
  </r>
  <r>
    <s v="ORD-00257"/>
    <x v="176"/>
    <s v="Belt"/>
    <s v="Accessories"/>
    <s v="Website"/>
    <s v="Rivers"/>
    <s v="New"/>
    <s v="None"/>
    <n v="1"/>
    <n v="14677"/>
    <n v="14677"/>
    <n v="0"/>
    <n v="0"/>
    <n v="14677"/>
    <n v="7932.86"/>
    <n v="6744.14"/>
    <x v="8"/>
    <x v="0"/>
    <n v="9"/>
  </r>
  <r>
    <s v="ORD-00191"/>
    <x v="177"/>
    <s v="Hoodie"/>
    <s v="Clothing"/>
    <s v="WhatsApp"/>
    <s v="Lagos"/>
    <s v="Returning"/>
    <s v="None"/>
    <n v="3"/>
    <n v="37529"/>
    <n v="112587"/>
    <n v="0"/>
    <n v="0"/>
    <n v="112587"/>
    <n v="61366.559999999998"/>
    <n v="51220.44"/>
    <x v="8"/>
    <x v="0"/>
    <n v="9"/>
  </r>
  <r>
    <s v="ORD-00204"/>
    <x v="177"/>
    <s v="Belt"/>
    <s v="Accessories"/>
    <s v="Website"/>
    <s v="Abuja"/>
    <s v="Returning"/>
    <s v="None"/>
    <n v="1"/>
    <n v="14230"/>
    <n v="14230"/>
    <n v="0"/>
    <n v="0"/>
    <n v="14230"/>
    <n v="7152.86"/>
    <n v="7077.14"/>
    <x v="8"/>
    <x v="0"/>
    <n v="9"/>
  </r>
  <r>
    <s v="ORD-00525"/>
    <x v="178"/>
    <s v="Dress"/>
    <s v="Clothing"/>
    <s v="Physical Store"/>
    <s v="Oyo"/>
    <s v="New"/>
    <s v="None"/>
    <n v="2"/>
    <n v="53489"/>
    <n v="106978"/>
    <n v="0"/>
    <n v="0"/>
    <n v="106978"/>
    <n v="71681.23"/>
    <n v="35296.770000000004"/>
    <x v="8"/>
    <x v="0"/>
    <n v="9"/>
  </r>
  <r>
    <s v="ORD-00369"/>
    <x v="179"/>
    <s v="Dress"/>
    <s v="Clothing"/>
    <s v="Physical Store"/>
    <s v="Oyo"/>
    <s v="Returning"/>
    <s v="None"/>
    <n v="5"/>
    <n v="47045"/>
    <n v="235225"/>
    <n v="0"/>
    <n v="0"/>
    <n v="235225"/>
    <n v="147218.38"/>
    <n v="88006.62"/>
    <x v="8"/>
    <x v="0"/>
    <n v="9"/>
  </r>
  <r>
    <s v="ORD-00749"/>
    <x v="180"/>
    <s v="Cap"/>
    <s v="Accessories"/>
    <s v="WhatsApp"/>
    <s v="Lagos"/>
    <s v="New"/>
    <s v="None"/>
    <n v="1"/>
    <n v="12942"/>
    <n v="12942"/>
    <n v="0"/>
    <n v="0"/>
    <n v="12942"/>
    <n v="6742.04"/>
    <n v="6199.96"/>
    <x v="8"/>
    <x v="0"/>
    <n v="9"/>
  </r>
  <r>
    <s v="ORD-01167"/>
    <x v="180"/>
    <s v="Hoodie"/>
    <s v="Clothing"/>
    <s v="Instagram"/>
    <s v="Abuja"/>
    <s v="Returning"/>
    <s v="None"/>
    <n v="5"/>
    <n v="40572"/>
    <n v="202860"/>
    <n v="0"/>
    <n v="0"/>
    <n v="202860"/>
    <n v="137501.53"/>
    <n v="65358.47"/>
    <x v="8"/>
    <x v="0"/>
    <n v="9"/>
  </r>
  <r>
    <s v="ORD-00971"/>
    <x v="181"/>
    <s v="Dress"/>
    <s v="Clothing"/>
    <s v="Website"/>
    <s v="Delta"/>
    <s v="New"/>
    <s v="None"/>
    <n v="2"/>
    <n v="48883"/>
    <n v="97766"/>
    <n v="0"/>
    <n v="0"/>
    <n v="97766"/>
    <n v="54935.08"/>
    <n v="42830.92"/>
    <x v="8"/>
    <x v="0"/>
    <n v="9"/>
  </r>
  <r>
    <s v="ORD-00753"/>
    <x v="181"/>
    <s v="Sneakers"/>
    <s v="Footwear"/>
    <s v="Physical Store"/>
    <s v="Oyo"/>
    <s v="New"/>
    <s v="None"/>
    <n v="1"/>
    <n v="63438"/>
    <n v="63438"/>
    <n v="0"/>
    <n v="0"/>
    <n v="63438"/>
    <n v="35011.980000000003"/>
    <n v="28426.019999999997"/>
    <x v="8"/>
    <x v="0"/>
    <n v="9"/>
  </r>
  <r>
    <s v="ORD-00183"/>
    <x v="182"/>
    <s v="Hoodie"/>
    <s v="Clothing"/>
    <s v="Physical Store"/>
    <s v="Delta"/>
    <s v="Returning"/>
    <s v="None"/>
    <n v="2"/>
    <n v="39748"/>
    <n v="79496"/>
    <n v="0"/>
    <n v="0"/>
    <n v="79496"/>
    <n v="47126.41"/>
    <n v="32369.589999999997"/>
    <x v="8"/>
    <x v="0"/>
    <n v="9"/>
  </r>
  <r>
    <s v="ORD-00305"/>
    <x v="183"/>
    <s v="Belt"/>
    <s v="Accessories"/>
    <s v="Website"/>
    <s v="Abuja"/>
    <s v="New"/>
    <s v="None"/>
    <n v="1"/>
    <n v="14422"/>
    <n v="14422"/>
    <n v="0"/>
    <n v="0"/>
    <n v="14422"/>
    <n v="7181.91"/>
    <n v="7240.09"/>
    <x v="8"/>
    <x v="0"/>
    <n v="9"/>
  </r>
  <r>
    <s v="ORD-00424"/>
    <x v="184"/>
    <s v="Handbag"/>
    <s v="Accessories"/>
    <s v="Website"/>
    <s v="Lagos"/>
    <s v="Returning"/>
    <s v="None"/>
    <n v="1"/>
    <n v="47476"/>
    <n v="47476"/>
    <n v="2373.8000000000002"/>
    <n v="0.05"/>
    <n v="45102.2"/>
    <n v="26792.73"/>
    <n v="18309.469999999998"/>
    <x v="8"/>
    <x v="0"/>
    <n v="9"/>
  </r>
  <r>
    <s v="ORD-01132"/>
    <x v="185"/>
    <s v="Cap"/>
    <s v="Accessories"/>
    <s v="WhatsApp"/>
    <s v="Lagos"/>
    <s v="Returning"/>
    <s v="None"/>
    <n v="1"/>
    <n v="12714"/>
    <n v="12714"/>
    <n v="0"/>
    <n v="0"/>
    <n v="12714"/>
    <n v="7315.11"/>
    <n v="5398.89"/>
    <x v="8"/>
    <x v="0"/>
    <n v="9"/>
  </r>
  <r>
    <s v="ORD-00575"/>
    <x v="186"/>
    <s v="Polo Shirt"/>
    <s v="Clothing"/>
    <s v="Website"/>
    <s v="Lagos"/>
    <s v="Returning"/>
    <s v="None"/>
    <n v="1"/>
    <n v="25919"/>
    <n v="25919"/>
    <n v="1295.95"/>
    <n v="0.05"/>
    <n v="24623.05"/>
    <n v="12855.92"/>
    <n v="11767.13"/>
    <x v="8"/>
    <x v="0"/>
    <n v="9"/>
  </r>
  <r>
    <s v="ORD-01012"/>
    <x v="186"/>
    <s v="Hoodie"/>
    <s v="Clothing"/>
    <s v="Website"/>
    <s v="Abuja"/>
    <s v="New"/>
    <s v="None"/>
    <n v="3"/>
    <n v="39306"/>
    <n v="117918"/>
    <n v="0"/>
    <n v="0"/>
    <n v="117918"/>
    <n v="68686.64"/>
    <n v="49231.360000000001"/>
    <x v="8"/>
    <x v="0"/>
    <n v="9"/>
  </r>
  <r>
    <s v="ORD-00318"/>
    <x v="187"/>
    <s v="Hoodie"/>
    <s v="Clothing"/>
    <s v="Physical Store"/>
    <s v="Oyo"/>
    <s v="Returning"/>
    <s v="None"/>
    <n v="3"/>
    <n v="38811"/>
    <n v="116433"/>
    <n v="0"/>
    <n v="0"/>
    <n v="116433"/>
    <n v="65153.21"/>
    <n v="51279.79"/>
    <x v="8"/>
    <x v="0"/>
    <n v="9"/>
  </r>
  <r>
    <s v="ORD-00059"/>
    <x v="188"/>
    <s v="Jeans"/>
    <s v="Clothing"/>
    <s v="Instagram"/>
    <s v="Delta"/>
    <s v="Returning"/>
    <s v="None"/>
    <n v="3"/>
    <n v="44432"/>
    <n v="133296"/>
    <n v="0"/>
    <n v="0"/>
    <n v="133296"/>
    <n v="76966.759999999995"/>
    <n v="56329.240000000005"/>
    <x v="8"/>
    <x v="0"/>
    <n v="9"/>
  </r>
  <r>
    <s v="ORD-00770"/>
    <x v="188"/>
    <s v="Handbag"/>
    <s v="Accessories"/>
    <s v="Instagram"/>
    <s v="Abuja"/>
    <s v="New"/>
    <s v="None"/>
    <n v="2"/>
    <n v="43257"/>
    <n v="86514"/>
    <n v="0"/>
    <n v="0"/>
    <n v="86514"/>
    <n v="58406.07"/>
    <n v="28107.93"/>
    <x v="8"/>
    <x v="0"/>
    <n v="9"/>
  </r>
  <r>
    <s v="ORD-01130"/>
    <x v="189"/>
    <s v="Sneakers"/>
    <s v="Footwear"/>
    <s v="Physical Store"/>
    <s v="Delta"/>
    <s v="New"/>
    <s v="None"/>
    <n v="1"/>
    <n v="61830"/>
    <n v="61830"/>
    <n v="0"/>
    <n v="0"/>
    <n v="61830"/>
    <n v="31658.15"/>
    <n v="30171.85"/>
    <x v="8"/>
    <x v="0"/>
    <n v="9"/>
  </r>
  <r>
    <s v="ORD-01060"/>
    <x v="190"/>
    <s v="Cap"/>
    <s v="Accessories"/>
    <s v="Website"/>
    <s v="Oyo"/>
    <s v="New"/>
    <s v="None"/>
    <n v="4"/>
    <n v="11260"/>
    <n v="45040"/>
    <n v="0"/>
    <n v="0"/>
    <n v="45040"/>
    <n v="24936.58"/>
    <n v="20103.419999999998"/>
    <x v="9"/>
    <x v="0"/>
    <n v="10"/>
  </r>
  <r>
    <s v="ORD-00015"/>
    <x v="191"/>
    <s v="Sandals"/>
    <s v="Footwear"/>
    <s v="Instagram"/>
    <s v="Rivers"/>
    <s v="Returning"/>
    <s v="None"/>
    <n v="3"/>
    <n v="31195"/>
    <n v="93585"/>
    <n v="9358.5"/>
    <n v="0.1"/>
    <n v="84226.5"/>
    <n v="46844.77"/>
    <n v="37381.730000000003"/>
    <x v="9"/>
    <x v="0"/>
    <n v="10"/>
  </r>
  <r>
    <s v="ORD-00706"/>
    <x v="191"/>
    <s v="Sandals"/>
    <s v="Footwear"/>
    <s v="Physical Store"/>
    <s v="Lagos"/>
    <s v="New"/>
    <s v="None"/>
    <n v="1"/>
    <n v="30626"/>
    <n v="30626"/>
    <n v="4593.8999999999996"/>
    <n v="0.15"/>
    <n v="26032.1"/>
    <n v="17379.32"/>
    <n v="8652.7799999999988"/>
    <x v="9"/>
    <x v="0"/>
    <n v="10"/>
  </r>
  <r>
    <s v="ORD-00410"/>
    <x v="192"/>
    <s v="Dress"/>
    <s v="Clothing"/>
    <s v="Website"/>
    <s v="Lagos"/>
    <s v="Returning"/>
    <s v="None"/>
    <n v="2"/>
    <n v="53738"/>
    <n v="107476"/>
    <n v="0"/>
    <n v="0"/>
    <n v="107476"/>
    <n v="72162.28"/>
    <n v="35313.72"/>
    <x v="9"/>
    <x v="0"/>
    <n v="10"/>
  </r>
  <r>
    <s v="ORD-00160"/>
    <x v="193"/>
    <s v="T-Shirt"/>
    <s v="Clothing"/>
    <s v="WhatsApp"/>
    <s v="Oyo"/>
    <s v="Returning"/>
    <s v="None"/>
    <n v="1"/>
    <n v="19081"/>
    <n v="19081"/>
    <n v="0"/>
    <n v="0"/>
    <n v="19081"/>
    <n v="10221.459999999999"/>
    <n v="8859.5400000000009"/>
    <x v="9"/>
    <x v="0"/>
    <n v="10"/>
  </r>
  <r>
    <s v="ORD-00249"/>
    <x v="193"/>
    <s v="Sneakers"/>
    <s v="Footwear"/>
    <s v="Website"/>
    <s v="Rivers"/>
    <s v="Returning"/>
    <s v="None"/>
    <n v="1"/>
    <n v="67577"/>
    <n v="67577"/>
    <n v="0"/>
    <n v="0"/>
    <n v="67577"/>
    <n v="38030"/>
    <n v="29547"/>
    <x v="9"/>
    <x v="0"/>
    <n v="10"/>
  </r>
  <r>
    <s v="ORD-00625"/>
    <x v="194"/>
    <s v="T-Shirt"/>
    <s v="Clothing"/>
    <s v="WhatsApp"/>
    <s v="Lagos"/>
    <s v="Returning"/>
    <s v="None"/>
    <n v="2"/>
    <n v="18547"/>
    <n v="37094"/>
    <n v="0"/>
    <n v="0"/>
    <n v="37094"/>
    <n v="20372.830000000002"/>
    <n v="16721.169999999998"/>
    <x v="9"/>
    <x v="0"/>
    <n v="10"/>
  </r>
  <r>
    <s v="ORD-00233"/>
    <x v="195"/>
    <s v="Handbag"/>
    <s v="Accessories"/>
    <s v="Instagram"/>
    <s v="Abuja"/>
    <s v="Returning"/>
    <s v="None"/>
    <n v="2"/>
    <n v="41460"/>
    <n v="82920"/>
    <n v="0"/>
    <n v="0"/>
    <n v="82920"/>
    <n v="50774.97"/>
    <n v="32145.03"/>
    <x v="9"/>
    <x v="0"/>
    <n v="10"/>
  </r>
  <r>
    <s v="ORD-00889"/>
    <x v="196"/>
    <s v="Sneakers"/>
    <s v="Footwear"/>
    <s v="Website"/>
    <s v="Delta"/>
    <s v="Returning"/>
    <s v="None"/>
    <n v="2"/>
    <n v="61666"/>
    <n v="123332"/>
    <n v="0"/>
    <n v="0"/>
    <n v="123332"/>
    <n v="60171.45"/>
    <n v="63160.55"/>
    <x v="9"/>
    <x v="0"/>
    <n v="10"/>
  </r>
  <r>
    <s v="ORD-00912"/>
    <x v="196"/>
    <s v="Jeans"/>
    <s v="Clothing"/>
    <s v="Website"/>
    <s v="Lagos"/>
    <s v="Returning"/>
    <s v="None"/>
    <n v="3"/>
    <n v="43438"/>
    <n v="130314"/>
    <n v="0"/>
    <n v="0"/>
    <n v="130314"/>
    <n v="66154.570000000007"/>
    <n v="64159.429999999993"/>
    <x v="9"/>
    <x v="0"/>
    <n v="10"/>
  </r>
  <r>
    <s v="ORD-00379"/>
    <x v="196"/>
    <s v="Polo Shirt"/>
    <s v="Clothing"/>
    <s v="Instagram"/>
    <s v="Lagos"/>
    <s v="New"/>
    <s v="None"/>
    <n v="1"/>
    <n v="23932"/>
    <n v="23932"/>
    <n v="0"/>
    <n v="0"/>
    <n v="23932"/>
    <n v="14501.01"/>
    <n v="9430.99"/>
    <x v="9"/>
    <x v="0"/>
    <n v="10"/>
  </r>
  <r>
    <s v="ORD-00914"/>
    <x v="197"/>
    <s v="Jeans"/>
    <s v="Clothing"/>
    <s v="Physical Store"/>
    <s v="Rivers"/>
    <s v="New"/>
    <s v="None"/>
    <n v="1"/>
    <n v="38702"/>
    <n v="38702"/>
    <n v="0"/>
    <n v="0"/>
    <n v="38702"/>
    <n v="25170.91"/>
    <n v="13531.09"/>
    <x v="9"/>
    <x v="0"/>
    <n v="10"/>
  </r>
  <r>
    <s v="ORD-00810"/>
    <x v="198"/>
    <s v="Sandals"/>
    <s v="Footwear"/>
    <s v="WhatsApp"/>
    <s v="Lagos"/>
    <s v="New"/>
    <s v="None"/>
    <n v="1"/>
    <n v="27694"/>
    <n v="27694"/>
    <n v="0"/>
    <n v="0"/>
    <n v="27694"/>
    <n v="16190.79"/>
    <n v="11503.21"/>
    <x v="9"/>
    <x v="0"/>
    <n v="10"/>
  </r>
  <r>
    <s v="ORD-00083"/>
    <x v="198"/>
    <s v="Handbag"/>
    <s v="Accessories"/>
    <s v="Instagram"/>
    <s v="Abuja"/>
    <s v="New"/>
    <s v="None"/>
    <n v="2"/>
    <n v="47018"/>
    <n v="94036"/>
    <n v="0"/>
    <n v="0"/>
    <n v="94036"/>
    <n v="47729.34"/>
    <n v="46306.66"/>
    <x v="9"/>
    <x v="0"/>
    <n v="10"/>
  </r>
  <r>
    <s v="ORD-01142"/>
    <x v="199"/>
    <s v="Hoodie"/>
    <s v="Clothing"/>
    <s v="Website"/>
    <s v="Lagos"/>
    <s v="Returning"/>
    <s v="None"/>
    <n v="1"/>
    <n v="36771"/>
    <n v="36771"/>
    <n v="0"/>
    <n v="0"/>
    <n v="36771"/>
    <n v="20576.740000000002"/>
    <n v="16194.259999999998"/>
    <x v="9"/>
    <x v="0"/>
    <n v="10"/>
  </r>
  <r>
    <s v="ORD-00159"/>
    <x v="200"/>
    <s v="Polo Shirt"/>
    <s v="Clothing"/>
    <s v="WhatsApp"/>
    <s v="Abuja"/>
    <s v="Returning"/>
    <s v="None"/>
    <n v="1"/>
    <n v="23357"/>
    <n v="23357"/>
    <n v="0"/>
    <n v="0"/>
    <n v="23357"/>
    <n v="13518.16"/>
    <n v="9838.84"/>
    <x v="9"/>
    <x v="0"/>
    <n v="10"/>
  </r>
  <r>
    <s v="ORD-00782"/>
    <x v="201"/>
    <s v="T-Shirt"/>
    <s v="Clothing"/>
    <s v="Instagram"/>
    <s v="Delta"/>
    <s v="New"/>
    <s v="None"/>
    <n v="5"/>
    <n v="18160"/>
    <n v="90800"/>
    <n v="0"/>
    <n v="0"/>
    <n v="90800"/>
    <n v="49324.46"/>
    <n v="41475.54"/>
    <x v="9"/>
    <x v="0"/>
    <n v="10"/>
  </r>
  <r>
    <s v="ORD-00063"/>
    <x v="201"/>
    <s v="Jeans"/>
    <s v="Clothing"/>
    <s v="Website"/>
    <s v="Rivers"/>
    <s v="Returning"/>
    <s v="None"/>
    <n v="2"/>
    <n v="40203"/>
    <n v="80406"/>
    <n v="0"/>
    <n v="0"/>
    <n v="80406"/>
    <n v="41389.03"/>
    <n v="39016.97"/>
    <x v="9"/>
    <x v="0"/>
    <n v="10"/>
  </r>
  <r>
    <s v="ORD-01047"/>
    <x v="201"/>
    <s v="Jeans"/>
    <s v="Clothing"/>
    <s v="Physical Store"/>
    <s v="Oyo"/>
    <s v="New"/>
    <s v="None"/>
    <n v="4"/>
    <n v="44867"/>
    <n v="179468"/>
    <n v="0"/>
    <n v="0"/>
    <n v="179468"/>
    <n v="95375.65"/>
    <n v="84092.35"/>
    <x v="9"/>
    <x v="0"/>
    <n v="10"/>
  </r>
  <r>
    <s v="ORD-00837"/>
    <x v="202"/>
    <s v="T-Shirt"/>
    <s v="Clothing"/>
    <s v="Instagram"/>
    <s v="Lagos"/>
    <s v="New"/>
    <s v="None"/>
    <n v="1"/>
    <n v="16773"/>
    <n v="16773"/>
    <n v="0"/>
    <n v="0"/>
    <n v="16773"/>
    <n v="10778.09"/>
    <n v="5994.91"/>
    <x v="9"/>
    <x v="0"/>
    <n v="10"/>
  </r>
  <r>
    <s v="ORD-00251"/>
    <x v="202"/>
    <s v="Belt"/>
    <s v="Accessories"/>
    <s v="WhatsApp"/>
    <s v="Delta"/>
    <s v="New"/>
    <s v="None"/>
    <n v="2"/>
    <n v="14168"/>
    <n v="28336"/>
    <n v="0"/>
    <n v="0"/>
    <n v="28336"/>
    <n v="15171.17"/>
    <n v="13164.83"/>
    <x v="9"/>
    <x v="0"/>
    <n v="10"/>
  </r>
  <r>
    <s v="ORD-00659"/>
    <x v="203"/>
    <s v="Cap"/>
    <s v="Accessories"/>
    <s v="Website"/>
    <s v="Lagos"/>
    <s v="New"/>
    <s v="None"/>
    <n v="5"/>
    <n v="12810"/>
    <n v="64050"/>
    <n v="0"/>
    <n v="0"/>
    <n v="64050"/>
    <n v="43048.88"/>
    <n v="21001.120000000003"/>
    <x v="9"/>
    <x v="0"/>
    <n v="10"/>
  </r>
  <r>
    <s v="ORD-00297"/>
    <x v="204"/>
    <s v="Dress"/>
    <s v="Clothing"/>
    <s v="WhatsApp"/>
    <s v="Abuja"/>
    <s v="New"/>
    <s v="None"/>
    <n v="1"/>
    <n v="48601"/>
    <n v="48601"/>
    <n v="0"/>
    <n v="0"/>
    <n v="48601"/>
    <n v="25972.36"/>
    <n v="22628.639999999999"/>
    <x v="9"/>
    <x v="0"/>
    <n v="10"/>
  </r>
  <r>
    <s v="ORD-01115"/>
    <x v="205"/>
    <s v="Polo Shirt"/>
    <s v="Clothing"/>
    <s v="Instagram"/>
    <s v="Lagos"/>
    <s v="New"/>
    <s v="Black Friday"/>
    <n v="1"/>
    <n v="25777"/>
    <n v="25777"/>
    <n v="3866.55"/>
    <n v="0.15"/>
    <n v="21910.45"/>
    <n v="16682.79"/>
    <n v="5227.66"/>
    <x v="10"/>
    <x v="0"/>
    <n v="11"/>
  </r>
  <r>
    <s v="ORD-00935"/>
    <x v="206"/>
    <s v="Polo Shirt"/>
    <s v="Clothing"/>
    <s v="Website"/>
    <s v="Lagos"/>
    <s v="New"/>
    <s v="Black Friday"/>
    <n v="2"/>
    <n v="25996"/>
    <n v="51992"/>
    <n v="7798.8"/>
    <n v="0.15"/>
    <n v="44193.2"/>
    <n v="25516.62"/>
    <n v="18676.579999999998"/>
    <x v="10"/>
    <x v="0"/>
    <n v="11"/>
  </r>
  <r>
    <s v="ORD-00869"/>
    <x v="206"/>
    <s v="Dress"/>
    <s v="Clothing"/>
    <s v="Physical Store"/>
    <s v="Delta"/>
    <s v="New"/>
    <s v="Black Friday"/>
    <n v="1"/>
    <n v="50440"/>
    <n v="50440"/>
    <n v="7566"/>
    <n v="0.15"/>
    <n v="42874"/>
    <n v="30285.88"/>
    <n v="12588.119999999999"/>
    <x v="10"/>
    <x v="0"/>
    <n v="11"/>
  </r>
  <r>
    <s v="ORD-00295"/>
    <x v="207"/>
    <s v="Belt"/>
    <s v="Accessories"/>
    <s v="Website"/>
    <s v="Abuja"/>
    <s v="New"/>
    <s v="Black Friday"/>
    <n v="1"/>
    <n v="14555"/>
    <n v="14555"/>
    <n v="727.75"/>
    <n v="0.05"/>
    <n v="13827.25"/>
    <n v="9259.7900000000009"/>
    <n v="4567.4599999999991"/>
    <x v="10"/>
    <x v="0"/>
    <n v="11"/>
  </r>
  <r>
    <s v="ORD-00703"/>
    <x v="208"/>
    <s v="Belt"/>
    <s v="Accessories"/>
    <s v="WhatsApp"/>
    <s v="Lagos"/>
    <s v="New"/>
    <s v="Black Friday"/>
    <n v="1"/>
    <n v="14108"/>
    <n v="14108"/>
    <n v="2821.6"/>
    <n v="0.2"/>
    <n v="11286.4"/>
    <n v="9072.44"/>
    <n v="2213.9599999999991"/>
    <x v="10"/>
    <x v="0"/>
    <n v="11"/>
  </r>
  <r>
    <s v="ORD-00038"/>
    <x v="209"/>
    <s v="Cap"/>
    <s v="Accessories"/>
    <s v="Instagram"/>
    <s v="Rivers"/>
    <s v="Returning"/>
    <s v="Black Friday"/>
    <n v="2"/>
    <n v="12185"/>
    <n v="24370"/>
    <n v="2437"/>
    <n v="0.1"/>
    <n v="21933"/>
    <n v="13863.7"/>
    <n v="8069.2999999999993"/>
    <x v="10"/>
    <x v="0"/>
    <n v="11"/>
  </r>
  <r>
    <s v="ORD-00762"/>
    <x v="210"/>
    <s v="Jeans"/>
    <s v="Clothing"/>
    <s v="Instagram"/>
    <s v="Abuja"/>
    <s v="New"/>
    <s v="Black Friday"/>
    <n v="1"/>
    <n v="42706"/>
    <n v="42706"/>
    <n v="2135.3000000000002"/>
    <n v="0.05"/>
    <n v="40570.699999999997"/>
    <n v="23049.9"/>
    <n v="17520.799999999996"/>
    <x v="10"/>
    <x v="0"/>
    <n v="11"/>
  </r>
  <r>
    <s v="ORD-00138"/>
    <x v="210"/>
    <s v="Dress"/>
    <s v="Clothing"/>
    <s v="WhatsApp"/>
    <s v="Lagos"/>
    <s v="Returning"/>
    <s v="Black Friday"/>
    <n v="4"/>
    <n v="52613"/>
    <n v="210452"/>
    <n v="31567.8"/>
    <n v="0.15"/>
    <n v="178884.2"/>
    <n v="113156.06"/>
    <n v="65728.140000000014"/>
    <x v="10"/>
    <x v="0"/>
    <n v="11"/>
  </r>
  <r>
    <s v="ORD-01126"/>
    <x v="210"/>
    <s v="Sneakers"/>
    <s v="Footwear"/>
    <s v="Physical Store"/>
    <s v="Delta"/>
    <s v="Returning"/>
    <s v="Black Friday"/>
    <n v="4"/>
    <n v="69463"/>
    <n v="277852"/>
    <n v="41677.800000000003"/>
    <n v="0.15"/>
    <n v="236174.2"/>
    <n v="176078.99"/>
    <n v="60095.210000000021"/>
    <x v="10"/>
    <x v="0"/>
    <n v="11"/>
  </r>
  <r>
    <s v="ORD-00746"/>
    <x v="211"/>
    <s v="Cap"/>
    <s v="Accessories"/>
    <s v="Website"/>
    <s v="Rivers"/>
    <s v="New"/>
    <s v="None"/>
    <n v="1"/>
    <n v="11999"/>
    <n v="11999"/>
    <n v="0"/>
    <n v="0"/>
    <n v="11999"/>
    <n v="6062.36"/>
    <n v="5936.64"/>
    <x v="10"/>
    <x v="0"/>
    <n v="11"/>
  </r>
  <r>
    <s v="ORD-00757"/>
    <x v="212"/>
    <s v="Belt"/>
    <s v="Accessories"/>
    <s v="Website"/>
    <s v="Lagos"/>
    <s v="New"/>
    <s v="Black Friday"/>
    <n v="2"/>
    <n v="13883"/>
    <n v="27766"/>
    <n v="5553.2"/>
    <n v="0.2"/>
    <n v="22212.799999999999"/>
    <n v="16641.04"/>
    <n v="5571.7599999999984"/>
    <x v="10"/>
    <x v="0"/>
    <n v="11"/>
  </r>
  <r>
    <s v="ORD-00283"/>
    <x v="212"/>
    <s v="Handbag"/>
    <s v="Accessories"/>
    <s v="Physical Store"/>
    <s v="Delta"/>
    <s v="Returning"/>
    <s v="Black Friday"/>
    <n v="2"/>
    <n v="44276"/>
    <n v="88552"/>
    <n v="13282.8"/>
    <n v="0.15"/>
    <n v="75269.2"/>
    <n v="42696.43"/>
    <n v="32572.769999999997"/>
    <x v="10"/>
    <x v="0"/>
    <n v="11"/>
  </r>
  <r>
    <s v="ORD-00822"/>
    <x v="213"/>
    <s v="Sneakers"/>
    <s v="Footwear"/>
    <s v="Instagram"/>
    <s v="Rivers"/>
    <s v="Returning"/>
    <s v="Black Friday"/>
    <n v="4"/>
    <n v="66783"/>
    <n v="267132"/>
    <n v="13356.6"/>
    <n v="0.05"/>
    <n v="253775.4"/>
    <n v="177624.14"/>
    <n v="76151.25999999998"/>
    <x v="10"/>
    <x v="0"/>
    <n v="11"/>
  </r>
  <r>
    <s v="ORD-01140"/>
    <x v="213"/>
    <s v="T-Shirt"/>
    <s v="Clothing"/>
    <s v="Physical Store"/>
    <s v="Lagos"/>
    <s v="New"/>
    <s v="Black Friday"/>
    <n v="2"/>
    <n v="19402"/>
    <n v="38804"/>
    <n v="5820.6"/>
    <n v="0.15"/>
    <n v="32983.4"/>
    <n v="21201.78"/>
    <n v="11781.620000000003"/>
    <x v="10"/>
    <x v="0"/>
    <n v="11"/>
  </r>
  <r>
    <s v="ORD-00735"/>
    <x v="214"/>
    <s v="Sneakers"/>
    <s v="Footwear"/>
    <s v="Physical Store"/>
    <s v="Lagos"/>
    <s v="Returning"/>
    <s v="Black Friday"/>
    <n v="1"/>
    <n v="69786"/>
    <n v="69786"/>
    <n v="3489.3"/>
    <n v="0.05"/>
    <n v="66296.7"/>
    <n v="44682.18"/>
    <n v="21614.519999999997"/>
    <x v="10"/>
    <x v="0"/>
    <n v="11"/>
  </r>
  <r>
    <s v="ORD-00904"/>
    <x v="215"/>
    <s v="Dress"/>
    <s v="Clothing"/>
    <s v="Website"/>
    <s v="Abuja"/>
    <s v="New"/>
    <s v="Black Friday"/>
    <n v="3"/>
    <n v="48543"/>
    <n v="145629"/>
    <n v="29125.8"/>
    <n v="0.2"/>
    <n v="116503.2"/>
    <n v="84793.88"/>
    <n v="31709.319999999992"/>
    <x v="10"/>
    <x v="0"/>
    <n v="11"/>
  </r>
  <r>
    <s v="ORD-01196"/>
    <x v="216"/>
    <s v="Dress"/>
    <s v="Clothing"/>
    <s v="WhatsApp"/>
    <s v="Lagos"/>
    <s v="Returning"/>
    <s v="Black Friday"/>
    <n v="2"/>
    <n v="51896"/>
    <n v="103792"/>
    <n v="10379.200000000001"/>
    <n v="0.1"/>
    <n v="93412.800000000003"/>
    <n v="55229.760000000002"/>
    <n v="38183.040000000001"/>
    <x v="10"/>
    <x v="0"/>
    <n v="11"/>
  </r>
  <r>
    <s v="ORD-00938"/>
    <x v="216"/>
    <s v="Polo Shirt"/>
    <s v="Clothing"/>
    <s v="Physical Store"/>
    <s v="Abuja"/>
    <s v="New"/>
    <s v="Black Friday"/>
    <n v="2"/>
    <n v="23438"/>
    <n v="46876"/>
    <n v="7031.4"/>
    <n v="0.15"/>
    <n v="39844.6"/>
    <n v="23774.44"/>
    <n v="16070.16"/>
    <x v="10"/>
    <x v="0"/>
    <n v="11"/>
  </r>
  <r>
    <s v="ORD-01182"/>
    <x v="217"/>
    <s v="Dress"/>
    <s v="Clothing"/>
    <s v="Instagram"/>
    <s v="Oyo"/>
    <s v="New"/>
    <s v="Black Friday"/>
    <n v="1"/>
    <n v="51186"/>
    <n v="51186"/>
    <n v="7677.9"/>
    <n v="0.15"/>
    <n v="43508.1"/>
    <n v="26285.26"/>
    <n v="17222.84"/>
    <x v="10"/>
    <x v="0"/>
    <n v="11"/>
  </r>
  <r>
    <s v="ORD-00758"/>
    <x v="217"/>
    <s v="Hoodie"/>
    <s v="Clothing"/>
    <s v="Physical Store"/>
    <s v="Oyo"/>
    <s v="New"/>
    <s v="None"/>
    <n v="2"/>
    <n v="40345"/>
    <n v="80690"/>
    <n v="0"/>
    <n v="0"/>
    <n v="80690"/>
    <n v="41370.5"/>
    <n v="39319.5"/>
    <x v="10"/>
    <x v="0"/>
    <n v="11"/>
  </r>
  <r>
    <s v="ORD-00956"/>
    <x v="218"/>
    <s v="Handbag"/>
    <s v="Accessories"/>
    <s v="Website"/>
    <s v="Lagos"/>
    <s v="New"/>
    <s v="Black Friday"/>
    <n v="2"/>
    <n v="47357"/>
    <n v="94714"/>
    <n v="14207.1"/>
    <n v="0.15"/>
    <n v="80506.899999999994"/>
    <n v="46697.79"/>
    <n v="33809.109999999993"/>
    <x v="10"/>
    <x v="0"/>
    <n v="11"/>
  </r>
  <r>
    <s v="ORD-01065"/>
    <x v="218"/>
    <s v="Handbag"/>
    <s v="Accessories"/>
    <s v="Instagram"/>
    <s v="Oyo"/>
    <s v="Returning"/>
    <s v="Black Friday"/>
    <n v="2"/>
    <n v="42902"/>
    <n v="85804"/>
    <n v="4290.2"/>
    <n v="0.05"/>
    <n v="81513.8"/>
    <n v="42661.3"/>
    <n v="38852.5"/>
    <x v="10"/>
    <x v="0"/>
    <n v="11"/>
  </r>
  <r>
    <s v="ORD-00006"/>
    <x v="219"/>
    <s v="Sneakers"/>
    <s v="Footwear"/>
    <s v="Website"/>
    <s v="Delta"/>
    <s v="Returning"/>
    <s v="Black Friday"/>
    <n v="1"/>
    <n v="60500"/>
    <n v="60500"/>
    <n v="9075"/>
    <n v="0.15"/>
    <n v="51425"/>
    <n v="33225.18"/>
    <n v="18199.82"/>
    <x v="10"/>
    <x v="0"/>
    <n v="11"/>
  </r>
  <r>
    <s v="ORD-00764"/>
    <x v="220"/>
    <s v="Sneakers"/>
    <s v="Footwear"/>
    <s v="WhatsApp"/>
    <s v="Lagos"/>
    <s v="Returning"/>
    <s v="None"/>
    <n v="2"/>
    <n v="66242"/>
    <n v="132484"/>
    <n v="0"/>
    <n v="0"/>
    <n v="132484"/>
    <n v="75033.77"/>
    <n v="57450.229999999996"/>
    <x v="10"/>
    <x v="0"/>
    <n v="11"/>
  </r>
  <r>
    <s v="ORD-01083"/>
    <x v="221"/>
    <s v="Sandals"/>
    <s v="Footwear"/>
    <s v="WhatsApp"/>
    <s v="Lagos"/>
    <s v="Returning"/>
    <s v="Black Friday"/>
    <n v="1"/>
    <n v="29100"/>
    <n v="29100"/>
    <n v="2910"/>
    <n v="0.1"/>
    <n v="26190"/>
    <n v="18968.439999999999"/>
    <n v="7221.5600000000013"/>
    <x v="10"/>
    <x v="0"/>
    <n v="11"/>
  </r>
  <r>
    <s v="ORD-00368"/>
    <x v="222"/>
    <s v="Sneakers"/>
    <s v="Footwear"/>
    <s v="Website"/>
    <s v="Oyo"/>
    <s v="Returning"/>
    <s v="Christmas Promo"/>
    <n v="2"/>
    <n v="69956"/>
    <n v="139912"/>
    <n v="13991.2"/>
    <n v="0.1"/>
    <n v="125920.8"/>
    <n v="93308.54"/>
    <n v="32612.260000000009"/>
    <x v="11"/>
    <x v="0"/>
    <n v="12"/>
  </r>
  <r>
    <s v="ORD-00653"/>
    <x v="223"/>
    <s v="Hoodie"/>
    <s v="Clothing"/>
    <s v="Website"/>
    <s v="Lagos"/>
    <s v="New"/>
    <s v="Christmas Promo"/>
    <n v="2"/>
    <n v="39602"/>
    <n v="79204"/>
    <n v="7920.4"/>
    <n v="0.1"/>
    <n v="71283.600000000006"/>
    <n v="48457.56"/>
    <n v="22826.040000000008"/>
    <x v="11"/>
    <x v="0"/>
    <n v="12"/>
  </r>
  <r>
    <s v="ORD-00210"/>
    <x v="224"/>
    <s v="Hoodie"/>
    <s v="Clothing"/>
    <s v="WhatsApp"/>
    <s v="Lagos"/>
    <s v="Returning"/>
    <s v="Christmas Promo"/>
    <n v="3"/>
    <n v="39003"/>
    <n v="117009"/>
    <n v="11700.9"/>
    <n v="0.1"/>
    <n v="105308.1"/>
    <n v="73547.759999999995"/>
    <n v="31760.340000000011"/>
    <x v="11"/>
    <x v="0"/>
    <n v="12"/>
  </r>
  <r>
    <s v="ORD-00065"/>
    <x v="224"/>
    <s v="Sneakers"/>
    <s v="Footwear"/>
    <s v="Instagram"/>
    <s v="Delta"/>
    <s v="New"/>
    <s v="Christmas Promo"/>
    <n v="2"/>
    <n v="65854"/>
    <n v="131708"/>
    <n v="19756.2"/>
    <n v="0.15"/>
    <n v="111951.8"/>
    <n v="68216.710000000006"/>
    <n v="43735.09"/>
    <x v="11"/>
    <x v="0"/>
    <n v="12"/>
  </r>
  <r>
    <s v="ORD-00178"/>
    <x v="224"/>
    <s v="Handbag"/>
    <s v="Accessories"/>
    <s v="Website"/>
    <s v="Rivers"/>
    <s v="Returning"/>
    <s v="Christmas Promo"/>
    <n v="3"/>
    <n v="48194"/>
    <n v="144582"/>
    <n v="28916.400000000001"/>
    <n v="0.2"/>
    <n v="115665.60000000001"/>
    <n v="84478.1"/>
    <n v="31187.5"/>
    <x v="11"/>
    <x v="0"/>
    <n v="12"/>
  </r>
  <r>
    <s v="ORD-01068"/>
    <x v="225"/>
    <s v="Handbag"/>
    <s v="Accessories"/>
    <s v="Physical Store"/>
    <s v="Rivers"/>
    <s v="New"/>
    <s v="Christmas Promo"/>
    <n v="2"/>
    <n v="43309"/>
    <n v="86618"/>
    <n v="4330.8999999999996"/>
    <n v="0.05"/>
    <n v="82287.100000000006"/>
    <n v="47243.040000000001"/>
    <n v="35044.060000000005"/>
    <x v="11"/>
    <x v="0"/>
    <n v="12"/>
  </r>
  <r>
    <s v="ORD-00457"/>
    <x v="225"/>
    <s v="Cap"/>
    <s v="Accessories"/>
    <s v="WhatsApp"/>
    <s v="Lagos"/>
    <s v="Returning"/>
    <s v="None"/>
    <n v="1"/>
    <n v="12759"/>
    <n v="12759"/>
    <n v="0"/>
    <n v="0"/>
    <n v="12759"/>
    <n v="7255.89"/>
    <n v="5503.11"/>
    <x v="11"/>
    <x v="0"/>
    <n v="12"/>
  </r>
  <r>
    <s v="ORD-01135"/>
    <x v="226"/>
    <s v="Sneakers"/>
    <s v="Footwear"/>
    <s v="Physical Store"/>
    <s v="Rivers"/>
    <s v="New"/>
    <s v="Christmas Promo"/>
    <n v="2"/>
    <n v="61760"/>
    <n v="123520"/>
    <n v="24704"/>
    <n v="0.2"/>
    <n v="98816"/>
    <n v="62516.55"/>
    <n v="36299.449999999997"/>
    <x v="11"/>
    <x v="0"/>
    <n v="12"/>
  </r>
  <r>
    <s v="ORD-00355"/>
    <x v="227"/>
    <s v="Handbag"/>
    <s v="Accessories"/>
    <s v="Website"/>
    <s v="Oyo"/>
    <s v="New"/>
    <s v="Christmas Promo"/>
    <n v="1"/>
    <n v="48291"/>
    <n v="48291"/>
    <n v="2414.5500000000002"/>
    <n v="0.05"/>
    <n v="45876.45"/>
    <n v="29479.48"/>
    <n v="16396.969999999998"/>
    <x v="11"/>
    <x v="0"/>
    <n v="12"/>
  </r>
  <r>
    <s v="ORD-01006"/>
    <x v="228"/>
    <s v="Belt"/>
    <s v="Accessories"/>
    <s v="Website"/>
    <s v="Lagos"/>
    <s v="Returning"/>
    <s v="None"/>
    <n v="2"/>
    <n v="15356"/>
    <n v="30712"/>
    <n v="0"/>
    <n v="0"/>
    <n v="30712"/>
    <n v="19338.23"/>
    <n v="11373.77"/>
    <x v="11"/>
    <x v="0"/>
    <n v="12"/>
  </r>
  <r>
    <s v="ORD-00900"/>
    <x v="228"/>
    <s v="Sandals"/>
    <s v="Footwear"/>
    <s v="Website"/>
    <s v="Rivers"/>
    <s v="Returning"/>
    <s v="None"/>
    <n v="2"/>
    <n v="31138"/>
    <n v="62276"/>
    <n v="0"/>
    <n v="0"/>
    <n v="62276"/>
    <n v="32959.83"/>
    <n v="29316.17"/>
    <x v="11"/>
    <x v="0"/>
    <n v="12"/>
  </r>
  <r>
    <s v="ORD-00011"/>
    <x v="229"/>
    <s v="Polo Shirt"/>
    <s v="Clothing"/>
    <s v="Website"/>
    <s v="Lagos"/>
    <s v="Returning"/>
    <s v="Christmas Promo"/>
    <n v="4"/>
    <n v="26872"/>
    <n v="107488"/>
    <n v="10748.8"/>
    <n v="0.1"/>
    <n v="96739.199999999997"/>
    <n v="70267.55"/>
    <n v="26471.649999999994"/>
    <x v="11"/>
    <x v="0"/>
    <n v="12"/>
  </r>
  <r>
    <s v="ORD-00640"/>
    <x v="230"/>
    <s v="Hoodie"/>
    <s v="Clothing"/>
    <s v="Website"/>
    <s v="Rivers"/>
    <s v="Returning"/>
    <s v="None"/>
    <n v="2"/>
    <n v="35592"/>
    <n v="71184"/>
    <n v="10677.6"/>
    <n v="0.15"/>
    <n v="60506.400000000001"/>
    <n v="46842.21"/>
    <n v="13664.190000000002"/>
    <x v="11"/>
    <x v="0"/>
    <n v="12"/>
  </r>
  <r>
    <s v="ORD-00836"/>
    <x v="230"/>
    <s v="Sneakers"/>
    <s v="Footwear"/>
    <s v="Website"/>
    <s v="Lagos"/>
    <s v="Returning"/>
    <s v="None"/>
    <n v="2"/>
    <n v="63984"/>
    <n v="127968"/>
    <n v="0"/>
    <n v="0"/>
    <n v="127968"/>
    <n v="64453.75"/>
    <n v="63514.25"/>
    <x v="11"/>
    <x v="0"/>
    <n v="12"/>
  </r>
  <r>
    <s v="ORD-00185"/>
    <x v="230"/>
    <s v="T-Shirt"/>
    <s v="Clothing"/>
    <s v="Website"/>
    <s v="Oyo"/>
    <s v="New"/>
    <s v="None"/>
    <n v="2"/>
    <n v="18230"/>
    <n v="36460"/>
    <n v="0"/>
    <n v="0"/>
    <n v="36460"/>
    <n v="23033.8"/>
    <n v="13426.2"/>
    <x v="11"/>
    <x v="0"/>
    <n v="12"/>
  </r>
  <r>
    <s v="ORD-00879"/>
    <x v="231"/>
    <s v="Dress"/>
    <s v="Clothing"/>
    <s v="Website"/>
    <s v="Lagos"/>
    <s v="New"/>
    <s v="Christmas Promo"/>
    <n v="2"/>
    <n v="51613"/>
    <n v="103226"/>
    <n v="5161.3"/>
    <n v="0.05"/>
    <n v="98064.7"/>
    <n v="50772.92"/>
    <n v="47291.78"/>
    <x v="11"/>
    <x v="0"/>
    <n v="12"/>
  </r>
  <r>
    <s v="ORD-00478"/>
    <x v="232"/>
    <s v="Sneakers"/>
    <s v="Footwear"/>
    <s v="Physical Store"/>
    <s v="Rivers"/>
    <s v="New"/>
    <s v="Christmas Promo"/>
    <n v="1"/>
    <n v="60213"/>
    <n v="60213"/>
    <n v="9031.9500000000007"/>
    <n v="0.15"/>
    <n v="51181.05"/>
    <n v="39375.64"/>
    <n v="11805.410000000003"/>
    <x v="11"/>
    <x v="0"/>
    <n v="12"/>
  </r>
  <r>
    <s v="ORD-00649"/>
    <x v="233"/>
    <s v="Cap"/>
    <s v="Accessories"/>
    <s v="WhatsApp"/>
    <s v="Lagos"/>
    <s v="New"/>
    <s v="Christmas Promo"/>
    <n v="1"/>
    <n v="12898"/>
    <n v="12898"/>
    <n v="1934.7"/>
    <n v="0.15"/>
    <n v="10963.3"/>
    <n v="6248.95"/>
    <n v="4714.3499999999995"/>
    <x v="11"/>
    <x v="0"/>
    <n v="12"/>
  </r>
  <r>
    <s v="ORD-00710"/>
    <x v="233"/>
    <s v="Polo Shirt"/>
    <s v="Clothing"/>
    <s v="Website"/>
    <s v="Lagos"/>
    <s v="New"/>
    <s v="Christmas Promo"/>
    <n v="1"/>
    <n v="23919"/>
    <n v="23919"/>
    <n v="2391.9"/>
    <n v="0.1"/>
    <n v="21527.1"/>
    <n v="12693.78"/>
    <n v="8833.3199999999979"/>
    <x v="11"/>
    <x v="0"/>
    <n v="12"/>
  </r>
  <r>
    <s v="ORD-00848"/>
    <x v="234"/>
    <s v="Polo Shirt"/>
    <s v="Clothing"/>
    <s v="Physical Store"/>
    <s v="Abuja"/>
    <s v="New"/>
    <s v="Christmas Promo"/>
    <n v="2"/>
    <n v="26943"/>
    <n v="53886"/>
    <n v="8082.9"/>
    <n v="0.15"/>
    <n v="45803.1"/>
    <n v="35156.870000000003"/>
    <n v="10646.229999999996"/>
    <x v="11"/>
    <x v="0"/>
    <n v="12"/>
  </r>
  <r>
    <s v="ORD-00357"/>
    <x v="235"/>
    <s v="Handbag"/>
    <s v="Accessories"/>
    <s v="Physical Store"/>
    <s v="Abuja"/>
    <s v="New"/>
    <s v="Christmas Promo"/>
    <n v="1"/>
    <n v="46662"/>
    <n v="46662"/>
    <n v="4666.2"/>
    <n v="0.1"/>
    <n v="41995.8"/>
    <n v="27894.73"/>
    <n v="14101.070000000003"/>
    <x v="11"/>
    <x v="0"/>
    <n v="12"/>
  </r>
  <r>
    <s v="ORD-00502"/>
    <x v="236"/>
    <s v="Handbag"/>
    <s v="Accessories"/>
    <s v="Website"/>
    <s v="Rivers"/>
    <s v="New"/>
    <s v="Christmas Promo"/>
    <n v="2"/>
    <n v="43882"/>
    <n v="87764"/>
    <n v="13164.6"/>
    <n v="0.15"/>
    <n v="74599.399999999994"/>
    <n v="57766.65"/>
    <n v="16832.749999999993"/>
    <x v="11"/>
    <x v="0"/>
    <n v="12"/>
  </r>
  <r>
    <s v="ORD-00623"/>
    <x v="237"/>
    <s v="Belt"/>
    <s v="Accessories"/>
    <s v="Website"/>
    <s v="Lagos"/>
    <s v="New"/>
    <s v="None"/>
    <n v="3"/>
    <n v="14527"/>
    <n v="43581"/>
    <n v="0"/>
    <n v="0"/>
    <n v="43581"/>
    <n v="25021.65"/>
    <n v="18559.349999999999"/>
    <x v="11"/>
    <x v="0"/>
    <n v="12"/>
  </r>
  <r>
    <s v="ORD-00676"/>
    <x v="238"/>
    <s v="Sandals"/>
    <s v="Footwear"/>
    <s v="Physical Store"/>
    <s v="Lagos"/>
    <s v="New"/>
    <s v="Christmas Promo"/>
    <n v="2"/>
    <n v="31761"/>
    <n v="63522"/>
    <n v="6352.2"/>
    <n v="0.1"/>
    <n v="57169.8"/>
    <n v="35634.06"/>
    <n v="21535.740000000005"/>
    <x v="11"/>
    <x v="0"/>
    <n v="12"/>
  </r>
  <r>
    <s v="ORD-00838"/>
    <x v="238"/>
    <s v="Jeans"/>
    <s v="Clothing"/>
    <s v="Physical Store"/>
    <s v="Lagos"/>
    <s v="Returning"/>
    <s v="Christmas Promo"/>
    <n v="1"/>
    <n v="41206"/>
    <n v="41206"/>
    <n v="4120.6000000000004"/>
    <n v="0.1"/>
    <n v="37085.4"/>
    <n v="20722.77"/>
    <n v="16362.630000000001"/>
    <x v="11"/>
    <x v="0"/>
    <n v="12"/>
  </r>
  <r>
    <s v="ORD-01106"/>
    <x v="239"/>
    <s v="Sneakers"/>
    <s v="Footwear"/>
    <s v="WhatsApp"/>
    <s v="Abuja"/>
    <s v="Returning"/>
    <s v="Christmas Promo"/>
    <n v="3"/>
    <n v="66862"/>
    <n v="200586"/>
    <n v="30087.9"/>
    <n v="0.15"/>
    <n v="170498.1"/>
    <n v="118939.99"/>
    <n v="51558.11"/>
    <x v="11"/>
    <x v="0"/>
    <n v="12"/>
  </r>
  <r>
    <s v="ORD-01041"/>
    <x v="240"/>
    <s v="Hoodie"/>
    <s v="Clothing"/>
    <s v="Instagram"/>
    <s v="Lagos"/>
    <s v="Returning"/>
    <s v="Christmas Promo"/>
    <n v="1"/>
    <n v="36164"/>
    <n v="36164"/>
    <n v="7232.8"/>
    <n v="0.2"/>
    <n v="28931.200000000001"/>
    <n v="17505.400000000001"/>
    <n v="11425.8"/>
    <x v="11"/>
    <x v="0"/>
    <n v="12"/>
  </r>
  <r>
    <s v="ORD-00667"/>
    <x v="240"/>
    <s v="Belt"/>
    <s v="Accessories"/>
    <s v="Website"/>
    <s v="Rivers"/>
    <s v="New"/>
    <s v="Christmas Promo"/>
    <n v="1"/>
    <n v="14964"/>
    <n v="14964"/>
    <n v="2244.6"/>
    <n v="0.15"/>
    <n v="12719.4"/>
    <n v="8094.81"/>
    <n v="4624.5899999999992"/>
    <x v="11"/>
    <x v="0"/>
    <n v="12"/>
  </r>
  <r>
    <s v="ORD-00319"/>
    <x v="241"/>
    <s v="Sneakers"/>
    <s v="Footwear"/>
    <s v="Physical Store"/>
    <s v="Rivers"/>
    <s v="New"/>
    <s v="None"/>
    <n v="1"/>
    <n v="61125"/>
    <n v="61125"/>
    <n v="6112.5"/>
    <n v="0.1"/>
    <n v="55012.5"/>
    <n v="39890.29"/>
    <n v="15122.21"/>
    <x v="0"/>
    <x v="1"/>
    <n v="1"/>
  </r>
  <r>
    <s v="ORD-00864"/>
    <x v="242"/>
    <s v="Hoodie"/>
    <s v="Clothing"/>
    <s v="Instagram"/>
    <s v="Abuja"/>
    <s v="Returning"/>
    <s v="None"/>
    <n v="2"/>
    <n v="35232"/>
    <n v="70464"/>
    <n v="0"/>
    <n v="0"/>
    <n v="70464"/>
    <n v="37770.589999999997"/>
    <n v="32693.410000000003"/>
    <x v="0"/>
    <x v="1"/>
    <n v="1"/>
  </r>
  <r>
    <s v="ORD-01092"/>
    <x v="243"/>
    <s v="Cap"/>
    <s v="Accessories"/>
    <s v="Instagram"/>
    <s v="Oyo"/>
    <s v="New"/>
    <s v="None"/>
    <n v="3"/>
    <n v="12848"/>
    <n v="38544"/>
    <n v="0"/>
    <n v="0"/>
    <n v="38544"/>
    <n v="24909.63"/>
    <n v="13634.369999999999"/>
    <x v="0"/>
    <x v="1"/>
    <n v="1"/>
  </r>
  <r>
    <s v="ORD-00505"/>
    <x v="244"/>
    <s v="Belt"/>
    <s v="Accessories"/>
    <s v="Physical Store"/>
    <s v="Delta"/>
    <s v="Returning"/>
    <s v="None"/>
    <n v="2"/>
    <n v="14279"/>
    <n v="28558"/>
    <n v="0"/>
    <n v="0"/>
    <n v="28558"/>
    <n v="17971.09"/>
    <n v="10586.91"/>
    <x v="0"/>
    <x v="1"/>
    <n v="1"/>
  </r>
  <r>
    <s v="ORD-00534"/>
    <x v="245"/>
    <s v="Sneakers"/>
    <s v="Footwear"/>
    <s v="Website"/>
    <s v="Delta"/>
    <s v="New"/>
    <s v="None"/>
    <n v="1"/>
    <n v="66438"/>
    <n v="66438"/>
    <n v="0"/>
    <n v="0"/>
    <n v="66438"/>
    <n v="33378.61"/>
    <n v="33059.39"/>
    <x v="0"/>
    <x v="1"/>
    <n v="1"/>
  </r>
  <r>
    <s v="ORD-01070"/>
    <x v="245"/>
    <s v="Belt"/>
    <s v="Accessories"/>
    <s v="Website"/>
    <s v="Lagos"/>
    <s v="New"/>
    <s v="None"/>
    <n v="1"/>
    <n v="15386"/>
    <n v="15386"/>
    <n v="0"/>
    <n v="0"/>
    <n v="15386"/>
    <n v="9959.65"/>
    <n v="5426.35"/>
    <x v="0"/>
    <x v="1"/>
    <n v="1"/>
  </r>
  <r>
    <s v="ORD-01139"/>
    <x v="246"/>
    <s v="Hoodie"/>
    <s v="Clothing"/>
    <s v="Physical Store"/>
    <s v="Lagos"/>
    <s v="New"/>
    <s v="None"/>
    <n v="1"/>
    <n v="39569"/>
    <n v="39569"/>
    <n v="0"/>
    <n v="0"/>
    <n v="39569"/>
    <n v="19110.48"/>
    <n v="20458.52"/>
    <x v="0"/>
    <x v="1"/>
    <n v="1"/>
  </r>
  <r>
    <s v="ORD-00765"/>
    <x v="246"/>
    <s v="Polo Shirt"/>
    <s v="Clothing"/>
    <s v="Instagram"/>
    <s v="Lagos"/>
    <s v="New"/>
    <s v="None"/>
    <n v="1"/>
    <n v="25303"/>
    <n v="25303"/>
    <n v="0"/>
    <n v="0"/>
    <n v="25303"/>
    <n v="12777.61"/>
    <n v="12525.39"/>
    <x v="0"/>
    <x v="1"/>
    <n v="1"/>
  </r>
  <r>
    <s v="ORD-01131"/>
    <x v="247"/>
    <s v="Sandals"/>
    <s v="Footwear"/>
    <s v="Physical Store"/>
    <s v="Lagos"/>
    <s v="New"/>
    <s v="None"/>
    <n v="3"/>
    <n v="30799"/>
    <n v="92397"/>
    <n v="0"/>
    <n v="0"/>
    <n v="92397"/>
    <n v="60429.59"/>
    <n v="31967.410000000003"/>
    <x v="0"/>
    <x v="1"/>
    <n v="1"/>
  </r>
  <r>
    <s v="ORD-00084"/>
    <x v="248"/>
    <s v="Sandals"/>
    <s v="Footwear"/>
    <s v="Instagram"/>
    <s v="Rivers"/>
    <s v="New"/>
    <s v="None"/>
    <n v="2"/>
    <n v="31412"/>
    <n v="62824"/>
    <n v="0"/>
    <n v="0"/>
    <n v="62824"/>
    <n v="37546.160000000003"/>
    <n v="25277.839999999997"/>
    <x v="0"/>
    <x v="1"/>
    <n v="1"/>
  </r>
  <r>
    <s v="ORD-00375"/>
    <x v="249"/>
    <s v="Handbag"/>
    <s v="Accessories"/>
    <s v="Physical Store"/>
    <s v="Oyo"/>
    <s v="Returning"/>
    <s v="None"/>
    <n v="1"/>
    <n v="42348"/>
    <n v="42348"/>
    <n v="0"/>
    <n v="0"/>
    <n v="42348"/>
    <n v="26611.29"/>
    <n v="15736.71"/>
    <x v="0"/>
    <x v="1"/>
    <n v="1"/>
  </r>
  <r>
    <s v="ORD-00072"/>
    <x v="249"/>
    <s v="Jeans"/>
    <s v="Clothing"/>
    <s v="Website"/>
    <s v="Lagos"/>
    <s v="Returning"/>
    <s v="None"/>
    <n v="3"/>
    <n v="38780"/>
    <n v="116340"/>
    <n v="0"/>
    <n v="0"/>
    <n v="116340"/>
    <n v="78363.37"/>
    <n v="37976.630000000005"/>
    <x v="0"/>
    <x v="1"/>
    <n v="1"/>
  </r>
  <r>
    <s v="ORD-00150"/>
    <x v="250"/>
    <s v="Hoodie"/>
    <s v="Clothing"/>
    <s v="WhatsApp"/>
    <s v="Oyo"/>
    <s v="New"/>
    <s v="None"/>
    <n v="3"/>
    <n v="38963"/>
    <n v="116889"/>
    <n v="0"/>
    <n v="0"/>
    <n v="116889"/>
    <n v="75882.5"/>
    <n v="41006.5"/>
    <x v="0"/>
    <x v="1"/>
    <n v="1"/>
  </r>
  <r>
    <s v="ORD-00546"/>
    <x v="250"/>
    <s v="Jeans"/>
    <s v="Clothing"/>
    <s v="Physical Store"/>
    <s v="Oyo"/>
    <s v="Returning"/>
    <s v="None"/>
    <n v="1"/>
    <n v="43479"/>
    <n v="43479"/>
    <n v="0"/>
    <n v="0"/>
    <n v="43479"/>
    <n v="24903.119999999999"/>
    <n v="18575.88"/>
    <x v="0"/>
    <x v="1"/>
    <n v="1"/>
  </r>
  <r>
    <s v="ORD-00013"/>
    <x v="251"/>
    <s v="Cap"/>
    <s v="Accessories"/>
    <s v="Website"/>
    <s v="Rivers"/>
    <s v="Returning"/>
    <s v="None"/>
    <n v="1"/>
    <n v="11473"/>
    <n v="11473"/>
    <n v="0"/>
    <n v="0"/>
    <n v="11473"/>
    <n v="7002.02"/>
    <n v="4470.9799999999996"/>
    <x v="0"/>
    <x v="1"/>
    <n v="1"/>
  </r>
  <r>
    <s v="ORD-00876"/>
    <x v="251"/>
    <s v="Dress"/>
    <s v="Clothing"/>
    <s v="Physical Store"/>
    <s v="Rivers"/>
    <s v="Returning"/>
    <s v="None"/>
    <n v="1"/>
    <n v="48405"/>
    <n v="48405"/>
    <n v="7260.75"/>
    <n v="0.15"/>
    <n v="41144.25"/>
    <n v="26873.86"/>
    <n v="14270.39"/>
    <x v="0"/>
    <x v="1"/>
    <n v="1"/>
  </r>
  <r>
    <s v="ORD-00477"/>
    <x v="252"/>
    <s v="Dress"/>
    <s v="Clothing"/>
    <s v="Website"/>
    <s v="Abuja"/>
    <s v="Returning"/>
    <s v="None"/>
    <n v="1"/>
    <n v="53848"/>
    <n v="53848"/>
    <n v="0"/>
    <n v="0"/>
    <n v="53848"/>
    <n v="34644.620000000003"/>
    <n v="19203.379999999997"/>
    <x v="0"/>
    <x v="1"/>
    <n v="1"/>
  </r>
  <r>
    <s v="ORD-00036"/>
    <x v="253"/>
    <s v="Sandals"/>
    <s v="Footwear"/>
    <s v="Instagram"/>
    <s v="Oyo"/>
    <s v="Returning"/>
    <s v="None"/>
    <n v="3"/>
    <n v="31144"/>
    <n v="93432"/>
    <n v="14014.8"/>
    <n v="0.15"/>
    <n v="79417.2"/>
    <n v="52399.29"/>
    <n v="27017.909999999996"/>
    <x v="0"/>
    <x v="1"/>
    <n v="1"/>
  </r>
  <r>
    <s v="ORD-00578"/>
    <x v="254"/>
    <s v="Jeans"/>
    <s v="Clothing"/>
    <s v="Website"/>
    <s v="Oyo"/>
    <s v="Returning"/>
    <s v="None"/>
    <n v="1"/>
    <n v="40619"/>
    <n v="40619"/>
    <n v="0"/>
    <n v="0"/>
    <n v="40619"/>
    <n v="19707.490000000002"/>
    <n v="20911.509999999998"/>
    <x v="0"/>
    <x v="1"/>
    <n v="1"/>
  </r>
  <r>
    <s v="ORD-01136"/>
    <x v="254"/>
    <s v="Belt"/>
    <s v="Accessories"/>
    <s v="WhatsApp"/>
    <s v="Lagos"/>
    <s v="New"/>
    <s v="None"/>
    <n v="2"/>
    <n v="15652"/>
    <n v="31304"/>
    <n v="0"/>
    <n v="0"/>
    <n v="31304"/>
    <n v="18364.18"/>
    <n v="12939.82"/>
    <x v="0"/>
    <x v="1"/>
    <n v="1"/>
  </r>
  <r>
    <s v="ORD-00523"/>
    <x v="255"/>
    <s v="Belt"/>
    <s v="Accessories"/>
    <s v="Website"/>
    <s v="Abuja"/>
    <s v="New"/>
    <s v="None"/>
    <n v="1"/>
    <n v="16105"/>
    <n v="16105"/>
    <n v="0"/>
    <n v="0"/>
    <n v="16105"/>
    <n v="9974.65"/>
    <n v="6130.35"/>
    <x v="0"/>
    <x v="1"/>
    <n v="1"/>
  </r>
  <r>
    <s v="ORD-01082"/>
    <x v="256"/>
    <s v="Polo Shirt"/>
    <s v="Clothing"/>
    <s v="WhatsApp"/>
    <s v="Lagos"/>
    <s v="Returning"/>
    <s v="None"/>
    <n v="1"/>
    <n v="25542"/>
    <n v="25542"/>
    <n v="0"/>
    <n v="0"/>
    <n v="25542"/>
    <n v="16173.82"/>
    <n v="9368.18"/>
    <x v="0"/>
    <x v="1"/>
    <n v="1"/>
  </r>
  <r>
    <s v="ORD-00799"/>
    <x v="256"/>
    <s v="Dress"/>
    <s v="Clothing"/>
    <s v="Website"/>
    <s v="Lagos"/>
    <s v="New"/>
    <s v="None"/>
    <n v="1"/>
    <n v="48971"/>
    <n v="48971"/>
    <n v="0"/>
    <n v="0"/>
    <n v="48971"/>
    <n v="28767.22"/>
    <n v="20203.78"/>
    <x v="0"/>
    <x v="1"/>
    <n v="1"/>
  </r>
  <r>
    <s v="ORD-00081"/>
    <x v="257"/>
    <s v="Dress"/>
    <s v="Clothing"/>
    <s v="Physical Store"/>
    <s v="Lagos"/>
    <s v="Returning"/>
    <s v="None"/>
    <n v="3"/>
    <n v="51503"/>
    <n v="154509"/>
    <n v="0"/>
    <n v="0"/>
    <n v="154509"/>
    <n v="90810.99"/>
    <n v="63698.009999999995"/>
    <x v="0"/>
    <x v="1"/>
    <n v="1"/>
  </r>
  <r>
    <s v="ORD-00110"/>
    <x v="258"/>
    <s v="Handbag"/>
    <s v="Accessories"/>
    <s v="Physical Store"/>
    <s v="Lagos"/>
    <s v="Returning"/>
    <s v="None"/>
    <n v="2"/>
    <n v="45965"/>
    <n v="91930"/>
    <n v="0"/>
    <n v="0"/>
    <n v="91930"/>
    <n v="56558.6"/>
    <n v="35371.4"/>
    <x v="0"/>
    <x v="1"/>
    <n v="1"/>
  </r>
  <r>
    <s v="ORD-00970"/>
    <x v="259"/>
    <s v="T-Shirt"/>
    <s v="Clothing"/>
    <s v="WhatsApp"/>
    <s v="Lagos"/>
    <s v="Returning"/>
    <s v="None"/>
    <n v="4"/>
    <n v="18901"/>
    <n v="75604"/>
    <n v="7560.4"/>
    <n v="0.1"/>
    <n v="68043.600000000006"/>
    <n v="48070.44"/>
    <n v="19973.160000000003"/>
    <x v="0"/>
    <x v="1"/>
    <n v="1"/>
  </r>
  <r>
    <s v="ORD-00839"/>
    <x v="259"/>
    <s v="Handbag"/>
    <s v="Accessories"/>
    <s v="Website"/>
    <s v="Lagos"/>
    <s v="New"/>
    <s v="None"/>
    <n v="1"/>
    <n v="41556"/>
    <n v="41556"/>
    <n v="0"/>
    <n v="0"/>
    <n v="41556"/>
    <n v="23202.97"/>
    <n v="18353.03"/>
    <x v="0"/>
    <x v="1"/>
    <n v="1"/>
  </r>
  <r>
    <s v="ORD-00421"/>
    <x v="259"/>
    <s v="Handbag"/>
    <s v="Accessories"/>
    <s v="Instagram"/>
    <s v="Oyo"/>
    <s v="Returning"/>
    <s v="None"/>
    <n v="4"/>
    <n v="47535"/>
    <n v="190140"/>
    <n v="0"/>
    <n v="0"/>
    <n v="190140"/>
    <n v="93155.73"/>
    <n v="96984.27"/>
    <x v="0"/>
    <x v="1"/>
    <n v="1"/>
  </r>
  <r>
    <s v="ORD-00432"/>
    <x v="259"/>
    <s v="Belt"/>
    <s v="Accessories"/>
    <s v="Website"/>
    <s v="Delta"/>
    <s v="New"/>
    <s v="None"/>
    <n v="5"/>
    <n v="15740"/>
    <n v="78700"/>
    <n v="0"/>
    <n v="0"/>
    <n v="78700"/>
    <n v="37914.15"/>
    <n v="40785.85"/>
    <x v="0"/>
    <x v="1"/>
    <n v="1"/>
  </r>
  <r>
    <s v="ORD-00380"/>
    <x v="260"/>
    <s v="Cap"/>
    <s v="Accessories"/>
    <s v="Website"/>
    <s v="Delta"/>
    <s v="Returning"/>
    <s v="None"/>
    <n v="5"/>
    <n v="11465"/>
    <n v="57325"/>
    <n v="0"/>
    <n v="0"/>
    <n v="57325"/>
    <n v="30446.9"/>
    <n v="26878.1"/>
    <x v="0"/>
    <x v="1"/>
    <n v="1"/>
  </r>
  <r>
    <s v="ORD-00417"/>
    <x v="260"/>
    <s v="Sandals"/>
    <s v="Footwear"/>
    <s v="Physical Store"/>
    <s v="Lagos"/>
    <s v="New"/>
    <s v="None"/>
    <n v="3"/>
    <n v="29053"/>
    <n v="87159"/>
    <n v="0"/>
    <n v="0"/>
    <n v="87159"/>
    <n v="51675.12"/>
    <n v="35483.879999999997"/>
    <x v="0"/>
    <x v="1"/>
    <n v="1"/>
  </r>
  <r>
    <s v="ORD-00107"/>
    <x v="261"/>
    <s v="Sneakers"/>
    <s v="Footwear"/>
    <s v="Physical Store"/>
    <s v="Abuja"/>
    <s v="Returning"/>
    <s v="None"/>
    <n v="1"/>
    <n v="61749"/>
    <n v="61749"/>
    <n v="0"/>
    <n v="0"/>
    <n v="61749"/>
    <n v="39754.79"/>
    <n v="21994.21"/>
    <x v="1"/>
    <x v="1"/>
    <n v="2"/>
  </r>
  <r>
    <s v="ORD-00441"/>
    <x v="261"/>
    <s v="Hoodie"/>
    <s v="Clothing"/>
    <s v="Physical Store"/>
    <s v="Rivers"/>
    <s v="Returning"/>
    <s v="None"/>
    <n v="2"/>
    <n v="37496"/>
    <n v="74992"/>
    <n v="3749.6"/>
    <n v="0.05"/>
    <n v="71242.399999999994"/>
    <n v="39055.75"/>
    <n v="32186.649999999994"/>
    <x v="1"/>
    <x v="1"/>
    <n v="2"/>
  </r>
  <r>
    <s v="ORD-00215"/>
    <x v="261"/>
    <s v="Belt"/>
    <s v="Accessories"/>
    <s v="Website"/>
    <s v="Lagos"/>
    <s v="Returning"/>
    <s v="Valentine Promo"/>
    <n v="2"/>
    <n v="14684"/>
    <n v="29368"/>
    <n v="2936.8"/>
    <n v="0.1"/>
    <n v="26431.200000000001"/>
    <n v="18011.18"/>
    <n v="8420.02"/>
    <x v="1"/>
    <x v="1"/>
    <n v="2"/>
  </r>
  <r>
    <s v="ORD-01147"/>
    <x v="262"/>
    <s v="Belt"/>
    <s v="Accessories"/>
    <s v="Physical Store"/>
    <s v="Oyo"/>
    <s v="Returning"/>
    <s v="None"/>
    <n v="2"/>
    <n v="15651"/>
    <n v="31302"/>
    <n v="0"/>
    <n v="0"/>
    <n v="31302"/>
    <n v="19434.7"/>
    <n v="11867.3"/>
    <x v="1"/>
    <x v="1"/>
    <n v="2"/>
  </r>
  <r>
    <s v="ORD-00285"/>
    <x v="263"/>
    <s v="Polo Shirt"/>
    <s v="Clothing"/>
    <s v="Physical Store"/>
    <s v="Lagos"/>
    <s v="Returning"/>
    <s v="Valentine Promo"/>
    <n v="1"/>
    <n v="25271"/>
    <n v="25271"/>
    <n v="1263.55"/>
    <n v="0.05"/>
    <n v="24007.45"/>
    <n v="16872.52"/>
    <n v="7134.93"/>
    <x v="1"/>
    <x v="1"/>
    <n v="2"/>
  </r>
  <r>
    <s v="ORD-00157"/>
    <x v="264"/>
    <s v="Cap"/>
    <s v="Accessories"/>
    <s v="Physical Store"/>
    <s v="Lagos"/>
    <s v="New"/>
    <s v="Valentine Promo"/>
    <n v="1"/>
    <n v="12397"/>
    <n v="12397"/>
    <n v="1239.7"/>
    <n v="0.1"/>
    <n v="11157.3"/>
    <n v="8031.62"/>
    <n v="3125.6799999999994"/>
    <x v="1"/>
    <x v="1"/>
    <n v="2"/>
  </r>
  <r>
    <s v="ORD-01079"/>
    <x v="264"/>
    <s v="Polo Shirt"/>
    <s v="Clothing"/>
    <s v="Website"/>
    <s v="Lagos"/>
    <s v="New"/>
    <s v="Valentine Promo"/>
    <n v="2"/>
    <n v="24731"/>
    <n v="49462"/>
    <n v="4946.2"/>
    <n v="0.1"/>
    <n v="44515.8"/>
    <n v="29167.58"/>
    <n v="15348.220000000001"/>
    <x v="1"/>
    <x v="1"/>
    <n v="2"/>
  </r>
  <r>
    <s v="ORD-00581"/>
    <x v="264"/>
    <s v="Belt"/>
    <s v="Accessories"/>
    <s v="Website"/>
    <s v="Lagos"/>
    <s v="New"/>
    <s v="None"/>
    <n v="4"/>
    <n v="14007"/>
    <n v="56028"/>
    <n v="0"/>
    <n v="0"/>
    <n v="56028"/>
    <n v="31491.14"/>
    <n v="24536.86"/>
    <x v="1"/>
    <x v="1"/>
    <n v="2"/>
  </r>
  <r>
    <s v="ORD-00217"/>
    <x v="264"/>
    <s v="Polo Shirt"/>
    <s v="Clothing"/>
    <s v="WhatsApp"/>
    <s v="Lagos"/>
    <s v="New"/>
    <s v="Valentine Promo"/>
    <n v="1"/>
    <n v="23224"/>
    <n v="23224"/>
    <n v="2322.4"/>
    <n v="0.1"/>
    <n v="20901.599999999999"/>
    <n v="15453.76"/>
    <n v="5447.8399999999983"/>
    <x v="1"/>
    <x v="1"/>
    <n v="2"/>
  </r>
  <r>
    <s v="ORD-00054"/>
    <x v="265"/>
    <s v="Belt"/>
    <s v="Accessories"/>
    <s v="Physical Store"/>
    <s v="Delta"/>
    <s v="New"/>
    <s v="Valentine Promo"/>
    <n v="1"/>
    <n v="16024"/>
    <n v="16024"/>
    <n v="3204.8"/>
    <n v="0.2"/>
    <n v="12819.2"/>
    <n v="10390.07"/>
    <n v="2429.130000000001"/>
    <x v="1"/>
    <x v="1"/>
    <n v="2"/>
  </r>
  <r>
    <s v="ORD-00781"/>
    <x v="265"/>
    <s v="Cap"/>
    <s v="Accessories"/>
    <s v="Instagram"/>
    <s v="Lagos"/>
    <s v="New"/>
    <s v="Valentine Promo"/>
    <n v="3"/>
    <n v="12833"/>
    <n v="38499"/>
    <n v="1924.95"/>
    <n v="0.05"/>
    <n v="36574.050000000003"/>
    <n v="24633.49"/>
    <n v="11940.560000000001"/>
    <x v="1"/>
    <x v="1"/>
    <n v="2"/>
  </r>
  <r>
    <s v="ORD-01095"/>
    <x v="265"/>
    <s v="Jeans"/>
    <s v="Clothing"/>
    <s v="Physical Store"/>
    <s v="Abuja"/>
    <s v="Returning"/>
    <s v="Valentine Promo"/>
    <n v="3"/>
    <n v="44193"/>
    <n v="132579"/>
    <n v="13257.9"/>
    <n v="0.1"/>
    <n v="119321.1"/>
    <n v="70997.289999999994"/>
    <n v="48323.810000000012"/>
    <x v="1"/>
    <x v="1"/>
    <n v="2"/>
  </r>
  <r>
    <s v="ORD-00172"/>
    <x v="266"/>
    <s v="Sandals"/>
    <s v="Footwear"/>
    <s v="Instagram"/>
    <s v="Lagos"/>
    <s v="New"/>
    <s v="Valentine Promo"/>
    <n v="2"/>
    <n v="30375"/>
    <n v="60750"/>
    <n v="9112.5"/>
    <n v="0.15"/>
    <n v="51637.5"/>
    <n v="39015.15"/>
    <n v="12622.349999999999"/>
    <x v="1"/>
    <x v="1"/>
    <n v="2"/>
  </r>
  <r>
    <s v="ORD-00198"/>
    <x v="267"/>
    <s v="Dress"/>
    <s v="Clothing"/>
    <s v="Physical Store"/>
    <s v="Oyo"/>
    <s v="New"/>
    <s v="Valentine Promo"/>
    <n v="2"/>
    <n v="50274"/>
    <n v="100548"/>
    <n v="15082.2"/>
    <n v="0.15"/>
    <n v="85465.8"/>
    <n v="56902.04"/>
    <n v="28563.760000000002"/>
    <x v="1"/>
    <x v="1"/>
    <n v="2"/>
  </r>
  <r>
    <s v="ORD-00547"/>
    <x v="268"/>
    <s v="Handbag"/>
    <s v="Accessories"/>
    <s v="Instagram"/>
    <s v="Lagos"/>
    <s v="New"/>
    <s v="Valentine Promo"/>
    <n v="1"/>
    <n v="46246"/>
    <n v="46246"/>
    <n v="9249.2000000000007"/>
    <n v="0.2"/>
    <n v="36996.800000000003"/>
    <n v="30363.49"/>
    <n v="6633.3100000000013"/>
    <x v="1"/>
    <x v="1"/>
    <n v="2"/>
  </r>
  <r>
    <s v="ORD-01037"/>
    <x v="269"/>
    <s v="Jeans"/>
    <s v="Clothing"/>
    <s v="Instagram"/>
    <s v="Rivers"/>
    <s v="New"/>
    <s v="Valentine Promo"/>
    <n v="1"/>
    <n v="40739"/>
    <n v="40739"/>
    <n v="2036.95"/>
    <n v="0.05"/>
    <n v="38702.050000000003"/>
    <n v="24351.81"/>
    <n v="14350.240000000002"/>
    <x v="1"/>
    <x v="1"/>
    <n v="2"/>
  </r>
  <r>
    <s v="ORD-00096"/>
    <x v="270"/>
    <s v="Belt"/>
    <s v="Accessories"/>
    <s v="Instagram"/>
    <s v="Lagos"/>
    <s v="Returning"/>
    <s v="None"/>
    <n v="1"/>
    <n v="14340"/>
    <n v="14340"/>
    <n v="717"/>
    <n v="0.05"/>
    <n v="13623"/>
    <n v="9322.77"/>
    <n v="4300.2299999999996"/>
    <x v="1"/>
    <x v="1"/>
    <n v="2"/>
  </r>
  <r>
    <s v="ORD-00276"/>
    <x v="271"/>
    <s v="Hoodie"/>
    <s v="Clothing"/>
    <s v="Instagram"/>
    <s v="Delta"/>
    <s v="New"/>
    <s v="Valentine Promo"/>
    <n v="2"/>
    <n v="37069"/>
    <n v="74138"/>
    <n v="7413.8"/>
    <n v="0.1"/>
    <n v="66724.2"/>
    <n v="47366.48"/>
    <n v="19357.719999999994"/>
    <x v="1"/>
    <x v="1"/>
    <n v="2"/>
  </r>
  <r>
    <s v="ORD-00396"/>
    <x v="272"/>
    <s v="Sandals"/>
    <s v="Footwear"/>
    <s v="Physical Store"/>
    <s v="Abuja"/>
    <s v="Returning"/>
    <s v="Valentine Promo"/>
    <n v="2"/>
    <n v="28658"/>
    <n v="57316"/>
    <n v="8597.4"/>
    <n v="0.15"/>
    <n v="48718.6"/>
    <n v="38411.1"/>
    <n v="10307.5"/>
    <x v="1"/>
    <x v="1"/>
    <n v="2"/>
  </r>
  <r>
    <s v="ORD-01118"/>
    <x v="273"/>
    <s v="Sneakers"/>
    <s v="Footwear"/>
    <s v="WhatsApp"/>
    <s v="Abuja"/>
    <s v="New"/>
    <s v="None"/>
    <n v="4"/>
    <n v="60253"/>
    <n v="241012"/>
    <n v="0"/>
    <n v="0"/>
    <n v="241012"/>
    <n v="149225.1"/>
    <n v="91786.9"/>
    <x v="1"/>
    <x v="1"/>
    <n v="2"/>
  </r>
  <r>
    <s v="ORD-00878"/>
    <x v="274"/>
    <s v="Sandals"/>
    <s v="Footwear"/>
    <s v="Instagram"/>
    <s v="Oyo"/>
    <s v="New"/>
    <s v="Valentine Promo"/>
    <n v="2"/>
    <n v="28465"/>
    <n v="56930"/>
    <n v="5693"/>
    <n v="0.1"/>
    <n v="51237"/>
    <n v="27451.97"/>
    <n v="23785.03"/>
    <x v="1"/>
    <x v="1"/>
    <n v="2"/>
  </r>
  <r>
    <s v="ORD-00392"/>
    <x v="274"/>
    <s v="Polo Shirt"/>
    <s v="Clothing"/>
    <s v="Instagram"/>
    <s v="Lagos"/>
    <s v="New"/>
    <s v="Valentine Promo"/>
    <n v="3"/>
    <n v="25539"/>
    <n v="76617"/>
    <n v="3830.85"/>
    <n v="0.05"/>
    <n v="72786.149999999994"/>
    <n v="37857.01"/>
    <n v="34929.139999999992"/>
    <x v="1"/>
    <x v="1"/>
    <n v="2"/>
  </r>
  <r>
    <s v="ORD-01173"/>
    <x v="275"/>
    <s v="Jeans"/>
    <s v="Clothing"/>
    <s v="Instagram"/>
    <s v="Abuja"/>
    <s v="Returning"/>
    <s v="Valentine Promo"/>
    <n v="3"/>
    <n v="42697"/>
    <n v="128091"/>
    <n v="12809.1"/>
    <n v="0.1"/>
    <n v="115281.9"/>
    <n v="82569.91"/>
    <n v="32711.989999999991"/>
    <x v="1"/>
    <x v="1"/>
    <n v="2"/>
  </r>
  <r>
    <s v="ORD-00082"/>
    <x v="275"/>
    <s v="Hoodie"/>
    <s v="Clothing"/>
    <s v="Website"/>
    <s v="Oyo"/>
    <s v="New"/>
    <s v="None"/>
    <n v="1"/>
    <n v="37197"/>
    <n v="37197"/>
    <n v="0"/>
    <n v="0"/>
    <n v="37197"/>
    <n v="18962.2"/>
    <n v="18234.8"/>
    <x v="1"/>
    <x v="1"/>
    <n v="2"/>
  </r>
  <r>
    <s v="ORD-00859"/>
    <x v="276"/>
    <s v="Jeans"/>
    <s v="Clothing"/>
    <s v="Website"/>
    <s v="Lagos"/>
    <s v="New"/>
    <s v="None"/>
    <n v="3"/>
    <n v="39265"/>
    <n v="117795"/>
    <n v="0"/>
    <n v="0"/>
    <n v="117795"/>
    <n v="69077.77"/>
    <n v="48717.229999999996"/>
    <x v="1"/>
    <x v="1"/>
    <n v="2"/>
  </r>
  <r>
    <s v="ORD-00804"/>
    <x v="276"/>
    <s v="Handbag"/>
    <s v="Accessories"/>
    <s v="Physical Store"/>
    <s v="Abuja"/>
    <s v="New"/>
    <s v="None"/>
    <n v="3"/>
    <n v="43108"/>
    <n v="129324"/>
    <n v="0"/>
    <n v="0"/>
    <n v="129324"/>
    <n v="75122.27"/>
    <n v="54201.729999999996"/>
    <x v="1"/>
    <x v="1"/>
    <n v="2"/>
  </r>
  <r>
    <s v="ORD-00785"/>
    <x v="277"/>
    <s v="Sneakers"/>
    <s v="Footwear"/>
    <s v="Website"/>
    <s v="Abuja"/>
    <s v="Returning"/>
    <s v="None"/>
    <n v="1"/>
    <n v="67055"/>
    <n v="67055"/>
    <n v="0"/>
    <n v="0"/>
    <n v="67055"/>
    <n v="37439.160000000003"/>
    <n v="29615.839999999997"/>
    <x v="1"/>
    <x v="1"/>
    <n v="2"/>
  </r>
  <r>
    <s v="ORD-00700"/>
    <x v="278"/>
    <s v="Sneakers"/>
    <s v="Footwear"/>
    <s v="Website"/>
    <s v="Rivers"/>
    <s v="New"/>
    <s v="Valentine Promo"/>
    <n v="1"/>
    <n v="61645"/>
    <n v="61645"/>
    <n v="6164.5"/>
    <n v="0.1"/>
    <n v="55480.5"/>
    <n v="36580.550000000003"/>
    <n v="18899.949999999997"/>
    <x v="1"/>
    <x v="1"/>
    <n v="2"/>
  </r>
  <r>
    <s v="ORD-00913"/>
    <x v="279"/>
    <s v="Dress"/>
    <s v="Clothing"/>
    <s v="Instagram"/>
    <s v="Abuja"/>
    <s v="New"/>
    <s v="Easter Sale"/>
    <n v="2"/>
    <n v="52736"/>
    <n v="105472"/>
    <n v="10547.2"/>
    <n v="0.1"/>
    <n v="94924.800000000003"/>
    <n v="68318.53"/>
    <n v="26606.270000000004"/>
    <x v="2"/>
    <x v="1"/>
    <n v="3"/>
  </r>
  <r>
    <s v="ORD-00354"/>
    <x v="280"/>
    <s v="Dress"/>
    <s v="Clothing"/>
    <s v="WhatsApp"/>
    <s v="Oyo"/>
    <s v="New"/>
    <s v="Easter Sale"/>
    <n v="2"/>
    <n v="47447"/>
    <n v="94894"/>
    <n v="18978.8"/>
    <n v="0.2"/>
    <n v="75915.199999999997"/>
    <n v="51891.7"/>
    <n v="24023.5"/>
    <x v="2"/>
    <x v="1"/>
    <n v="3"/>
  </r>
  <r>
    <s v="ORD-01143"/>
    <x v="280"/>
    <s v="Sneakers"/>
    <s v="Footwear"/>
    <s v="Instagram"/>
    <s v="Abuja"/>
    <s v="New"/>
    <s v="None"/>
    <n v="1"/>
    <n v="64798"/>
    <n v="64798"/>
    <n v="0"/>
    <n v="0"/>
    <n v="64798"/>
    <n v="41702.39"/>
    <n v="23095.61"/>
    <x v="2"/>
    <x v="1"/>
    <n v="3"/>
  </r>
  <r>
    <s v="ORD-00588"/>
    <x v="281"/>
    <s v="Cap"/>
    <s v="Accessories"/>
    <s v="WhatsApp"/>
    <s v="Lagos"/>
    <s v="Returning"/>
    <s v="Easter Sale"/>
    <n v="1"/>
    <n v="11842"/>
    <n v="11842"/>
    <n v="1184.2"/>
    <n v="0.1"/>
    <n v="10657.8"/>
    <n v="6443.39"/>
    <n v="4214.4099999999989"/>
    <x v="2"/>
    <x v="1"/>
    <n v="3"/>
  </r>
  <r>
    <s v="ORD-00596"/>
    <x v="281"/>
    <s v="Sneakers"/>
    <s v="Footwear"/>
    <s v="Website"/>
    <s v="Rivers"/>
    <s v="Returning"/>
    <s v="Easter Sale"/>
    <n v="2"/>
    <n v="64730"/>
    <n v="129460"/>
    <n v="19419"/>
    <n v="0.15"/>
    <n v="110041"/>
    <n v="62425.96"/>
    <n v="47615.040000000001"/>
    <x v="2"/>
    <x v="1"/>
    <n v="3"/>
  </r>
  <r>
    <s v="ORD-00907"/>
    <x v="281"/>
    <s v="Sandals"/>
    <s v="Footwear"/>
    <s v="Physical Store"/>
    <s v="Abuja"/>
    <s v="New"/>
    <s v="Easter Sale"/>
    <n v="2"/>
    <n v="27930"/>
    <n v="55860"/>
    <n v="11172"/>
    <n v="0.2"/>
    <n v="44688"/>
    <n v="30487.49"/>
    <n v="14200.509999999998"/>
    <x v="2"/>
    <x v="1"/>
    <n v="3"/>
  </r>
  <r>
    <s v="ORD-00229"/>
    <x v="282"/>
    <s v="Cap"/>
    <s v="Accessories"/>
    <s v="Physical Store"/>
    <s v="Rivers"/>
    <s v="Returning"/>
    <s v="None"/>
    <n v="4"/>
    <n v="11284"/>
    <n v="45136"/>
    <n v="0"/>
    <n v="0"/>
    <n v="45136"/>
    <n v="26463.94"/>
    <n v="18672.060000000001"/>
    <x v="2"/>
    <x v="1"/>
    <n v="3"/>
  </r>
  <r>
    <s v="ORD-00572"/>
    <x v="282"/>
    <s v="Dress"/>
    <s v="Clothing"/>
    <s v="Physical Store"/>
    <s v="Lagos"/>
    <s v="New"/>
    <s v="Easter Sale"/>
    <n v="4"/>
    <n v="47161"/>
    <n v="188644"/>
    <n v="18864.400000000001"/>
    <n v="0.1"/>
    <n v="169779.6"/>
    <n v="126880.37"/>
    <n v="42899.23000000001"/>
    <x v="2"/>
    <x v="1"/>
    <n v="3"/>
  </r>
  <r>
    <s v="ORD-00992"/>
    <x v="283"/>
    <s v="Polo Shirt"/>
    <s v="Clothing"/>
    <s v="Instagram"/>
    <s v="Rivers"/>
    <s v="Returning"/>
    <s v="None"/>
    <n v="1"/>
    <n v="26641"/>
    <n v="26641"/>
    <n v="0"/>
    <n v="0"/>
    <n v="26641"/>
    <n v="15445.02"/>
    <n v="11195.98"/>
    <x v="2"/>
    <x v="1"/>
    <n v="3"/>
  </r>
  <r>
    <s v="ORD-00141"/>
    <x v="283"/>
    <s v="Jeans"/>
    <s v="Clothing"/>
    <s v="Website"/>
    <s v="Rivers"/>
    <s v="Returning"/>
    <s v="Easter Sale"/>
    <n v="3"/>
    <n v="43897"/>
    <n v="131691"/>
    <n v="13169.1"/>
    <n v="0.1"/>
    <n v="118521.9"/>
    <n v="71126.03"/>
    <n v="47395.869999999995"/>
    <x v="2"/>
    <x v="1"/>
    <n v="3"/>
  </r>
  <r>
    <s v="ORD-00362"/>
    <x v="283"/>
    <s v="Hoodie"/>
    <s v="Clothing"/>
    <s v="Instagram"/>
    <s v="Abuja"/>
    <s v="Returning"/>
    <s v="Easter Sale"/>
    <n v="1"/>
    <n v="38468"/>
    <n v="38468"/>
    <n v="5770.2"/>
    <n v="0.15"/>
    <n v="32697.8"/>
    <n v="23057.3"/>
    <n v="9640.5"/>
    <x v="2"/>
    <x v="1"/>
    <n v="3"/>
  </r>
  <r>
    <s v="ORD-00937"/>
    <x v="284"/>
    <s v="Dress"/>
    <s v="Clothing"/>
    <s v="Physical Store"/>
    <s v="Lagos"/>
    <s v="Returning"/>
    <s v="Easter Sale"/>
    <n v="1"/>
    <n v="52412"/>
    <n v="52412"/>
    <n v="7861.8"/>
    <n v="0.15"/>
    <n v="44550.2"/>
    <n v="35406.129999999997"/>
    <n v="9144.07"/>
    <x v="2"/>
    <x v="1"/>
    <n v="3"/>
  </r>
  <r>
    <s v="ORD-00302"/>
    <x v="285"/>
    <s v="Sneakers"/>
    <s v="Footwear"/>
    <s v="WhatsApp"/>
    <s v="Delta"/>
    <s v="New"/>
    <s v="Easter Sale"/>
    <n v="4"/>
    <n v="64164"/>
    <n v="256656"/>
    <n v="51331.199999999997"/>
    <n v="0.2"/>
    <n v="205324.79999999999"/>
    <n v="125216.91"/>
    <n v="80107.889999999985"/>
    <x v="2"/>
    <x v="1"/>
    <n v="3"/>
  </r>
  <r>
    <s v="ORD-00422"/>
    <x v="286"/>
    <s v="Jeans"/>
    <s v="Clothing"/>
    <s v="Physical Store"/>
    <s v="Abuja"/>
    <s v="New"/>
    <s v="None"/>
    <n v="2"/>
    <n v="40230"/>
    <n v="80460"/>
    <n v="0"/>
    <n v="0"/>
    <n v="80460"/>
    <n v="45526.67"/>
    <n v="34933.33"/>
    <x v="2"/>
    <x v="1"/>
    <n v="3"/>
  </r>
  <r>
    <s v="ORD-00462"/>
    <x v="286"/>
    <s v="T-Shirt"/>
    <s v="Clothing"/>
    <s v="Physical Store"/>
    <s v="Abuja"/>
    <s v="New"/>
    <s v="Easter Sale"/>
    <n v="1"/>
    <n v="17744"/>
    <n v="17744"/>
    <n v="1774.4"/>
    <n v="0.1"/>
    <n v="15969.6"/>
    <n v="9288.82"/>
    <n v="6680.7800000000007"/>
    <x v="2"/>
    <x v="1"/>
    <n v="3"/>
  </r>
  <r>
    <s v="ORD-00597"/>
    <x v="287"/>
    <s v="Dress"/>
    <s v="Clothing"/>
    <s v="Instagram"/>
    <s v="Lagos"/>
    <s v="New"/>
    <s v="None"/>
    <n v="1"/>
    <n v="53507"/>
    <n v="53507"/>
    <n v="0"/>
    <n v="0"/>
    <n v="53507"/>
    <n v="26895.22"/>
    <n v="26611.78"/>
    <x v="2"/>
    <x v="1"/>
    <n v="3"/>
  </r>
  <r>
    <s v="ORD-00563"/>
    <x v="288"/>
    <s v="Sandals"/>
    <s v="Footwear"/>
    <s v="Instagram"/>
    <s v="Lagos"/>
    <s v="Returning"/>
    <s v="Easter Sale"/>
    <n v="1"/>
    <n v="28202"/>
    <n v="28202"/>
    <n v="1410.1"/>
    <n v="0.05"/>
    <n v="26791.9"/>
    <n v="18533.919999999998"/>
    <n v="8257.9800000000032"/>
    <x v="2"/>
    <x v="1"/>
    <n v="3"/>
  </r>
  <r>
    <s v="ORD-00527"/>
    <x v="289"/>
    <s v="Jeans"/>
    <s v="Clothing"/>
    <s v="Website"/>
    <s v="Oyo"/>
    <s v="New"/>
    <s v="Easter Sale"/>
    <n v="1"/>
    <n v="45019"/>
    <n v="45019"/>
    <n v="4501.8999999999996"/>
    <n v="0.1"/>
    <n v="40517.1"/>
    <n v="23129.5"/>
    <n v="17387.599999999999"/>
    <x v="2"/>
    <x v="1"/>
    <n v="3"/>
  </r>
  <r>
    <s v="ORD-00947"/>
    <x v="290"/>
    <s v="Belt"/>
    <s v="Accessories"/>
    <s v="Instagram"/>
    <s v="Lagos"/>
    <s v="New"/>
    <s v="Easter Sale"/>
    <n v="2"/>
    <n v="15923"/>
    <n v="31846"/>
    <n v="4776.8999999999996"/>
    <n v="0.15"/>
    <n v="27069.1"/>
    <n v="18252.66"/>
    <n v="8816.4399999999987"/>
    <x v="2"/>
    <x v="1"/>
    <n v="3"/>
  </r>
  <r>
    <s v="ORD-00192"/>
    <x v="291"/>
    <s v="Cap"/>
    <s v="Accessories"/>
    <s v="Website"/>
    <s v="Lagos"/>
    <s v="New"/>
    <s v="Easter Sale"/>
    <n v="5"/>
    <n v="11463"/>
    <n v="57315"/>
    <n v="5731.5"/>
    <n v="0.1"/>
    <n v="51583.5"/>
    <n v="33729.550000000003"/>
    <n v="17853.949999999997"/>
    <x v="2"/>
    <x v="1"/>
    <n v="3"/>
  </r>
  <r>
    <s v="ORD-00236"/>
    <x v="291"/>
    <s v="Sandals"/>
    <s v="Footwear"/>
    <s v="Physical Store"/>
    <s v="Delta"/>
    <s v="Returning"/>
    <s v="None"/>
    <n v="2"/>
    <n v="30378"/>
    <n v="60756"/>
    <n v="0"/>
    <n v="0"/>
    <n v="60756"/>
    <n v="31064.26"/>
    <n v="29691.74"/>
    <x v="2"/>
    <x v="1"/>
    <n v="3"/>
  </r>
  <r>
    <s v="ORD-00350"/>
    <x v="291"/>
    <s v="Cap"/>
    <s v="Accessories"/>
    <s v="Website"/>
    <s v="Lagos"/>
    <s v="Returning"/>
    <s v="None"/>
    <n v="1"/>
    <n v="11214"/>
    <n v="11214"/>
    <n v="0"/>
    <n v="0"/>
    <n v="11214"/>
    <n v="6890.76"/>
    <n v="4323.24"/>
    <x v="2"/>
    <x v="1"/>
    <n v="3"/>
  </r>
  <r>
    <s v="ORD-01198"/>
    <x v="292"/>
    <s v="Jeans"/>
    <s v="Clothing"/>
    <s v="WhatsApp"/>
    <s v="Lagos"/>
    <s v="Returning"/>
    <s v="Easter Sale"/>
    <n v="1"/>
    <n v="42491"/>
    <n v="42491"/>
    <n v="2124.5500000000002"/>
    <n v="0.05"/>
    <n v="40366.449999999997"/>
    <n v="23511.69"/>
    <n v="16854.759999999998"/>
    <x v="2"/>
    <x v="1"/>
    <n v="3"/>
  </r>
  <r>
    <s v="ORD-00425"/>
    <x v="293"/>
    <s v="Polo Shirt"/>
    <s v="Clothing"/>
    <s v="Physical Store"/>
    <s v="Oyo"/>
    <s v="New"/>
    <s v="None"/>
    <n v="1"/>
    <n v="26539"/>
    <n v="26539"/>
    <n v="0"/>
    <n v="0"/>
    <n v="26539"/>
    <n v="14884.35"/>
    <n v="11654.65"/>
    <x v="2"/>
    <x v="1"/>
    <n v="3"/>
  </r>
  <r>
    <s v="ORD-01014"/>
    <x v="293"/>
    <s v="Belt"/>
    <s v="Accessories"/>
    <s v="Physical Store"/>
    <s v="Oyo"/>
    <s v="Returning"/>
    <s v="Easter Sale"/>
    <n v="1"/>
    <n v="16090"/>
    <n v="16090"/>
    <n v="1609"/>
    <n v="0.1"/>
    <n v="14481"/>
    <n v="10077.64"/>
    <n v="4403.3600000000006"/>
    <x v="2"/>
    <x v="1"/>
    <n v="3"/>
  </r>
  <r>
    <s v="ORD-00061"/>
    <x v="294"/>
    <s v="Hoodie"/>
    <s v="Clothing"/>
    <s v="Instagram"/>
    <s v="Lagos"/>
    <s v="Returning"/>
    <s v="Easter Sale"/>
    <n v="2"/>
    <n v="35884"/>
    <n v="71768"/>
    <n v="10765.2"/>
    <n v="0.15"/>
    <n v="61002.8"/>
    <n v="45655.38"/>
    <n v="15347.420000000006"/>
    <x v="2"/>
    <x v="1"/>
    <n v="3"/>
  </r>
  <r>
    <s v="ORD-00473"/>
    <x v="294"/>
    <s v="Sandals"/>
    <s v="Footwear"/>
    <s v="Instagram"/>
    <s v="Oyo"/>
    <s v="Returning"/>
    <s v="None"/>
    <n v="2"/>
    <n v="32075"/>
    <n v="64150"/>
    <n v="0"/>
    <n v="0"/>
    <n v="64150"/>
    <n v="32980.81"/>
    <n v="31169.190000000002"/>
    <x v="2"/>
    <x v="1"/>
    <n v="3"/>
  </r>
  <r>
    <s v="ORD-00401"/>
    <x v="295"/>
    <s v="Cap"/>
    <s v="Accessories"/>
    <s v="Physical Store"/>
    <s v="Oyo"/>
    <s v="Returning"/>
    <s v="Easter Sale"/>
    <n v="2"/>
    <n v="11766"/>
    <n v="23532"/>
    <n v="2353.1999999999998"/>
    <n v="0.1"/>
    <n v="21178.799999999999"/>
    <n v="13239.61"/>
    <n v="7939.1899999999987"/>
    <x v="3"/>
    <x v="1"/>
    <n v="4"/>
  </r>
  <r>
    <s v="ORD-00558"/>
    <x v="295"/>
    <s v="Cap"/>
    <s v="Accessories"/>
    <s v="WhatsApp"/>
    <s v="Lagos"/>
    <s v="New"/>
    <s v="None"/>
    <n v="4"/>
    <n v="12248"/>
    <n v="48992"/>
    <n v="0"/>
    <n v="0"/>
    <n v="48992"/>
    <n v="31362.75"/>
    <n v="17629.25"/>
    <x v="3"/>
    <x v="1"/>
    <n v="4"/>
  </r>
  <r>
    <s v="ORD-00016"/>
    <x v="296"/>
    <s v="Sandals"/>
    <s v="Footwear"/>
    <s v="Physical Store"/>
    <s v="Rivers"/>
    <s v="New"/>
    <s v="Easter Sale"/>
    <n v="1"/>
    <n v="28021"/>
    <n v="28021"/>
    <n v="2802.1"/>
    <n v="0.1"/>
    <n v="25218.9"/>
    <n v="13636.16"/>
    <n v="11582.740000000002"/>
    <x v="3"/>
    <x v="1"/>
    <n v="4"/>
  </r>
  <r>
    <s v="ORD-00221"/>
    <x v="296"/>
    <s v="Dress"/>
    <s v="Clothing"/>
    <s v="Website"/>
    <s v="Lagos"/>
    <s v="New"/>
    <s v="None"/>
    <n v="1"/>
    <n v="48791"/>
    <n v="48791"/>
    <n v="0"/>
    <n v="0"/>
    <n v="48791"/>
    <n v="31172.43"/>
    <n v="17618.57"/>
    <x v="3"/>
    <x v="1"/>
    <n v="4"/>
  </r>
  <r>
    <s v="ORD-00518"/>
    <x v="297"/>
    <s v="T-Shirt"/>
    <s v="Clothing"/>
    <s v="Instagram"/>
    <s v="Delta"/>
    <s v="New"/>
    <s v="Easter Sale"/>
    <n v="5"/>
    <n v="18007"/>
    <n v="90035"/>
    <n v="9003.5"/>
    <n v="0.1"/>
    <n v="81031.5"/>
    <n v="55846.25"/>
    <n v="25185.25"/>
    <x v="3"/>
    <x v="1"/>
    <n v="4"/>
  </r>
  <r>
    <s v="ORD-00168"/>
    <x v="298"/>
    <s v="Sneakers"/>
    <s v="Footwear"/>
    <s v="Website"/>
    <s v="Abuja"/>
    <s v="New"/>
    <s v="Easter Sale"/>
    <n v="2"/>
    <n v="63354"/>
    <n v="126708"/>
    <n v="12670.8"/>
    <n v="0.1"/>
    <n v="114037.2"/>
    <n v="66477.69"/>
    <n v="47559.509999999995"/>
    <x v="3"/>
    <x v="1"/>
    <n v="4"/>
  </r>
  <r>
    <s v="ORD-01073"/>
    <x v="299"/>
    <s v="Jeans"/>
    <s v="Clothing"/>
    <s v="Website"/>
    <s v="Abuja"/>
    <s v="New"/>
    <s v="None"/>
    <n v="2"/>
    <n v="44514"/>
    <n v="89028"/>
    <n v="8902.7999999999993"/>
    <n v="0.1"/>
    <n v="80125.2"/>
    <n v="50316.29"/>
    <n v="29808.909999999996"/>
    <x v="3"/>
    <x v="1"/>
    <n v="4"/>
  </r>
  <r>
    <s v="ORD-00005"/>
    <x v="300"/>
    <s v="Polo Shirt"/>
    <s v="Clothing"/>
    <s v="Physical Store"/>
    <s v="Abuja"/>
    <s v="Returning"/>
    <s v="Easter Sale"/>
    <n v="3"/>
    <n v="26851"/>
    <n v="80553"/>
    <n v="8055.3"/>
    <n v="0.1"/>
    <n v="72497.7"/>
    <n v="48857.36"/>
    <n v="23640.339999999997"/>
    <x v="3"/>
    <x v="1"/>
    <n v="4"/>
  </r>
  <r>
    <s v="ORD-00721"/>
    <x v="301"/>
    <s v="T-Shirt"/>
    <s v="Clothing"/>
    <s v="Physical Store"/>
    <s v="Rivers"/>
    <s v="Returning"/>
    <s v="Easter Sale"/>
    <n v="2"/>
    <n v="16871"/>
    <n v="33742"/>
    <n v="5061.3"/>
    <n v="0.15"/>
    <n v="28680.7"/>
    <n v="22755.27"/>
    <n v="5925.43"/>
    <x v="3"/>
    <x v="1"/>
    <n v="4"/>
  </r>
  <r>
    <s v="ORD-00950"/>
    <x v="302"/>
    <s v="Sandals"/>
    <s v="Footwear"/>
    <s v="Instagram"/>
    <s v="Delta"/>
    <s v="New"/>
    <s v="Easter Sale"/>
    <n v="2"/>
    <n v="32296"/>
    <n v="64592"/>
    <n v="3229.6"/>
    <n v="0.05"/>
    <n v="61362.400000000001"/>
    <n v="38199.089999999997"/>
    <n v="23163.310000000005"/>
    <x v="3"/>
    <x v="1"/>
    <n v="4"/>
  </r>
  <r>
    <s v="ORD-00223"/>
    <x v="303"/>
    <s v="Hoodie"/>
    <s v="Clothing"/>
    <s v="Website"/>
    <s v="Lagos"/>
    <s v="New"/>
    <s v="Easter Sale"/>
    <n v="3"/>
    <n v="38090"/>
    <n v="114270"/>
    <n v="17140.5"/>
    <n v="0.15"/>
    <n v="97129.5"/>
    <n v="56759.15"/>
    <n v="40370.35"/>
    <x v="3"/>
    <x v="1"/>
    <n v="4"/>
  </r>
  <r>
    <s v="ORD-00288"/>
    <x v="304"/>
    <s v="Sandals"/>
    <s v="Footwear"/>
    <s v="WhatsApp"/>
    <s v="Oyo"/>
    <s v="New"/>
    <s v="Easter Sale"/>
    <n v="2"/>
    <n v="31606"/>
    <n v="63212"/>
    <n v="3160.6"/>
    <n v="0.05"/>
    <n v="60051.4"/>
    <n v="41882.910000000003"/>
    <n v="18168.489999999998"/>
    <x v="3"/>
    <x v="1"/>
    <n v="4"/>
  </r>
  <r>
    <s v="ORD-00969"/>
    <x v="304"/>
    <s v="Dress"/>
    <s v="Clothing"/>
    <s v="WhatsApp"/>
    <s v="Rivers"/>
    <s v="New"/>
    <s v="None"/>
    <n v="1"/>
    <n v="48168"/>
    <n v="48168"/>
    <n v="0"/>
    <n v="0"/>
    <n v="48168"/>
    <n v="28076.93"/>
    <n v="20091.07"/>
    <x v="3"/>
    <x v="1"/>
    <n v="4"/>
  </r>
  <r>
    <s v="ORD-00496"/>
    <x v="304"/>
    <s v="Cap"/>
    <s v="Accessories"/>
    <s v="Website"/>
    <s v="Lagos"/>
    <s v="New"/>
    <s v="Easter Sale"/>
    <n v="3"/>
    <n v="11615"/>
    <n v="34845"/>
    <n v="5226.75"/>
    <n v="0.15"/>
    <n v="29618.25"/>
    <n v="17391.55"/>
    <n v="12226.7"/>
    <x v="3"/>
    <x v="1"/>
    <n v="4"/>
  </r>
  <r>
    <s v="ORD-00181"/>
    <x v="305"/>
    <s v="Sneakers"/>
    <s v="Footwear"/>
    <s v="Website"/>
    <s v="Lagos"/>
    <s v="Returning"/>
    <s v="None"/>
    <n v="1"/>
    <n v="60103"/>
    <n v="60103"/>
    <n v="0"/>
    <n v="0"/>
    <n v="60103"/>
    <n v="36812.29"/>
    <n v="23290.71"/>
    <x v="3"/>
    <x v="1"/>
    <n v="4"/>
  </r>
  <r>
    <s v="ORD-00664"/>
    <x v="306"/>
    <s v="Jeans"/>
    <s v="Clothing"/>
    <s v="Instagram"/>
    <s v="Lagos"/>
    <s v="Returning"/>
    <s v="None"/>
    <n v="3"/>
    <n v="39276"/>
    <n v="117828"/>
    <n v="0"/>
    <n v="0"/>
    <n v="117828"/>
    <n v="63303.31"/>
    <n v="54524.69"/>
    <x v="3"/>
    <x v="1"/>
    <n v="4"/>
  </r>
  <r>
    <s v="ORD-00353"/>
    <x v="306"/>
    <s v="Polo Shirt"/>
    <s v="Clothing"/>
    <s v="Physical Store"/>
    <s v="Lagos"/>
    <s v="New"/>
    <s v="None"/>
    <n v="2"/>
    <n v="25589"/>
    <n v="51178"/>
    <n v="0"/>
    <n v="0"/>
    <n v="51178"/>
    <n v="27891.22"/>
    <n v="23286.78"/>
    <x v="3"/>
    <x v="1"/>
    <n v="4"/>
  </r>
  <r>
    <s v="ORD-00021"/>
    <x v="307"/>
    <s v="Hoodie"/>
    <s v="Clothing"/>
    <s v="Physical Store"/>
    <s v="Oyo"/>
    <s v="New"/>
    <s v="Easter Sale"/>
    <n v="1"/>
    <n v="38931"/>
    <n v="38931"/>
    <n v="1946.55"/>
    <n v="0.05"/>
    <n v="36984.449999999997"/>
    <n v="22910.73"/>
    <n v="14073.719999999998"/>
    <x v="3"/>
    <x v="1"/>
    <n v="4"/>
  </r>
  <r>
    <s v="ORD-00877"/>
    <x v="307"/>
    <s v="Dress"/>
    <s v="Clothing"/>
    <s v="Website"/>
    <s v="Oyo"/>
    <s v="Returning"/>
    <s v="None"/>
    <n v="1"/>
    <n v="53988"/>
    <n v="53988"/>
    <n v="5398.8"/>
    <n v="0.1"/>
    <n v="48589.2"/>
    <n v="33763.879999999997"/>
    <n v="14825.32"/>
    <x v="3"/>
    <x v="1"/>
    <n v="4"/>
  </r>
  <r>
    <s v="ORD-00550"/>
    <x v="308"/>
    <s v="Belt"/>
    <s v="Accessories"/>
    <s v="WhatsApp"/>
    <s v="Abuja"/>
    <s v="New"/>
    <s v="Easter Sale"/>
    <n v="2"/>
    <n v="14045"/>
    <n v="28090"/>
    <n v="1404.5"/>
    <n v="0.05"/>
    <n v="26685.5"/>
    <n v="13961.54"/>
    <n v="12723.96"/>
    <x v="3"/>
    <x v="1"/>
    <n v="4"/>
  </r>
  <r>
    <s v="ORD-00901"/>
    <x v="308"/>
    <s v="Handbag"/>
    <s v="Accessories"/>
    <s v="Website"/>
    <s v="Delta"/>
    <s v="Returning"/>
    <s v="None"/>
    <n v="4"/>
    <n v="42771"/>
    <n v="171084"/>
    <n v="0"/>
    <n v="0"/>
    <n v="171084"/>
    <n v="84566.92"/>
    <n v="86517.08"/>
    <x v="3"/>
    <x v="1"/>
    <n v="4"/>
  </r>
  <r>
    <s v="ORD-00472"/>
    <x v="308"/>
    <s v="Sneakers"/>
    <s v="Footwear"/>
    <s v="Physical Store"/>
    <s v="Oyo"/>
    <s v="Returning"/>
    <s v="None"/>
    <n v="1"/>
    <n v="62086"/>
    <n v="62086"/>
    <n v="9312.9"/>
    <n v="0.15"/>
    <n v="52773.1"/>
    <n v="40969.47"/>
    <n v="11803.629999999997"/>
    <x v="3"/>
    <x v="1"/>
    <n v="4"/>
  </r>
  <r>
    <s v="ORD-00244"/>
    <x v="309"/>
    <s v="Jeans"/>
    <s v="Clothing"/>
    <s v="Physical Store"/>
    <s v="Lagos"/>
    <s v="New"/>
    <s v="None"/>
    <n v="4"/>
    <n v="41368"/>
    <n v="165472"/>
    <n v="0"/>
    <n v="0"/>
    <n v="165472"/>
    <n v="82081.47"/>
    <n v="83390.53"/>
    <x v="3"/>
    <x v="1"/>
    <n v="4"/>
  </r>
  <r>
    <s v="ORD-01125"/>
    <x v="309"/>
    <s v="Hoodie"/>
    <s v="Clothing"/>
    <s v="Physical Store"/>
    <s v="Rivers"/>
    <s v="New"/>
    <s v="Easter Sale"/>
    <n v="3"/>
    <n v="35591"/>
    <n v="106773"/>
    <n v="5338.65"/>
    <n v="0.05"/>
    <n v="101434.35"/>
    <n v="55710.67"/>
    <n v="45723.680000000008"/>
    <x v="3"/>
    <x v="1"/>
    <n v="4"/>
  </r>
  <r>
    <s v="ORD-00802"/>
    <x v="310"/>
    <s v="T-Shirt"/>
    <s v="Clothing"/>
    <s v="Physical Store"/>
    <s v="Lagos"/>
    <s v="New"/>
    <s v="None"/>
    <n v="1"/>
    <n v="17530"/>
    <n v="17530"/>
    <n v="0"/>
    <n v="0"/>
    <n v="17530"/>
    <n v="9521.08"/>
    <n v="8008.92"/>
    <x v="3"/>
    <x v="1"/>
    <n v="4"/>
  </r>
  <r>
    <s v="ORD-01042"/>
    <x v="311"/>
    <s v="Dress"/>
    <s v="Clothing"/>
    <s v="Website"/>
    <s v="Lagos"/>
    <s v="Returning"/>
    <s v="None"/>
    <n v="4"/>
    <n v="48813"/>
    <n v="195252"/>
    <n v="0"/>
    <n v="0"/>
    <n v="195252"/>
    <n v="132056.13"/>
    <n v="63195.869999999995"/>
    <x v="3"/>
    <x v="1"/>
    <n v="4"/>
  </r>
  <r>
    <s v="ORD-00680"/>
    <x v="312"/>
    <s v="Polo Shirt"/>
    <s v="Clothing"/>
    <s v="Website"/>
    <s v="Lagos"/>
    <s v="New"/>
    <s v="Easter Sale"/>
    <n v="2"/>
    <n v="25805"/>
    <n v="51610"/>
    <n v="7741.5"/>
    <n v="0.15"/>
    <n v="43868.5"/>
    <n v="28395.57"/>
    <n v="15472.93"/>
    <x v="3"/>
    <x v="1"/>
    <n v="4"/>
  </r>
  <r>
    <s v="ORD-00119"/>
    <x v="312"/>
    <s v="Polo Shirt"/>
    <s v="Clothing"/>
    <s v="Physical Store"/>
    <s v="Rivers"/>
    <s v="New"/>
    <s v="Easter Sale"/>
    <n v="2"/>
    <n v="25100"/>
    <n v="50200"/>
    <n v="7530"/>
    <n v="0.15"/>
    <n v="42670"/>
    <n v="32816.26"/>
    <n v="9853.739999999998"/>
    <x v="3"/>
    <x v="1"/>
    <n v="4"/>
  </r>
  <r>
    <s v="ORD-00334"/>
    <x v="313"/>
    <s v="Jeans"/>
    <s v="Clothing"/>
    <s v="Website"/>
    <s v="Lagos"/>
    <s v="New"/>
    <s v="None"/>
    <n v="2"/>
    <n v="41023"/>
    <n v="82046"/>
    <n v="8204.6"/>
    <n v="0.1"/>
    <n v="73841.399999999994"/>
    <n v="41271.54"/>
    <n v="32569.859999999993"/>
    <x v="4"/>
    <x v="1"/>
    <n v="5"/>
  </r>
  <r>
    <s v="ORD-00565"/>
    <x v="313"/>
    <s v="Sneakers"/>
    <s v="Footwear"/>
    <s v="WhatsApp"/>
    <s v="Oyo"/>
    <s v="New"/>
    <s v="None"/>
    <n v="2"/>
    <n v="69589"/>
    <n v="139178"/>
    <n v="0"/>
    <n v="0"/>
    <n v="139178"/>
    <n v="81146.12"/>
    <n v="58031.880000000005"/>
    <x v="4"/>
    <x v="1"/>
    <n v="5"/>
  </r>
  <r>
    <s v="ORD-01074"/>
    <x v="314"/>
    <s v="Sandals"/>
    <s v="Footwear"/>
    <s v="Instagram"/>
    <s v="Lagos"/>
    <s v="New"/>
    <s v="None"/>
    <n v="3"/>
    <n v="31045"/>
    <n v="93135"/>
    <n v="0"/>
    <n v="0"/>
    <n v="93135"/>
    <n v="61501.54"/>
    <n v="31633.46"/>
    <x v="4"/>
    <x v="1"/>
    <n v="5"/>
  </r>
  <r>
    <s v="ORD-00175"/>
    <x v="314"/>
    <s v="Polo Shirt"/>
    <s v="Clothing"/>
    <s v="Website"/>
    <s v="Abuja"/>
    <s v="Returning"/>
    <s v="None"/>
    <n v="1"/>
    <n v="26227"/>
    <n v="26227"/>
    <n v="0"/>
    <n v="0"/>
    <n v="26227"/>
    <n v="15455.98"/>
    <n v="10771.02"/>
    <x v="4"/>
    <x v="1"/>
    <n v="5"/>
  </r>
  <r>
    <s v="ORD-00269"/>
    <x v="315"/>
    <s v="Handbag"/>
    <s v="Accessories"/>
    <s v="Website"/>
    <s v="Oyo"/>
    <s v="Returning"/>
    <s v="None"/>
    <n v="2"/>
    <n v="45093"/>
    <n v="90186"/>
    <n v="0"/>
    <n v="0"/>
    <n v="90186"/>
    <n v="60157.17"/>
    <n v="30028.83"/>
    <x v="4"/>
    <x v="1"/>
    <n v="5"/>
  </r>
  <r>
    <s v="ORD-00946"/>
    <x v="316"/>
    <s v="Jeans"/>
    <s v="Clothing"/>
    <s v="WhatsApp"/>
    <s v="Lagos"/>
    <s v="New"/>
    <s v="None"/>
    <n v="1"/>
    <n v="39585"/>
    <n v="39585"/>
    <n v="0"/>
    <n v="0"/>
    <n v="39585"/>
    <n v="23419.55"/>
    <n v="16165.45"/>
    <x v="4"/>
    <x v="1"/>
    <n v="5"/>
  </r>
  <r>
    <s v="ORD-00450"/>
    <x v="317"/>
    <s v="Hoodie"/>
    <s v="Clothing"/>
    <s v="Website"/>
    <s v="Oyo"/>
    <s v="New"/>
    <s v="None"/>
    <n v="3"/>
    <n v="36532"/>
    <n v="109596"/>
    <n v="0"/>
    <n v="0"/>
    <n v="109596"/>
    <n v="70013.919999999998"/>
    <n v="39582.080000000002"/>
    <x v="4"/>
    <x v="1"/>
    <n v="5"/>
  </r>
  <r>
    <s v="ORD-00073"/>
    <x v="318"/>
    <s v="Belt"/>
    <s v="Accessories"/>
    <s v="Physical Store"/>
    <s v="Rivers"/>
    <s v="New"/>
    <s v="None"/>
    <n v="1"/>
    <n v="15276"/>
    <n v="15276"/>
    <n v="0"/>
    <n v="0"/>
    <n v="15276"/>
    <n v="9299.74"/>
    <n v="5976.26"/>
    <x v="4"/>
    <x v="1"/>
    <n v="5"/>
  </r>
  <r>
    <s v="ORD-01113"/>
    <x v="318"/>
    <s v="Sandals"/>
    <s v="Footwear"/>
    <s v="WhatsApp"/>
    <s v="Oyo"/>
    <s v="Returning"/>
    <s v="None"/>
    <n v="1"/>
    <n v="32058"/>
    <n v="32058"/>
    <n v="0"/>
    <n v="0"/>
    <n v="32058"/>
    <n v="17942.27"/>
    <n v="14115.73"/>
    <x v="4"/>
    <x v="1"/>
    <n v="5"/>
  </r>
  <r>
    <s v="ORD-00989"/>
    <x v="319"/>
    <s v="Polo Shirt"/>
    <s v="Clothing"/>
    <s v="Website"/>
    <s v="Lagos"/>
    <s v="New"/>
    <s v="None"/>
    <n v="2"/>
    <n v="23193"/>
    <n v="46386"/>
    <n v="0"/>
    <n v="0"/>
    <n v="46386"/>
    <n v="27833.29"/>
    <n v="18552.71"/>
    <x v="4"/>
    <x v="1"/>
    <n v="5"/>
  </r>
  <r>
    <s v="ORD-01108"/>
    <x v="320"/>
    <s v="Dress"/>
    <s v="Clothing"/>
    <s v="Website"/>
    <s v="Abuja"/>
    <s v="New"/>
    <s v="None"/>
    <n v="3"/>
    <n v="49549"/>
    <n v="148647"/>
    <n v="0"/>
    <n v="0"/>
    <n v="148647"/>
    <n v="79872.77"/>
    <n v="68774.23"/>
    <x v="4"/>
    <x v="1"/>
    <n v="5"/>
  </r>
  <r>
    <s v="ORD-00250"/>
    <x v="320"/>
    <s v="Belt"/>
    <s v="Accessories"/>
    <s v="Physical Store"/>
    <s v="Abuja"/>
    <s v="Returning"/>
    <s v="None"/>
    <n v="3"/>
    <n v="13845"/>
    <n v="41535"/>
    <n v="0"/>
    <n v="0"/>
    <n v="41535"/>
    <n v="25001.56"/>
    <n v="16533.439999999999"/>
    <x v="4"/>
    <x v="1"/>
    <n v="5"/>
  </r>
  <r>
    <s v="ORD-00370"/>
    <x v="320"/>
    <s v="Handbag"/>
    <s v="Accessories"/>
    <s v="Physical Store"/>
    <s v="Oyo"/>
    <s v="New"/>
    <s v="None"/>
    <n v="1"/>
    <n v="43655"/>
    <n v="43655"/>
    <n v="0"/>
    <n v="0"/>
    <n v="43655"/>
    <n v="24431.79"/>
    <n v="19223.21"/>
    <x v="4"/>
    <x v="1"/>
    <n v="5"/>
  </r>
  <r>
    <s v="ORD-00382"/>
    <x v="321"/>
    <s v="Polo Shirt"/>
    <s v="Clothing"/>
    <s v="Website"/>
    <s v="Rivers"/>
    <s v="Returning"/>
    <s v="None"/>
    <n v="2"/>
    <n v="26140"/>
    <n v="52280"/>
    <n v="0"/>
    <n v="0"/>
    <n v="52280"/>
    <n v="33670.97"/>
    <n v="18609.03"/>
    <x v="4"/>
    <x v="1"/>
    <n v="5"/>
  </r>
  <r>
    <s v="ORD-00458"/>
    <x v="322"/>
    <s v="Polo Shirt"/>
    <s v="Clothing"/>
    <s v="Physical Store"/>
    <s v="Rivers"/>
    <s v="New"/>
    <s v="None"/>
    <n v="3"/>
    <n v="24545"/>
    <n v="73635"/>
    <n v="11045.25"/>
    <n v="0.15"/>
    <n v="62589.75"/>
    <n v="39993.129999999997"/>
    <n v="22596.620000000003"/>
    <x v="4"/>
    <x v="1"/>
    <n v="5"/>
  </r>
  <r>
    <s v="ORD-00921"/>
    <x v="323"/>
    <s v="Jeans"/>
    <s v="Clothing"/>
    <s v="WhatsApp"/>
    <s v="Oyo"/>
    <s v="New"/>
    <s v="None"/>
    <n v="1"/>
    <n v="42402"/>
    <n v="42402"/>
    <n v="0"/>
    <n v="0"/>
    <n v="42402"/>
    <n v="26618.32"/>
    <n v="15783.68"/>
    <x v="4"/>
    <x v="1"/>
    <n v="5"/>
  </r>
  <r>
    <s v="ORD-00515"/>
    <x v="323"/>
    <s v="Belt"/>
    <s v="Accessories"/>
    <s v="Website"/>
    <s v="Lagos"/>
    <s v="Returning"/>
    <s v="None"/>
    <n v="2"/>
    <n v="15319"/>
    <n v="30638"/>
    <n v="4595.7"/>
    <n v="0.15"/>
    <n v="26042.3"/>
    <n v="18528.29"/>
    <n v="7514.0099999999984"/>
    <x v="4"/>
    <x v="1"/>
    <n v="5"/>
  </r>
  <r>
    <s v="ORD-00793"/>
    <x v="324"/>
    <s v="Jeans"/>
    <s v="Clothing"/>
    <s v="Physical Store"/>
    <s v="Rivers"/>
    <s v="Returning"/>
    <s v="None"/>
    <n v="1"/>
    <n v="39085"/>
    <n v="39085"/>
    <n v="0"/>
    <n v="0"/>
    <n v="39085"/>
    <n v="21908.799999999999"/>
    <n v="17176.2"/>
    <x v="4"/>
    <x v="1"/>
    <n v="5"/>
  </r>
  <r>
    <s v="ORD-00105"/>
    <x v="324"/>
    <s v="Sneakers"/>
    <s v="Footwear"/>
    <s v="Physical Store"/>
    <s v="Oyo"/>
    <s v="New"/>
    <s v="None"/>
    <n v="3"/>
    <n v="68711"/>
    <n v="206133"/>
    <n v="0"/>
    <n v="0"/>
    <n v="206133"/>
    <n v="129440.41"/>
    <n v="76692.59"/>
    <x v="4"/>
    <x v="1"/>
    <n v="5"/>
  </r>
  <r>
    <s v="ORD-00095"/>
    <x v="324"/>
    <s v="Sneakers"/>
    <s v="Footwear"/>
    <s v="Website"/>
    <s v="Abuja"/>
    <s v="New"/>
    <s v="None"/>
    <n v="3"/>
    <n v="62467"/>
    <n v="187401"/>
    <n v="0"/>
    <n v="0"/>
    <n v="187401"/>
    <n v="97377.22"/>
    <n v="90023.78"/>
    <x v="4"/>
    <x v="1"/>
    <n v="5"/>
  </r>
  <r>
    <s v="ORD-00727"/>
    <x v="325"/>
    <s v="Jeans"/>
    <s v="Clothing"/>
    <s v="WhatsApp"/>
    <s v="Delta"/>
    <s v="Returning"/>
    <s v="None"/>
    <n v="1"/>
    <n v="42109"/>
    <n v="42109"/>
    <n v="0"/>
    <n v="0"/>
    <n v="42109"/>
    <n v="27974.92"/>
    <n v="14134.080000000002"/>
    <x v="4"/>
    <x v="1"/>
    <n v="5"/>
  </r>
  <r>
    <s v="ORD-00480"/>
    <x v="326"/>
    <s v="T-Shirt"/>
    <s v="Clothing"/>
    <s v="Physical Store"/>
    <s v="Lagos"/>
    <s v="New"/>
    <s v="None"/>
    <n v="4"/>
    <n v="18748"/>
    <n v="74992"/>
    <n v="0"/>
    <n v="0"/>
    <n v="74992"/>
    <n v="48650.74"/>
    <n v="26341.260000000002"/>
    <x v="4"/>
    <x v="1"/>
    <n v="5"/>
  </r>
  <r>
    <s v="ORD-01166"/>
    <x v="327"/>
    <s v="Hoodie"/>
    <s v="Clothing"/>
    <s v="Physical Store"/>
    <s v="Delta"/>
    <s v="Returning"/>
    <s v="None"/>
    <n v="4"/>
    <n v="37060"/>
    <n v="148240"/>
    <n v="0"/>
    <n v="0"/>
    <n v="148240"/>
    <n v="83742.59"/>
    <n v="64497.41"/>
    <x v="4"/>
    <x v="1"/>
    <n v="5"/>
  </r>
  <r>
    <s v="ORD-00046"/>
    <x v="328"/>
    <s v="Belt"/>
    <s v="Accessories"/>
    <s v="Instagram"/>
    <s v="Oyo"/>
    <s v="Returning"/>
    <s v="None"/>
    <n v="1"/>
    <n v="15673"/>
    <n v="15673"/>
    <n v="0"/>
    <n v="0"/>
    <n v="15673"/>
    <n v="10101.61"/>
    <n v="5571.3899999999994"/>
    <x v="4"/>
    <x v="1"/>
    <n v="5"/>
  </r>
  <r>
    <s v="ORD-00205"/>
    <x v="329"/>
    <s v="Cap"/>
    <s v="Accessories"/>
    <s v="Physical Store"/>
    <s v="Rivers"/>
    <s v="New"/>
    <s v="None"/>
    <n v="1"/>
    <n v="11547"/>
    <n v="11547"/>
    <n v="0"/>
    <n v="0"/>
    <n v="11547"/>
    <n v="6658.09"/>
    <n v="4888.91"/>
    <x v="4"/>
    <x v="1"/>
    <n v="5"/>
  </r>
  <r>
    <s v="ORD-00459"/>
    <x v="330"/>
    <s v="Dress"/>
    <s v="Clothing"/>
    <s v="Instagram"/>
    <s v="Lagos"/>
    <s v="New"/>
    <s v="None"/>
    <n v="5"/>
    <n v="49557"/>
    <n v="247785"/>
    <n v="0"/>
    <n v="0"/>
    <n v="247785"/>
    <n v="167668.22"/>
    <n v="80116.78"/>
    <x v="4"/>
    <x v="1"/>
    <n v="5"/>
  </r>
  <r>
    <s v="ORD-00023"/>
    <x v="330"/>
    <s v="Belt"/>
    <s v="Accessories"/>
    <s v="Instagram"/>
    <s v="Lagos"/>
    <s v="New"/>
    <s v="None"/>
    <n v="5"/>
    <n v="15033"/>
    <n v="75165"/>
    <n v="3758.25"/>
    <n v="0.05"/>
    <n v="71406.75"/>
    <n v="36521.089999999997"/>
    <n v="34885.660000000003"/>
    <x v="4"/>
    <x v="1"/>
    <n v="5"/>
  </r>
  <r>
    <s v="ORD-00545"/>
    <x v="330"/>
    <s v="Dress"/>
    <s v="Clothing"/>
    <s v="WhatsApp"/>
    <s v="Lagos"/>
    <s v="New"/>
    <s v="None"/>
    <n v="2"/>
    <n v="51326"/>
    <n v="102652"/>
    <n v="0"/>
    <n v="0"/>
    <n v="102652"/>
    <n v="53811.65"/>
    <n v="48840.35"/>
    <x v="4"/>
    <x v="1"/>
    <n v="5"/>
  </r>
  <r>
    <s v="ORD-00284"/>
    <x v="331"/>
    <s v="Handbag"/>
    <s v="Accessories"/>
    <s v="Website"/>
    <s v="Oyo"/>
    <s v="New"/>
    <s v="None"/>
    <n v="1"/>
    <n v="42063"/>
    <n v="42063"/>
    <n v="0"/>
    <n v="0"/>
    <n v="42063"/>
    <n v="22093.8"/>
    <n v="19969.2"/>
    <x v="4"/>
    <x v="1"/>
    <n v="5"/>
  </r>
  <r>
    <s v="ORD-00331"/>
    <x v="332"/>
    <s v="Belt"/>
    <s v="Accessories"/>
    <s v="Physical Store"/>
    <s v="Lagos"/>
    <s v="Returning"/>
    <s v="None"/>
    <n v="1"/>
    <n v="16191"/>
    <n v="16191"/>
    <n v="0"/>
    <n v="0"/>
    <n v="16191"/>
    <n v="10266.540000000001"/>
    <n v="5924.4599999999991"/>
    <x v="4"/>
    <x v="1"/>
    <n v="5"/>
  </r>
  <r>
    <s v="ORD-00767"/>
    <x v="332"/>
    <s v="Hoodie"/>
    <s v="Clothing"/>
    <s v="WhatsApp"/>
    <s v="Abuja"/>
    <s v="New"/>
    <s v="None"/>
    <n v="1"/>
    <n v="38187"/>
    <n v="38187"/>
    <n v="0"/>
    <n v="0"/>
    <n v="38187"/>
    <n v="19540.560000000001"/>
    <n v="18646.439999999999"/>
    <x v="4"/>
    <x v="1"/>
    <n v="5"/>
  </r>
  <r>
    <s v="ORD-00963"/>
    <x v="333"/>
    <s v="Hoodie"/>
    <s v="Clothing"/>
    <s v="Physical Store"/>
    <s v="Oyo"/>
    <s v="New"/>
    <s v="None"/>
    <n v="1"/>
    <n v="36006"/>
    <n v="36006"/>
    <n v="0"/>
    <n v="0"/>
    <n v="36006"/>
    <n v="19597.8"/>
    <n v="16408.2"/>
    <x v="4"/>
    <x v="1"/>
    <n v="5"/>
  </r>
  <r>
    <s v="ORD-00365"/>
    <x v="334"/>
    <s v="Polo Shirt"/>
    <s v="Clothing"/>
    <s v="Instagram"/>
    <s v="Abuja"/>
    <s v="Returning"/>
    <s v="None"/>
    <n v="1"/>
    <n v="25675"/>
    <n v="25675"/>
    <n v="0"/>
    <n v="0"/>
    <n v="25675"/>
    <n v="17113.689999999999"/>
    <n v="8561.3100000000013"/>
    <x v="4"/>
    <x v="1"/>
    <n v="5"/>
  </r>
  <r>
    <s v="ORD-00708"/>
    <x v="334"/>
    <s v="Sneakers"/>
    <s v="Footwear"/>
    <s v="Physical Store"/>
    <s v="Abuja"/>
    <s v="New"/>
    <s v="None"/>
    <n v="2"/>
    <n v="67362"/>
    <n v="134724"/>
    <n v="0"/>
    <n v="0"/>
    <n v="134724"/>
    <n v="89910.85"/>
    <n v="44813.149999999994"/>
    <x v="4"/>
    <x v="1"/>
    <n v="5"/>
  </r>
  <r>
    <s v="ORD-00813"/>
    <x v="335"/>
    <s v="Hoodie"/>
    <s v="Clothing"/>
    <s v="Instagram"/>
    <s v="Lagos"/>
    <s v="New"/>
    <s v="None"/>
    <n v="2"/>
    <n v="39412"/>
    <n v="78824"/>
    <n v="7882.4"/>
    <n v="0.1"/>
    <n v="70941.600000000006"/>
    <n v="48369.25"/>
    <n v="22572.350000000006"/>
    <x v="4"/>
    <x v="1"/>
    <n v="5"/>
  </r>
  <r>
    <s v="ORD-00246"/>
    <x v="336"/>
    <s v="Sneakers"/>
    <s v="Footwear"/>
    <s v="WhatsApp"/>
    <s v="Rivers"/>
    <s v="Returning"/>
    <s v="None"/>
    <n v="3"/>
    <n v="67156"/>
    <n v="201468"/>
    <n v="0"/>
    <n v="0"/>
    <n v="201468"/>
    <n v="105926.86"/>
    <n v="95541.14"/>
    <x v="5"/>
    <x v="1"/>
    <n v="6"/>
  </r>
  <r>
    <s v="ORD-00549"/>
    <x v="336"/>
    <s v="Polo Shirt"/>
    <s v="Clothing"/>
    <s v="WhatsApp"/>
    <s v="Lagos"/>
    <s v="New"/>
    <s v="None"/>
    <n v="2"/>
    <n v="24458"/>
    <n v="48916"/>
    <n v="0"/>
    <n v="0"/>
    <n v="48916"/>
    <n v="25386.84"/>
    <n v="23529.16"/>
    <x v="5"/>
    <x v="1"/>
    <n v="6"/>
  </r>
  <r>
    <s v="ORD-00077"/>
    <x v="337"/>
    <s v="Cap"/>
    <s v="Accessories"/>
    <s v="Physical Store"/>
    <s v="Rivers"/>
    <s v="New"/>
    <s v="None"/>
    <n v="3"/>
    <n v="11386"/>
    <n v="34158"/>
    <n v="0"/>
    <n v="0"/>
    <n v="34158"/>
    <n v="18582.36"/>
    <n v="15575.64"/>
    <x v="5"/>
    <x v="1"/>
    <n v="6"/>
  </r>
  <r>
    <s v="ORD-01190"/>
    <x v="337"/>
    <s v="Handbag"/>
    <s v="Accessories"/>
    <s v="Physical Store"/>
    <s v="Oyo"/>
    <s v="New"/>
    <s v="None"/>
    <n v="1"/>
    <n v="43919"/>
    <n v="43919"/>
    <n v="0"/>
    <n v="0"/>
    <n v="43919"/>
    <n v="29385.03"/>
    <n v="14533.970000000001"/>
    <x v="5"/>
    <x v="1"/>
    <n v="6"/>
  </r>
  <r>
    <s v="ORD-00986"/>
    <x v="337"/>
    <s v="Hoodie"/>
    <s v="Clothing"/>
    <s v="Physical Store"/>
    <s v="Abuja"/>
    <s v="New"/>
    <s v="None"/>
    <n v="2"/>
    <n v="37877"/>
    <n v="75754"/>
    <n v="0"/>
    <n v="0"/>
    <n v="75754"/>
    <n v="39471.949999999997"/>
    <n v="36282.050000000003"/>
    <x v="5"/>
    <x v="1"/>
    <n v="6"/>
  </r>
  <r>
    <s v="ORD-00359"/>
    <x v="338"/>
    <s v="Dress"/>
    <s v="Clothing"/>
    <s v="Instagram"/>
    <s v="Lagos"/>
    <s v="Returning"/>
    <s v="Mid-Year Sale"/>
    <n v="3"/>
    <n v="47566"/>
    <n v="142698"/>
    <n v="14269.8"/>
    <n v="0.1"/>
    <n v="128428.2"/>
    <n v="72219.59"/>
    <n v="56208.61"/>
    <x v="5"/>
    <x v="1"/>
    <n v="6"/>
  </r>
  <r>
    <s v="ORD-00639"/>
    <x v="339"/>
    <s v="Handbag"/>
    <s v="Accessories"/>
    <s v="Physical Store"/>
    <s v="Lagos"/>
    <s v="Returning"/>
    <s v="Mid-Year Sale"/>
    <n v="5"/>
    <n v="46974"/>
    <n v="234870"/>
    <n v="35230.5"/>
    <n v="0.15"/>
    <n v="199639.5"/>
    <n v="134893.51"/>
    <n v="64745.989999999991"/>
    <x v="5"/>
    <x v="1"/>
    <n v="6"/>
  </r>
  <r>
    <s v="ORD-01059"/>
    <x v="339"/>
    <s v="Sandals"/>
    <s v="Footwear"/>
    <s v="Instagram"/>
    <s v="Abuja"/>
    <s v="Returning"/>
    <s v="Mid-Year Sale"/>
    <n v="4"/>
    <n v="29840"/>
    <n v="119360"/>
    <n v="11936"/>
    <n v="0.1"/>
    <n v="107424"/>
    <n v="80044.639999999999"/>
    <n v="27379.360000000001"/>
    <x v="5"/>
    <x v="1"/>
    <n v="6"/>
  </r>
  <r>
    <s v="ORD-00124"/>
    <x v="340"/>
    <s v="Jeans"/>
    <s v="Clothing"/>
    <s v="Instagram"/>
    <s v="Abuja"/>
    <s v="Returning"/>
    <s v="None"/>
    <n v="3"/>
    <n v="44311"/>
    <n v="132933"/>
    <n v="19939.95"/>
    <n v="0.15"/>
    <n v="112993.05"/>
    <n v="76113.5"/>
    <n v="36879.550000000003"/>
    <x v="5"/>
    <x v="1"/>
    <n v="6"/>
  </r>
  <r>
    <s v="ORD-00277"/>
    <x v="340"/>
    <s v="Jeans"/>
    <s v="Clothing"/>
    <s v="Website"/>
    <s v="Lagos"/>
    <s v="Returning"/>
    <s v="Mid-Year Sale"/>
    <n v="5"/>
    <n v="45258"/>
    <n v="226290"/>
    <n v="22629"/>
    <n v="0.1"/>
    <n v="203661"/>
    <n v="129112.64"/>
    <n v="74548.36"/>
    <x v="5"/>
    <x v="1"/>
    <n v="6"/>
  </r>
  <r>
    <s v="ORD-00985"/>
    <x v="341"/>
    <s v="Polo Shirt"/>
    <s v="Clothing"/>
    <s v="Website"/>
    <s v="Rivers"/>
    <s v="Returning"/>
    <s v="Mid-Year Sale"/>
    <n v="3"/>
    <n v="23949"/>
    <n v="71847"/>
    <n v="10777.05"/>
    <n v="0.15"/>
    <n v="61069.95"/>
    <n v="47964.88"/>
    <n v="13105.07"/>
    <x v="5"/>
    <x v="1"/>
    <n v="6"/>
  </r>
  <r>
    <s v="ORD-00669"/>
    <x v="341"/>
    <s v="T-Shirt"/>
    <s v="Clothing"/>
    <s v="Physical Store"/>
    <s v="Lagos"/>
    <s v="Returning"/>
    <s v="None"/>
    <n v="1"/>
    <n v="17803"/>
    <n v="17803"/>
    <n v="0"/>
    <n v="0"/>
    <n v="17803"/>
    <n v="11546.85"/>
    <n v="6256.15"/>
    <x v="5"/>
    <x v="1"/>
    <n v="6"/>
  </r>
  <r>
    <s v="ORD-00663"/>
    <x v="341"/>
    <s v="Polo Shirt"/>
    <s v="Clothing"/>
    <s v="Physical Store"/>
    <s v="Lagos"/>
    <s v="New"/>
    <s v="Mid-Year Sale"/>
    <n v="1"/>
    <n v="24451"/>
    <n v="24451"/>
    <n v="1222.55"/>
    <n v="0.05"/>
    <n v="23228.45"/>
    <n v="15078.61"/>
    <n v="8149.84"/>
    <x v="5"/>
    <x v="1"/>
    <n v="6"/>
  </r>
  <r>
    <s v="ORD-00739"/>
    <x v="342"/>
    <s v="Polo Shirt"/>
    <s v="Clothing"/>
    <s v="Website"/>
    <s v="Rivers"/>
    <s v="Returning"/>
    <s v="None"/>
    <n v="3"/>
    <n v="26450"/>
    <n v="79350"/>
    <n v="7935"/>
    <n v="0.1"/>
    <n v="71415"/>
    <n v="47385.65"/>
    <n v="24029.35"/>
    <x v="5"/>
    <x v="1"/>
    <n v="6"/>
  </r>
  <r>
    <s v="ORD-00635"/>
    <x v="343"/>
    <s v="Sneakers"/>
    <s v="Footwear"/>
    <s v="WhatsApp"/>
    <s v="Lagos"/>
    <s v="New"/>
    <s v="None"/>
    <n v="1"/>
    <n v="69773"/>
    <n v="69773"/>
    <n v="0"/>
    <n v="0"/>
    <n v="69773"/>
    <n v="37142.559999999998"/>
    <n v="32630.440000000002"/>
    <x v="5"/>
    <x v="1"/>
    <n v="6"/>
  </r>
  <r>
    <s v="ORD-00874"/>
    <x v="344"/>
    <s v="Cap"/>
    <s v="Accessories"/>
    <s v="WhatsApp"/>
    <s v="Lagos"/>
    <s v="Returning"/>
    <s v="None"/>
    <n v="2"/>
    <n v="11844"/>
    <n v="23688"/>
    <n v="0"/>
    <n v="0"/>
    <n v="23688"/>
    <n v="12719.76"/>
    <n v="10968.24"/>
    <x v="5"/>
    <x v="1"/>
    <n v="6"/>
  </r>
  <r>
    <s v="ORD-00687"/>
    <x v="344"/>
    <s v="T-Shirt"/>
    <s v="Clothing"/>
    <s v="Website"/>
    <s v="Delta"/>
    <s v="New"/>
    <s v="Mid-Year Sale"/>
    <n v="5"/>
    <n v="18483"/>
    <n v="92415"/>
    <n v="9241.5"/>
    <n v="0.1"/>
    <n v="83173.5"/>
    <n v="55083.56"/>
    <n v="28089.940000000002"/>
    <x v="5"/>
    <x v="1"/>
    <n v="6"/>
  </r>
  <r>
    <s v="ORD-00274"/>
    <x v="345"/>
    <s v="Sandals"/>
    <s v="Footwear"/>
    <s v="Instagram"/>
    <s v="Lagos"/>
    <s v="Returning"/>
    <s v="Mid-Year Sale"/>
    <n v="1"/>
    <n v="29609"/>
    <n v="29609"/>
    <n v="2960.9"/>
    <n v="0.1"/>
    <n v="26648.1"/>
    <n v="16179.57"/>
    <n v="10468.529999999999"/>
    <x v="5"/>
    <x v="1"/>
    <n v="6"/>
  </r>
  <r>
    <s v="ORD-00510"/>
    <x v="346"/>
    <s v="Handbag"/>
    <s v="Accessories"/>
    <s v="Website"/>
    <s v="Delta"/>
    <s v="New"/>
    <s v="Mid-Year Sale"/>
    <n v="1"/>
    <n v="44771"/>
    <n v="44771"/>
    <n v="2238.5500000000002"/>
    <n v="0.05"/>
    <n v="42532.45"/>
    <n v="29849.55"/>
    <n v="12682.899999999998"/>
    <x v="5"/>
    <x v="1"/>
    <n v="6"/>
  </r>
  <r>
    <s v="ORD-00122"/>
    <x v="347"/>
    <s v="Hoodie"/>
    <s v="Clothing"/>
    <s v="Instagram"/>
    <s v="Abuja"/>
    <s v="Returning"/>
    <s v="None"/>
    <n v="2"/>
    <n v="38038"/>
    <n v="76076"/>
    <n v="0"/>
    <n v="0"/>
    <n v="76076"/>
    <n v="37595.730000000003"/>
    <n v="38480.269999999997"/>
    <x v="5"/>
    <x v="1"/>
    <n v="6"/>
  </r>
  <r>
    <s v="ORD-00602"/>
    <x v="348"/>
    <s v="Dress"/>
    <s v="Clothing"/>
    <s v="Website"/>
    <s v="Abuja"/>
    <s v="New"/>
    <s v="None"/>
    <n v="1"/>
    <n v="52226"/>
    <n v="52226"/>
    <n v="0"/>
    <n v="0"/>
    <n v="52226"/>
    <n v="34070.99"/>
    <n v="18155.010000000002"/>
    <x v="5"/>
    <x v="1"/>
    <n v="6"/>
  </r>
  <r>
    <s v="ORD-00715"/>
    <x v="349"/>
    <s v="Handbag"/>
    <s v="Accessories"/>
    <s v="Website"/>
    <s v="Lagos"/>
    <s v="New"/>
    <s v="Mid-Year Sale"/>
    <n v="1"/>
    <n v="45916"/>
    <n v="45916"/>
    <n v="2295.8000000000002"/>
    <n v="0.05"/>
    <n v="43620.2"/>
    <n v="30976.26"/>
    <n v="12643.939999999999"/>
    <x v="5"/>
    <x v="1"/>
    <n v="6"/>
  </r>
  <r>
    <s v="ORD-01117"/>
    <x v="350"/>
    <s v="Polo Shirt"/>
    <s v="Clothing"/>
    <s v="WhatsApp"/>
    <s v="Lagos"/>
    <s v="Returning"/>
    <s v="Mid-Year Sale"/>
    <n v="1"/>
    <n v="25434"/>
    <n v="25434"/>
    <n v="3815.1"/>
    <n v="0.15"/>
    <n v="21618.9"/>
    <n v="17288.759999999998"/>
    <n v="4330.1400000000031"/>
    <x v="5"/>
    <x v="1"/>
    <n v="6"/>
  </r>
  <r>
    <s v="ORD-00642"/>
    <x v="350"/>
    <s v="Sneakers"/>
    <s v="Footwear"/>
    <s v="WhatsApp"/>
    <s v="Abuja"/>
    <s v="New"/>
    <s v="Mid-Year Sale"/>
    <n v="2"/>
    <n v="63734"/>
    <n v="127468"/>
    <n v="19120.2"/>
    <n v="0.15"/>
    <n v="108347.8"/>
    <n v="63652.9"/>
    <n v="44694.9"/>
    <x v="5"/>
    <x v="1"/>
    <n v="6"/>
  </r>
  <r>
    <s v="ORD-00613"/>
    <x v="350"/>
    <s v="Dress"/>
    <s v="Clothing"/>
    <s v="Instagram"/>
    <s v="Abuja"/>
    <s v="Returning"/>
    <s v="None"/>
    <n v="1"/>
    <n v="47195"/>
    <n v="47195"/>
    <n v="0"/>
    <n v="0"/>
    <n v="47195"/>
    <n v="27001.040000000001"/>
    <n v="20193.96"/>
    <x v="5"/>
    <x v="1"/>
    <n v="6"/>
  </r>
  <r>
    <s v="ORD-00240"/>
    <x v="351"/>
    <s v="Hoodie"/>
    <s v="Clothing"/>
    <s v="WhatsApp"/>
    <s v="Lagos"/>
    <s v="Returning"/>
    <s v="None"/>
    <n v="2"/>
    <n v="39743"/>
    <n v="79486"/>
    <n v="0"/>
    <n v="0"/>
    <n v="79486"/>
    <n v="50041.82"/>
    <n v="29444.18"/>
    <x v="5"/>
    <x v="1"/>
    <n v="6"/>
  </r>
  <r>
    <s v="ORD-00718"/>
    <x v="352"/>
    <s v="Sandals"/>
    <s v="Footwear"/>
    <s v="Physical Store"/>
    <s v="Abuja"/>
    <s v="Returning"/>
    <s v="None"/>
    <n v="2"/>
    <n v="28921"/>
    <n v="57842"/>
    <n v="0"/>
    <n v="0"/>
    <n v="57842"/>
    <n v="35952.089999999997"/>
    <n v="21889.910000000003"/>
    <x v="6"/>
    <x v="1"/>
    <n v="7"/>
  </r>
  <r>
    <s v="ORD-00806"/>
    <x v="353"/>
    <s v="Sneakers"/>
    <s v="Footwear"/>
    <s v="WhatsApp"/>
    <s v="Oyo"/>
    <s v="Returning"/>
    <s v="None"/>
    <n v="3"/>
    <n v="68454"/>
    <n v="205362"/>
    <n v="0"/>
    <n v="0"/>
    <n v="205362"/>
    <n v="125916.29"/>
    <n v="79445.710000000006"/>
    <x v="6"/>
    <x v="1"/>
    <n v="7"/>
  </r>
  <r>
    <s v="ORD-00832"/>
    <x v="353"/>
    <s v="Cap"/>
    <s v="Accessories"/>
    <s v="Physical Store"/>
    <s v="Delta"/>
    <s v="Returning"/>
    <s v="None"/>
    <n v="2"/>
    <n v="11857"/>
    <n v="23714"/>
    <n v="0"/>
    <n v="0"/>
    <n v="23714"/>
    <n v="14600.33"/>
    <n v="9113.67"/>
    <x v="6"/>
    <x v="1"/>
    <n v="7"/>
  </r>
  <r>
    <s v="ORD-00356"/>
    <x v="354"/>
    <s v="Belt"/>
    <s v="Accessories"/>
    <s v="Physical Store"/>
    <s v="Abuja"/>
    <s v="New"/>
    <s v="None"/>
    <n v="1"/>
    <n v="14750"/>
    <n v="14750"/>
    <n v="0"/>
    <n v="0"/>
    <n v="14750"/>
    <n v="7548.27"/>
    <n v="7201.73"/>
    <x v="6"/>
    <x v="1"/>
    <n v="7"/>
  </r>
  <r>
    <s v="ORD-00177"/>
    <x v="354"/>
    <s v="Sandals"/>
    <s v="Footwear"/>
    <s v="Website"/>
    <s v="Rivers"/>
    <s v="New"/>
    <s v="Mid-Year Sale"/>
    <n v="5"/>
    <n v="28651"/>
    <n v="143255"/>
    <n v="14325.5"/>
    <n v="0.1"/>
    <n v="128929.5"/>
    <n v="95103.77"/>
    <n v="33825.729999999996"/>
    <x v="6"/>
    <x v="1"/>
    <n v="7"/>
  </r>
  <r>
    <s v="ORD-00987"/>
    <x v="355"/>
    <s v="Sandals"/>
    <s v="Footwear"/>
    <s v="Instagram"/>
    <s v="Oyo"/>
    <s v="Returning"/>
    <s v="Mid-Year Sale"/>
    <n v="1"/>
    <n v="32396"/>
    <n v="32396"/>
    <n v="4859.3999999999996"/>
    <n v="0.15"/>
    <n v="27536.6"/>
    <n v="21964.36"/>
    <n v="5572.239999999998"/>
    <x v="6"/>
    <x v="1"/>
    <n v="7"/>
  </r>
  <r>
    <s v="ORD-00800"/>
    <x v="356"/>
    <s v="Handbag"/>
    <s v="Accessories"/>
    <s v="Instagram"/>
    <s v="Delta"/>
    <s v="New"/>
    <s v="None"/>
    <n v="1"/>
    <n v="48104"/>
    <n v="48104"/>
    <n v="0"/>
    <n v="0"/>
    <n v="48104"/>
    <n v="23215.73"/>
    <n v="24888.27"/>
    <x v="6"/>
    <x v="1"/>
    <n v="7"/>
  </r>
  <r>
    <s v="ORD-00127"/>
    <x v="357"/>
    <s v="Belt"/>
    <s v="Accessories"/>
    <s v="Physical Store"/>
    <s v="Lagos"/>
    <s v="Returning"/>
    <s v="Mid-Year Sale"/>
    <n v="3"/>
    <n v="15531"/>
    <n v="46593"/>
    <n v="9318.6"/>
    <n v="0.2"/>
    <n v="37274.400000000001"/>
    <n v="22384.240000000002"/>
    <n v="14890.16"/>
    <x v="6"/>
    <x v="1"/>
    <n v="7"/>
  </r>
  <r>
    <s v="ORD-00742"/>
    <x v="358"/>
    <s v="Sandals"/>
    <s v="Footwear"/>
    <s v="WhatsApp"/>
    <s v="Rivers"/>
    <s v="New"/>
    <s v="Mid-Year Sale"/>
    <n v="3"/>
    <n v="28424"/>
    <n v="85272"/>
    <n v="8527.2000000000007"/>
    <n v="0.1"/>
    <n v="76744.800000000003"/>
    <n v="45876.12"/>
    <n v="30868.68"/>
    <x v="6"/>
    <x v="1"/>
    <n v="7"/>
  </r>
  <r>
    <s v="ORD-00333"/>
    <x v="359"/>
    <s v="T-Shirt"/>
    <s v="Clothing"/>
    <s v="Physical Store"/>
    <s v="Lagos"/>
    <s v="New"/>
    <s v="None"/>
    <n v="3"/>
    <n v="18229"/>
    <n v="54687"/>
    <n v="0"/>
    <n v="0"/>
    <n v="54687"/>
    <n v="35172.160000000003"/>
    <n v="19514.839999999997"/>
    <x v="6"/>
    <x v="1"/>
    <n v="7"/>
  </r>
  <r>
    <s v="ORD-00903"/>
    <x v="360"/>
    <s v="Polo Shirt"/>
    <s v="Clothing"/>
    <s v="Physical Store"/>
    <s v="Lagos"/>
    <s v="New"/>
    <s v="None"/>
    <n v="1"/>
    <n v="23086"/>
    <n v="23086"/>
    <n v="0"/>
    <n v="0"/>
    <n v="23086"/>
    <n v="13394.72"/>
    <n v="9691.2800000000007"/>
    <x v="6"/>
    <x v="1"/>
    <n v="7"/>
  </r>
  <r>
    <s v="ORD-00228"/>
    <x v="361"/>
    <s v="Dress"/>
    <s v="Clothing"/>
    <s v="Physical Store"/>
    <s v="Abuja"/>
    <s v="New"/>
    <s v="None"/>
    <n v="1"/>
    <n v="50485"/>
    <n v="50485"/>
    <n v="0"/>
    <n v="0"/>
    <n v="50485"/>
    <n v="31185.91"/>
    <n v="19299.09"/>
    <x v="6"/>
    <x v="1"/>
    <n v="7"/>
  </r>
  <r>
    <s v="ORD-00030"/>
    <x v="361"/>
    <s v="Sandals"/>
    <s v="Footwear"/>
    <s v="Website"/>
    <s v="Lagos"/>
    <s v="New"/>
    <s v="Mid-Year Sale"/>
    <n v="2"/>
    <n v="27788"/>
    <n v="55576"/>
    <n v="11115.2"/>
    <n v="0.2"/>
    <n v="44460.800000000003"/>
    <n v="31702.76"/>
    <n v="12758.040000000005"/>
    <x v="6"/>
    <x v="1"/>
    <n v="7"/>
  </r>
  <r>
    <s v="ORD-01158"/>
    <x v="362"/>
    <s v="Sneakers"/>
    <s v="Footwear"/>
    <s v="WhatsApp"/>
    <s v="Abuja"/>
    <s v="New"/>
    <s v="None"/>
    <n v="2"/>
    <n v="66284"/>
    <n v="132568"/>
    <n v="0"/>
    <n v="0"/>
    <n v="132568"/>
    <n v="86020.87"/>
    <n v="46547.130000000005"/>
    <x v="6"/>
    <x v="1"/>
    <n v="7"/>
  </r>
  <r>
    <s v="ORD-00142"/>
    <x v="362"/>
    <s v="Sandals"/>
    <s v="Footwear"/>
    <s v="Physical Store"/>
    <s v="Rivers"/>
    <s v="New"/>
    <s v="Mid-Year Sale"/>
    <n v="1"/>
    <n v="30206"/>
    <n v="30206"/>
    <n v="3020.6"/>
    <n v="0.1"/>
    <n v="27185.4"/>
    <n v="20322.77"/>
    <n v="6862.630000000001"/>
    <x v="6"/>
    <x v="1"/>
    <n v="7"/>
  </r>
  <r>
    <s v="ORD-00116"/>
    <x v="362"/>
    <s v="Cap"/>
    <s v="Accessories"/>
    <s v="Instagram"/>
    <s v="Oyo"/>
    <s v="New"/>
    <s v="None"/>
    <n v="1"/>
    <n v="12078"/>
    <n v="12078"/>
    <n v="0"/>
    <n v="0"/>
    <n v="12078"/>
    <n v="6381.76"/>
    <n v="5696.24"/>
    <x v="6"/>
    <x v="1"/>
    <n v="7"/>
  </r>
  <r>
    <s v="ORD-00042"/>
    <x v="363"/>
    <s v="Jeans"/>
    <s v="Clothing"/>
    <s v="Website"/>
    <s v="Delta"/>
    <s v="New"/>
    <s v="Mid-Year Sale"/>
    <n v="2"/>
    <n v="40554"/>
    <n v="81108"/>
    <n v="8110.8"/>
    <n v="0.1"/>
    <n v="72997.2"/>
    <n v="51958.2"/>
    <n v="21039"/>
    <x v="6"/>
    <x v="1"/>
    <n v="7"/>
  </r>
  <r>
    <s v="ORD-00262"/>
    <x v="364"/>
    <s v="Dress"/>
    <s v="Clothing"/>
    <s v="Website"/>
    <s v="Abuja"/>
    <s v="Returning"/>
    <s v="None"/>
    <n v="2"/>
    <n v="48891"/>
    <n v="97782"/>
    <n v="0"/>
    <n v="0"/>
    <n v="97782"/>
    <n v="54891"/>
    <n v="42891"/>
    <x v="6"/>
    <x v="1"/>
    <n v="7"/>
  </r>
  <r>
    <s v="ORD-00052"/>
    <x v="364"/>
    <s v="Dress"/>
    <s v="Clothing"/>
    <s v="Instagram"/>
    <s v="Rivers"/>
    <s v="Returning"/>
    <s v="None"/>
    <n v="2"/>
    <n v="49721"/>
    <n v="99442"/>
    <n v="0"/>
    <n v="0"/>
    <n v="99442"/>
    <n v="58915.34"/>
    <n v="40526.660000000003"/>
    <x v="6"/>
    <x v="1"/>
    <n v="7"/>
  </r>
  <r>
    <s v="ORD-00863"/>
    <x v="365"/>
    <s v="Belt"/>
    <s v="Accessories"/>
    <s v="Instagram"/>
    <s v="Rivers"/>
    <s v="Returning"/>
    <s v="Mid-Year Sale"/>
    <n v="3"/>
    <n v="14656"/>
    <n v="43968"/>
    <n v="6595.2"/>
    <n v="0.15"/>
    <n v="37372.800000000003"/>
    <n v="23413.599999999999"/>
    <n v="13959.200000000004"/>
    <x v="6"/>
    <x v="1"/>
    <n v="7"/>
  </r>
  <r>
    <s v="ORD-00436"/>
    <x v="366"/>
    <s v="Belt"/>
    <s v="Accessories"/>
    <s v="Instagram"/>
    <s v="Abuja"/>
    <s v="New"/>
    <s v="None"/>
    <n v="2"/>
    <n v="15578"/>
    <n v="31156"/>
    <n v="0"/>
    <n v="0"/>
    <n v="31156"/>
    <n v="19027.509999999998"/>
    <n v="12128.490000000002"/>
    <x v="6"/>
    <x v="1"/>
    <n v="7"/>
  </r>
  <r>
    <s v="ORD-00263"/>
    <x v="367"/>
    <s v="Handbag"/>
    <s v="Accessories"/>
    <s v="Physical Store"/>
    <s v="Abuja"/>
    <s v="New"/>
    <s v="None"/>
    <n v="4"/>
    <n v="45073"/>
    <n v="180292"/>
    <n v="0"/>
    <n v="0"/>
    <n v="180292"/>
    <n v="105034.41"/>
    <n v="75257.59"/>
    <x v="6"/>
    <x v="1"/>
    <n v="7"/>
  </r>
  <r>
    <s v="ORD-00296"/>
    <x v="367"/>
    <s v="Handbag"/>
    <s v="Accessories"/>
    <s v="Physical Store"/>
    <s v="Oyo"/>
    <s v="New"/>
    <s v="None"/>
    <n v="2"/>
    <n v="44505"/>
    <n v="89010"/>
    <n v="0"/>
    <n v="0"/>
    <n v="89010"/>
    <n v="59014.71"/>
    <n v="29995.29"/>
    <x v="6"/>
    <x v="1"/>
    <n v="7"/>
  </r>
  <r>
    <s v="ORD-00729"/>
    <x v="368"/>
    <s v="Jeans"/>
    <s v="Clothing"/>
    <s v="Instagram"/>
    <s v="Rivers"/>
    <s v="New"/>
    <s v="None"/>
    <n v="4"/>
    <n v="42402"/>
    <n v="169608"/>
    <n v="0"/>
    <n v="0"/>
    <n v="169608"/>
    <n v="102694.13"/>
    <n v="66913.87"/>
    <x v="6"/>
    <x v="1"/>
    <n v="7"/>
  </r>
  <r>
    <s v="ORD-00776"/>
    <x v="368"/>
    <s v="Jeans"/>
    <s v="Clothing"/>
    <s v="Instagram"/>
    <s v="Oyo"/>
    <s v="Returning"/>
    <s v="Mid-Year Sale"/>
    <n v="3"/>
    <n v="42288"/>
    <n v="126864"/>
    <n v="6343.2"/>
    <n v="0.05"/>
    <n v="120520.8"/>
    <n v="75806.06"/>
    <n v="44714.740000000005"/>
    <x v="6"/>
    <x v="1"/>
    <n v="7"/>
  </r>
  <r>
    <s v="ORD-00293"/>
    <x v="369"/>
    <s v="Hoodie"/>
    <s v="Clothing"/>
    <s v="Instagram"/>
    <s v="Rivers"/>
    <s v="Returning"/>
    <s v="Mid-Year Sale"/>
    <n v="2"/>
    <n v="35913"/>
    <n v="71826"/>
    <n v="3591.3"/>
    <n v="0.05"/>
    <n v="68234.7"/>
    <n v="35078.6"/>
    <n v="33156.1"/>
    <x v="6"/>
    <x v="1"/>
    <n v="7"/>
  </r>
  <r>
    <s v="ORD-00872"/>
    <x v="369"/>
    <s v="Sneakers"/>
    <s v="Footwear"/>
    <s v="Physical Store"/>
    <s v="Rivers"/>
    <s v="New"/>
    <s v="None"/>
    <n v="4"/>
    <n v="63782"/>
    <n v="255128"/>
    <n v="0"/>
    <n v="0"/>
    <n v="255128"/>
    <n v="153291.39000000001"/>
    <n v="101836.60999999999"/>
    <x v="6"/>
    <x v="1"/>
    <n v="7"/>
  </r>
  <r>
    <s v="ORD-00787"/>
    <x v="369"/>
    <s v="Hoodie"/>
    <s v="Clothing"/>
    <s v="Physical Store"/>
    <s v="Rivers"/>
    <s v="Returning"/>
    <s v="Mid-Year Sale"/>
    <n v="3"/>
    <n v="36998"/>
    <n v="110994"/>
    <n v="11099.4"/>
    <n v="0.1"/>
    <n v="99894.6"/>
    <n v="71093.09"/>
    <n v="28801.510000000009"/>
    <x v="6"/>
    <x v="1"/>
    <n v="7"/>
  </r>
  <r>
    <s v="ORD-01137"/>
    <x v="370"/>
    <s v="Dress"/>
    <s v="Clothing"/>
    <s v="WhatsApp"/>
    <s v="Rivers"/>
    <s v="Returning"/>
    <s v="Mid-Year Sale"/>
    <n v="1"/>
    <n v="49477"/>
    <n v="49477"/>
    <n v="7421.55"/>
    <n v="0.15"/>
    <n v="42055.45"/>
    <n v="28961.34"/>
    <n v="13094.109999999997"/>
    <x v="6"/>
    <x v="1"/>
    <n v="7"/>
  </r>
  <r>
    <s v="ORD-00125"/>
    <x v="371"/>
    <s v="Sneakers"/>
    <s v="Footwear"/>
    <s v="Physical Store"/>
    <s v="Abuja"/>
    <s v="New"/>
    <s v="None"/>
    <n v="2"/>
    <n v="68309"/>
    <n v="136618"/>
    <n v="6830.9"/>
    <n v="0.05"/>
    <n v="129787.1"/>
    <n v="89617.66"/>
    <n v="40169.440000000002"/>
    <x v="6"/>
    <x v="1"/>
    <n v="7"/>
  </r>
  <r>
    <s v="ORD-00586"/>
    <x v="371"/>
    <s v="Dress"/>
    <s v="Clothing"/>
    <s v="Physical Store"/>
    <s v="Abuja"/>
    <s v="Returning"/>
    <s v="None"/>
    <n v="4"/>
    <n v="46554"/>
    <n v="186216"/>
    <n v="0"/>
    <n v="0"/>
    <n v="186216"/>
    <n v="112090.45"/>
    <n v="74125.55"/>
    <x v="6"/>
    <x v="1"/>
    <n v="7"/>
  </r>
  <r>
    <s v="ORD-00941"/>
    <x v="372"/>
    <s v="Handbag"/>
    <s v="Accessories"/>
    <s v="Instagram"/>
    <s v="Lagos"/>
    <s v="New"/>
    <s v="None"/>
    <n v="3"/>
    <n v="47575"/>
    <n v="142725"/>
    <n v="0"/>
    <n v="0"/>
    <n v="142725"/>
    <n v="95531.78"/>
    <n v="47193.22"/>
    <x v="7"/>
    <x v="1"/>
    <n v="8"/>
  </r>
  <r>
    <s v="ORD-00798"/>
    <x v="372"/>
    <s v="Dress"/>
    <s v="Clothing"/>
    <s v="WhatsApp"/>
    <s v="Abuja"/>
    <s v="New"/>
    <s v="None"/>
    <n v="1"/>
    <n v="49593"/>
    <n v="49593"/>
    <n v="0"/>
    <n v="0"/>
    <n v="49593"/>
    <n v="24708.59"/>
    <n v="24884.41"/>
    <x v="7"/>
    <x v="1"/>
    <n v="8"/>
  </r>
  <r>
    <s v="ORD-01183"/>
    <x v="373"/>
    <s v="Cap"/>
    <s v="Accessories"/>
    <s v="WhatsApp"/>
    <s v="Rivers"/>
    <s v="New"/>
    <s v="None"/>
    <n v="2"/>
    <n v="12194"/>
    <n v="24388"/>
    <n v="0"/>
    <n v="0"/>
    <n v="24388"/>
    <n v="13604.43"/>
    <n v="10783.57"/>
    <x v="7"/>
    <x v="1"/>
    <n v="8"/>
  </r>
  <r>
    <s v="ORD-00337"/>
    <x v="374"/>
    <s v="Polo Shirt"/>
    <s v="Clothing"/>
    <s v="Website"/>
    <s v="Rivers"/>
    <s v="Returning"/>
    <s v="None"/>
    <n v="1"/>
    <n v="26487"/>
    <n v="26487"/>
    <n v="2648.7"/>
    <n v="0.1"/>
    <n v="23838.3"/>
    <n v="14543.91"/>
    <n v="9294.39"/>
    <x v="7"/>
    <x v="1"/>
    <n v="8"/>
  </r>
  <r>
    <s v="ORD-01146"/>
    <x v="375"/>
    <s v="Sandals"/>
    <s v="Footwear"/>
    <s v="Website"/>
    <s v="Lagos"/>
    <s v="Returning"/>
    <s v="None"/>
    <n v="1"/>
    <n v="27619"/>
    <n v="27619"/>
    <n v="0"/>
    <n v="0"/>
    <n v="27619"/>
    <n v="15830.5"/>
    <n v="11788.5"/>
    <x v="7"/>
    <x v="1"/>
    <n v="8"/>
  </r>
  <r>
    <s v="ORD-00202"/>
    <x v="376"/>
    <s v="T-Shirt"/>
    <s v="Clothing"/>
    <s v="Instagram"/>
    <s v="Oyo"/>
    <s v="Returning"/>
    <s v="None"/>
    <n v="1"/>
    <n v="16801"/>
    <n v="16801"/>
    <n v="0"/>
    <n v="0"/>
    <n v="16801"/>
    <n v="10341.15"/>
    <n v="6459.85"/>
    <x v="7"/>
    <x v="1"/>
    <n v="8"/>
  </r>
  <r>
    <s v="ORD-01005"/>
    <x v="377"/>
    <s v="Jeans"/>
    <s v="Clothing"/>
    <s v="Physical Store"/>
    <s v="Rivers"/>
    <s v="New"/>
    <s v="None"/>
    <n v="1"/>
    <n v="39875"/>
    <n v="39875"/>
    <n v="0"/>
    <n v="0"/>
    <n v="39875"/>
    <n v="19592.22"/>
    <n v="20282.78"/>
    <x v="7"/>
    <x v="1"/>
    <n v="8"/>
  </r>
  <r>
    <s v="ORD-00447"/>
    <x v="377"/>
    <s v="Hoodie"/>
    <s v="Clothing"/>
    <s v="Instagram"/>
    <s v="Abuja"/>
    <s v="Returning"/>
    <s v="None"/>
    <n v="4"/>
    <n v="38699"/>
    <n v="154796"/>
    <n v="0"/>
    <n v="0"/>
    <n v="154796"/>
    <n v="104086.64"/>
    <n v="50709.36"/>
    <x v="7"/>
    <x v="1"/>
    <n v="8"/>
  </r>
  <r>
    <s v="ORD-00766"/>
    <x v="377"/>
    <s v="Handbag"/>
    <s v="Accessories"/>
    <s v="Website"/>
    <s v="Oyo"/>
    <s v="New"/>
    <s v="None"/>
    <n v="3"/>
    <n v="42106"/>
    <n v="126318"/>
    <n v="0"/>
    <n v="0"/>
    <n v="126318"/>
    <n v="84943.88"/>
    <n v="41374.119999999995"/>
    <x v="7"/>
    <x v="1"/>
    <n v="8"/>
  </r>
  <r>
    <s v="ORD-00918"/>
    <x v="378"/>
    <s v="T-Shirt"/>
    <s v="Clothing"/>
    <s v="Instagram"/>
    <s v="Lagos"/>
    <s v="New"/>
    <s v="None"/>
    <n v="3"/>
    <n v="18108"/>
    <n v="54324"/>
    <n v="0"/>
    <n v="0"/>
    <n v="54324"/>
    <n v="30411.759999999998"/>
    <n v="23912.240000000002"/>
    <x v="7"/>
    <x v="1"/>
    <n v="8"/>
  </r>
  <r>
    <s v="ORD-00080"/>
    <x v="379"/>
    <s v="Cap"/>
    <s v="Accessories"/>
    <s v="Physical Store"/>
    <s v="Lagos"/>
    <s v="New"/>
    <s v="None"/>
    <n v="1"/>
    <n v="12434"/>
    <n v="12434"/>
    <n v="0"/>
    <n v="0"/>
    <n v="12434"/>
    <n v="6214.96"/>
    <n v="6219.04"/>
    <x v="7"/>
    <x v="1"/>
    <n v="8"/>
  </r>
  <r>
    <s v="ORD-00978"/>
    <x v="379"/>
    <s v="Sandals"/>
    <s v="Footwear"/>
    <s v="Physical Store"/>
    <s v="Delta"/>
    <s v="New"/>
    <s v="None"/>
    <n v="3"/>
    <n v="31792"/>
    <n v="95376"/>
    <n v="0"/>
    <n v="0"/>
    <n v="95376"/>
    <n v="45933.69"/>
    <n v="49442.31"/>
    <x v="7"/>
    <x v="1"/>
    <n v="8"/>
  </r>
  <r>
    <s v="ORD-01090"/>
    <x v="380"/>
    <s v="Belt"/>
    <s v="Accessories"/>
    <s v="Website"/>
    <s v="Abuja"/>
    <s v="Returning"/>
    <s v="None"/>
    <n v="2"/>
    <n v="15216"/>
    <n v="30432"/>
    <n v="0"/>
    <n v="0"/>
    <n v="30432"/>
    <n v="18144.21"/>
    <n v="12287.79"/>
    <x v="7"/>
    <x v="1"/>
    <n v="8"/>
  </r>
  <r>
    <s v="ORD-00699"/>
    <x v="381"/>
    <s v="Hoodie"/>
    <s v="Clothing"/>
    <s v="Instagram"/>
    <s v="Lagos"/>
    <s v="New"/>
    <s v="None"/>
    <n v="1"/>
    <n v="37189"/>
    <n v="37189"/>
    <n v="1859.45"/>
    <n v="0.05"/>
    <n v="35329.550000000003"/>
    <n v="21177.45"/>
    <n v="14152.100000000002"/>
    <x v="7"/>
    <x v="1"/>
    <n v="8"/>
  </r>
  <r>
    <s v="ORD-00415"/>
    <x v="382"/>
    <s v="Sneakers"/>
    <s v="Footwear"/>
    <s v="Physical Store"/>
    <s v="Oyo"/>
    <s v="New"/>
    <s v="None"/>
    <n v="2"/>
    <n v="67148"/>
    <n v="134296"/>
    <n v="0"/>
    <n v="0"/>
    <n v="134296"/>
    <n v="81526.36"/>
    <n v="52769.64"/>
    <x v="7"/>
    <x v="1"/>
    <n v="8"/>
  </r>
  <r>
    <s v="ORD-00812"/>
    <x v="383"/>
    <s v="Sandals"/>
    <s v="Footwear"/>
    <s v="Instagram"/>
    <s v="Delta"/>
    <s v="New"/>
    <s v="None"/>
    <n v="5"/>
    <n v="31309"/>
    <n v="156545"/>
    <n v="0"/>
    <n v="0"/>
    <n v="156545"/>
    <n v="79621.34"/>
    <n v="76923.66"/>
    <x v="7"/>
    <x v="1"/>
    <n v="8"/>
  </r>
  <r>
    <s v="ORD-00037"/>
    <x v="384"/>
    <s v="Hoodie"/>
    <s v="Clothing"/>
    <s v="Physical Store"/>
    <s v="Oyo"/>
    <s v="Returning"/>
    <s v="None"/>
    <n v="3"/>
    <n v="39932"/>
    <n v="119796"/>
    <n v="0"/>
    <n v="0"/>
    <n v="119796"/>
    <n v="70547.600000000006"/>
    <n v="49248.399999999994"/>
    <x v="7"/>
    <x v="1"/>
    <n v="8"/>
  </r>
  <r>
    <s v="ORD-00778"/>
    <x v="384"/>
    <s v="Cap"/>
    <s v="Accessories"/>
    <s v="WhatsApp"/>
    <s v="Oyo"/>
    <s v="New"/>
    <s v="None"/>
    <n v="3"/>
    <n v="12466"/>
    <n v="37398"/>
    <n v="0"/>
    <n v="0"/>
    <n v="37398"/>
    <n v="23627.23"/>
    <n v="13770.77"/>
    <x v="7"/>
    <x v="1"/>
    <n v="8"/>
  </r>
  <r>
    <s v="ORD-00633"/>
    <x v="385"/>
    <s v="T-Shirt"/>
    <s v="Clothing"/>
    <s v="Website"/>
    <s v="Delta"/>
    <s v="Returning"/>
    <s v="None"/>
    <n v="2"/>
    <n v="17884"/>
    <n v="35768"/>
    <n v="5365.2"/>
    <n v="0.15"/>
    <n v="30402.799999999999"/>
    <n v="17404.34"/>
    <n v="12998.46"/>
    <x v="7"/>
    <x v="1"/>
    <n v="8"/>
  </r>
  <r>
    <s v="ORD-00853"/>
    <x v="385"/>
    <s v="Dress"/>
    <s v="Clothing"/>
    <s v="Website"/>
    <s v="Lagos"/>
    <s v="New"/>
    <s v="None"/>
    <n v="2"/>
    <n v="52153"/>
    <n v="104306"/>
    <n v="10430.6"/>
    <n v="0.1"/>
    <n v="93875.4"/>
    <n v="70093.88"/>
    <n v="23781.51999999999"/>
    <x v="7"/>
    <x v="1"/>
    <n v="8"/>
  </r>
  <r>
    <s v="ORD-00389"/>
    <x v="386"/>
    <s v="T-Shirt"/>
    <s v="Clothing"/>
    <s v="WhatsApp"/>
    <s v="Lagos"/>
    <s v="Returning"/>
    <s v="None"/>
    <n v="1"/>
    <n v="17236"/>
    <n v="17236"/>
    <n v="1723.6"/>
    <n v="0.1"/>
    <n v="15512.4"/>
    <n v="9436.1299999999992"/>
    <n v="6076.27"/>
    <x v="7"/>
    <x v="1"/>
    <n v="8"/>
  </r>
  <r>
    <s v="ORD-00253"/>
    <x v="387"/>
    <s v="Handbag"/>
    <s v="Accessories"/>
    <s v="Physical Store"/>
    <s v="Delta"/>
    <s v="Returning"/>
    <s v="None"/>
    <n v="1"/>
    <n v="47768"/>
    <n v="47768"/>
    <n v="0"/>
    <n v="0"/>
    <n v="47768"/>
    <n v="24844.639999999999"/>
    <n v="22923.360000000001"/>
    <x v="7"/>
    <x v="1"/>
    <n v="8"/>
  </r>
  <r>
    <s v="ORD-00166"/>
    <x v="388"/>
    <s v="Sandals"/>
    <s v="Footwear"/>
    <s v="Physical Store"/>
    <s v="Delta"/>
    <s v="New"/>
    <s v="None"/>
    <n v="3"/>
    <n v="31949"/>
    <n v="95847"/>
    <n v="0"/>
    <n v="0"/>
    <n v="95847"/>
    <n v="59901.62"/>
    <n v="35945.379999999997"/>
    <x v="7"/>
    <x v="1"/>
    <n v="8"/>
  </r>
  <r>
    <s v="ORD-01011"/>
    <x v="389"/>
    <s v="Cap"/>
    <s v="Accessories"/>
    <s v="Instagram"/>
    <s v="Abuja"/>
    <s v="Returning"/>
    <s v="None"/>
    <n v="2"/>
    <n v="11651"/>
    <n v="23302"/>
    <n v="0"/>
    <n v="0"/>
    <n v="23302"/>
    <n v="13499.89"/>
    <n v="9802.11"/>
    <x v="8"/>
    <x v="1"/>
    <n v="9"/>
  </r>
  <r>
    <s v="ORD-00994"/>
    <x v="389"/>
    <s v="Dress"/>
    <s v="Clothing"/>
    <s v="Physical Store"/>
    <s v="Lagos"/>
    <s v="New"/>
    <s v="None"/>
    <n v="3"/>
    <n v="51687"/>
    <n v="155061"/>
    <n v="0"/>
    <n v="0"/>
    <n v="155061"/>
    <n v="90229.46"/>
    <n v="64831.539999999994"/>
    <x v="8"/>
    <x v="1"/>
    <n v="9"/>
  </r>
  <r>
    <s v="ORD-00303"/>
    <x v="390"/>
    <s v="T-Shirt"/>
    <s v="Clothing"/>
    <s v="Website"/>
    <s v="Oyo"/>
    <s v="Returning"/>
    <s v="None"/>
    <n v="4"/>
    <n v="17463"/>
    <n v="69852"/>
    <n v="0"/>
    <n v="0"/>
    <n v="69852"/>
    <n v="43276.34"/>
    <n v="26575.660000000003"/>
    <x v="8"/>
    <x v="1"/>
    <n v="9"/>
  </r>
  <r>
    <s v="ORD-00102"/>
    <x v="390"/>
    <s v="Handbag"/>
    <s v="Accessories"/>
    <s v="WhatsApp"/>
    <s v="Abuja"/>
    <s v="Returning"/>
    <s v="None"/>
    <n v="5"/>
    <n v="45167"/>
    <n v="225835"/>
    <n v="0"/>
    <n v="0"/>
    <n v="225835"/>
    <n v="144211.66"/>
    <n v="81623.34"/>
    <x v="8"/>
    <x v="1"/>
    <n v="9"/>
  </r>
  <r>
    <s v="ORD-00701"/>
    <x v="390"/>
    <s v="Polo Shirt"/>
    <s v="Clothing"/>
    <s v="Website"/>
    <s v="Lagos"/>
    <s v="New"/>
    <s v="None"/>
    <n v="4"/>
    <n v="25109"/>
    <n v="100436"/>
    <n v="0"/>
    <n v="0"/>
    <n v="100436"/>
    <n v="48225.14"/>
    <n v="52210.86"/>
    <x v="8"/>
    <x v="1"/>
    <n v="9"/>
  </r>
  <r>
    <s v="ORD-01096"/>
    <x v="391"/>
    <s v="Cap"/>
    <s v="Accessories"/>
    <s v="Instagram"/>
    <s v="Delta"/>
    <s v="New"/>
    <s v="None"/>
    <n v="2"/>
    <n v="12777"/>
    <n v="25554"/>
    <n v="0"/>
    <n v="0"/>
    <n v="25554"/>
    <n v="13480.75"/>
    <n v="12073.25"/>
    <x v="8"/>
    <x v="1"/>
    <n v="9"/>
  </r>
  <r>
    <s v="ORD-00783"/>
    <x v="392"/>
    <s v="Jeans"/>
    <s v="Clothing"/>
    <s v="Instagram"/>
    <s v="Lagos"/>
    <s v="Returning"/>
    <s v="None"/>
    <n v="1"/>
    <n v="38642"/>
    <n v="38642"/>
    <n v="0"/>
    <n v="0"/>
    <n v="38642"/>
    <n v="25626.93"/>
    <n v="13015.07"/>
    <x v="8"/>
    <x v="1"/>
    <n v="9"/>
  </r>
  <r>
    <s v="ORD-00394"/>
    <x v="393"/>
    <s v="Sandals"/>
    <s v="Footwear"/>
    <s v="Website"/>
    <s v="Abuja"/>
    <s v="Returning"/>
    <s v="None"/>
    <n v="4"/>
    <n v="31534"/>
    <n v="126136"/>
    <n v="0"/>
    <n v="0"/>
    <n v="126136"/>
    <n v="65571.03"/>
    <n v="60564.97"/>
    <x v="8"/>
    <x v="1"/>
    <n v="9"/>
  </r>
  <r>
    <s v="ORD-01098"/>
    <x v="394"/>
    <s v="Hoodie"/>
    <s v="Clothing"/>
    <s v="Website"/>
    <s v="Delta"/>
    <s v="New"/>
    <s v="None"/>
    <n v="3"/>
    <n v="38668"/>
    <n v="116004"/>
    <n v="0"/>
    <n v="0"/>
    <n v="116004"/>
    <n v="62978.03"/>
    <n v="53025.97"/>
    <x v="8"/>
    <x v="1"/>
    <n v="9"/>
  </r>
  <r>
    <s v="ORD-00697"/>
    <x v="395"/>
    <s v="T-Shirt"/>
    <s v="Clothing"/>
    <s v="Physical Store"/>
    <s v="Rivers"/>
    <s v="New"/>
    <s v="None"/>
    <n v="3"/>
    <n v="19101"/>
    <n v="57303"/>
    <n v="0"/>
    <n v="0"/>
    <n v="57303"/>
    <n v="28959.15"/>
    <n v="28343.85"/>
    <x v="8"/>
    <x v="1"/>
    <n v="9"/>
  </r>
  <r>
    <s v="ORD-01034"/>
    <x v="395"/>
    <s v="Cap"/>
    <s v="Accessories"/>
    <s v="Website"/>
    <s v="Lagos"/>
    <s v="Returning"/>
    <s v="None"/>
    <n v="3"/>
    <n v="12435"/>
    <n v="37305"/>
    <n v="0"/>
    <n v="0"/>
    <n v="37305"/>
    <n v="25294.77"/>
    <n v="12010.23"/>
    <x v="8"/>
    <x v="1"/>
    <n v="9"/>
  </r>
  <r>
    <s v="ORD-00582"/>
    <x v="396"/>
    <s v="T-Shirt"/>
    <s v="Clothing"/>
    <s v="Instagram"/>
    <s v="Lagos"/>
    <s v="New"/>
    <s v="None"/>
    <n v="1"/>
    <n v="18334"/>
    <n v="18334"/>
    <n v="0"/>
    <n v="0"/>
    <n v="18334"/>
    <n v="10231.57"/>
    <n v="8102.43"/>
    <x v="8"/>
    <x v="1"/>
    <n v="9"/>
  </r>
  <r>
    <s v="ORD-00186"/>
    <x v="396"/>
    <s v="Jeans"/>
    <s v="Clothing"/>
    <s v="Website"/>
    <s v="Abuja"/>
    <s v="Returning"/>
    <s v="None"/>
    <n v="3"/>
    <n v="43768"/>
    <n v="131304"/>
    <n v="0"/>
    <n v="0"/>
    <n v="131304"/>
    <n v="86368.81"/>
    <n v="44935.19"/>
    <x v="8"/>
    <x v="1"/>
    <n v="9"/>
  </r>
  <r>
    <s v="ORD-00707"/>
    <x v="396"/>
    <s v="Dress"/>
    <s v="Clothing"/>
    <s v="Instagram"/>
    <s v="Lagos"/>
    <s v="Returning"/>
    <s v="None"/>
    <n v="1"/>
    <n v="49913"/>
    <n v="49913"/>
    <n v="0"/>
    <n v="0"/>
    <n v="49913"/>
    <n v="33184.339999999997"/>
    <n v="16728.660000000003"/>
    <x v="8"/>
    <x v="1"/>
    <n v="9"/>
  </r>
  <r>
    <s v="ORD-00657"/>
    <x v="397"/>
    <s v="Polo Shirt"/>
    <s v="Clothing"/>
    <s v="Website"/>
    <s v="Abuja"/>
    <s v="Returning"/>
    <s v="None"/>
    <n v="1"/>
    <n v="26890"/>
    <n v="26890"/>
    <n v="1344.5"/>
    <n v="0.05"/>
    <n v="25545.5"/>
    <n v="13552.14"/>
    <n v="11993.36"/>
    <x v="8"/>
    <x v="1"/>
    <n v="9"/>
  </r>
  <r>
    <s v="ORD-00265"/>
    <x v="398"/>
    <s v="Sandals"/>
    <s v="Footwear"/>
    <s v="WhatsApp"/>
    <s v="Lagos"/>
    <s v="Returning"/>
    <s v="None"/>
    <n v="5"/>
    <n v="28286"/>
    <n v="141430"/>
    <n v="0"/>
    <n v="0"/>
    <n v="141430"/>
    <n v="90451.05"/>
    <n v="50978.95"/>
    <x v="8"/>
    <x v="1"/>
    <n v="9"/>
  </r>
  <r>
    <s v="ORD-00826"/>
    <x v="399"/>
    <s v="Belt"/>
    <s v="Accessories"/>
    <s v="Website"/>
    <s v="Lagos"/>
    <s v="New"/>
    <s v="None"/>
    <n v="1"/>
    <n v="14317"/>
    <n v="14317"/>
    <n v="1431.7"/>
    <n v="0.1"/>
    <n v="12885.3"/>
    <n v="8254.8799999999992"/>
    <n v="4630.42"/>
    <x v="8"/>
    <x v="1"/>
    <n v="9"/>
  </r>
  <r>
    <s v="ORD-00201"/>
    <x v="400"/>
    <s v="Jeans"/>
    <s v="Clothing"/>
    <s v="Physical Store"/>
    <s v="Lagos"/>
    <s v="New"/>
    <s v="None"/>
    <n v="1"/>
    <n v="40701"/>
    <n v="40701"/>
    <n v="2035.05"/>
    <n v="0.05"/>
    <n v="38665.949999999997"/>
    <n v="24593.919999999998"/>
    <n v="14072.029999999999"/>
    <x v="8"/>
    <x v="1"/>
    <n v="9"/>
  </r>
  <r>
    <s v="ORD-00134"/>
    <x v="400"/>
    <s v="Hoodie"/>
    <s v="Clothing"/>
    <s v="Instagram"/>
    <s v="Abuja"/>
    <s v="New"/>
    <s v="None"/>
    <n v="1"/>
    <n v="35232"/>
    <n v="35232"/>
    <n v="0"/>
    <n v="0"/>
    <n v="35232"/>
    <n v="23581.8"/>
    <n v="11650.2"/>
    <x v="8"/>
    <x v="1"/>
    <n v="9"/>
  </r>
  <r>
    <s v="ORD-01084"/>
    <x v="401"/>
    <s v="Dress"/>
    <s v="Clothing"/>
    <s v="WhatsApp"/>
    <s v="Abuja"/>
    <s v="Returning"/>
    <s v="None"/>
    <n v="3"/>
    <n v="46923"/>
    <n v="140769"/>
    <n v="0"/>
    <n v="0"/>
    <n v="140769"/>
    <n v="91288.08"/>
    <n v="49480.92"/>
    <x v="8"/>
    <x v="1"/>
    <n v="9"/>
  </r>
  <r>
    <s v="ORD-00980"/>
    <x v="402"/>
    <s v="Sandals"/>
    <s v="Footwear"/>
    <s v="Physical Store"/>
    <s v="Delta"/>
    <s v="Returning"/>
    <s v="None"/>
    <n v="5"/>
    <n v="27610"/>
    <n v="138050"/>
    <n v="0"/>
    <n v="0"/>
    <n v="138050"/>
    <n v="88863.96"/>
    <n v="49186.039999999994"/>
    <x v="8"/>
    <x v="1"/>
    <n v="9"/>
  </r>
  <r>
    <s v="ORD-00133"/>
    <x v="403"/>
    <s v="Polo Shirt"/>
    <s v="Clothing"/>
    <s v="Instagram"/>
    <s v="Abuja"/>
    <s v="New"/>
    <s v="None"/>
    <n v="3"/>
    <n v="25328"/>
    <n v="75984"/>
    <n v="11397.6"/>
    <n v="0.15"/>
    <n v="64586.400000000001"/>
    <n v="45606.720000000001"/>
    <n v="18979.68"/>
    <x v="8"/>
    <x v="1"/>
    <n v="9"/>
  </r>
  <r>
    <s v="ORD-00442"/>
    <x v="404"/>
    <s v="Handbag"/>
    <s v="Accessories"/>
    <s v="Website"/>
    <s v="Lagos"/>
    <s v="Returning"/>
    <s v="None"/>
    <n v="1"/>
    <n v="45019"/>
    <n v="45019"/>
    <n v="0"/>
    <n v="0"/>
    <n v="45019"/>
    <n v="27469.09"/>
    <n v="17549.91"/>
    <x v="8"/>
    <x v="1"/>
    <n v="9"/>
  </r>
  <r>
    <s v="ORD-00330"/>
    <x v="404"/>
    <s v="Dress"/>
    <s v="Clothing"/>
    <s v="WhatsApp"/>
    <s v="Lagos"/>
    <s v="New"/>
    <s v="None"/>
    <n v="3"/>
    <n v="48462"/>
    <n v="145386"/>
    <n v="0"/>
    <n v="0"/>
    <n v="145386"/>
    <n v="95894.720000000001"/>
    <n v="49491.28"/>
    <x v="8"/>
    <x v="1"/>
    <n v="9"/>
  </r>
  <r>
    <s v="ORD-00455"/>
    <x v="404"/>
    <s v="Hoodie"/>
    <s v="Clothing"/>
    <s v="Website"/>
    <s v="Lagos"/>
    <s v="New"/>
    <s v="None"/>
    <n v="1"/>
    <n v="36066"/>
    <n v="36066"/>
    <n v="3606.6"/>
    <n v="0.1"/>
    <n v="32459.4"/>
    <n v="23405.37"/>
    <n v="9054.0300000000025"/>
    <x v="8"/>
    <x v="1"/>
    <n v="9"/>
  </r>
  <r>
    <s v="ORD-00630"/>
    <x v="404"/>
    <s v="T-Shirt"/>
    <s v="Clothing"/>
    <s v="Website"/>
    <s v="Abuja"/>
    <s v="Returning"/>
    <s v="None"/>
    <n v="1"/>
    <n v="17345"/>
    <n v="17345"/>
    <n v="0"/>
    <n v="0"/>
    <n v="17345"/>
    <n v="11405.51"/>
    <n v="5939.49"/>
    <x v="8"/>
    <x v="1"/>
    <n v="9"/>
  </r>
  <r>
    <s v="ORD-01019"/>
    <x v="404"/>
    <s v="Dress"/>
    <s v="Clothing"/>
    <s v="Website"/>
    <s v="Oyo"/>
    <s v="New"/>
    <s v="None"/>
    <n v="3"/>
    <n v="53847"/>
    <n v="161541"/>
    <n v="0"/>
    <n v="0"/>
    <n v="161541"/>
    <n v="78347.87"/>
    <n v="83193.13"/>
    <x v="8"/>
    <x v="1"/>
    <n v="9"/>
  </r>
  <r>
    <s v="ORD-01185"/>
    <x v="405"/>
    <s v="Jeans"/>
    <s v="Clothing"/>
    <s v="WhatsApp"/>
    <s v="Abuja"/>
    <s v="Returning"/>
    <s v="None"/>
    <n v="4"/>
    <n v="45238"/>
    <n v="180952"/>
    <n v="0"/>
    <n v="0"/>
    <n v="180952"/>
    <n v="104811.8"/>
    <n v="76140.2"/>
    <x v="8"/>
    <x v="1"/>
    <n v="9"/>
  </r>
  <r>
    <s v="ORD-00320"/>
    <x v="406"/>
    <s v="Sandals"/>
    <s v="Footwear"/>
    <s v="Website"/>
    <s v="Rivers"/>
    <s v="New"/>
    <s v="None"/>
    <n v="2"/>
    <n v="31921"/>
    <n v="63842"/>
    <n v="0"/>
    <n v="0"/>
    <n v="63842"/>
    <n v="39280.21"/>
    <n v="24561.79"/>
    <x v="8"/>
    <x v="1"/>
    <n v="9"/>
  </r>
  <r>
    <s v="ORD-00660"/>
    <x v="407"/>
    <s v="Hoodie"/>
    <s v="Clothing"/>
    <s v="Instagram"/>
    <s v="Rivers"/>
    <s v="New"/>
    <s v="None"/>
    <n v="2"/>
    <n v="37726"/>
    <n v="75452"/>
    <n v="0"/>
    <n v="0"/>
    <n v="75452"/>
    <n v="46880.480000000003"/>
    <n v="28571.519999999997"/>
    <x v="8"/>
    <x v="1"/>
    <n v="9"/>
  </r>
  <r>
    <s v="ORD-00218"/>
    <x v="408"/>
    <s v="T-Shirt"/>
    <s v="Clothing"/>
    <s v="Physical Store"/>
    <s v="Abuja"/>
    <s v="Returning"/>
    <s v="None"/>
    <n v="1"/>
    <n v="17022"/>
    <n v="17022"/>
    <n v="0"/>
    <n v="0"/>
    <n v="17022"/>
    <n v="8802.58"/>
    <n v="8219.42"/>
    <x v="9"/>
    <x v="1"/>
    <n v="10"/>
  </r>
  <r>
    <s v="ORD-00880"/>
    <x v="408"/>
    <s v="Handbag"/>
    <s v="Accessories"/>
    <s v="Instagram"/>
    <s v="Lagos"/>
    <s v="Returning"/>
    <s v="None"/>
    <n v="1"/>
    <n v="45125"/>
    <n v="45125"/>
    <n v="0"/>
    <n v="0"/>
    <n v="45125"/>
    <n v="26615.48"/>
    <n v="18509.52"/>
    <x v="9"/>
    <x v="1"/>
    <n v="10"/>
  </r>
  <r>
    <s v="ORD-00180"/>
    <x v="409"/>
    <s v="Hoodie"/>
    <s v="Clothing"/>
    <s v="Physical Store"/>
    <s v="Oyo"/>
    <s v="New"/>
    <s v="None"/>
    <n v="1"/>
    <n v="37252"/>
    <n v="37252"/>
    <n v="1862.6"/>
    <n v="0.05"/>
    <n v="35389.4"/>
    <n v="23876.69"/>
    <n v="11512.710000000003"/>
    <x v="9"/>
    <x v="1"/>
    <n v="10"/>
  </r>
  <r>
    <s v="ORD-00147"/>
    <x v="410"/>
    <s v="T-Shirt"/>
    <s v="Clothing"/>
    <s v="WhatsApp"/>
    <s v="Lagos"/>
    <s v="Returning"/>
    <s v="None"/>
    <n v="2"/>
    <n v="18364"/>
    <n v="36728"/>
    <n v="0"/>
    <n v="0"/>
    <n v="36728"/>
    <n v="17769.86"/>
    <n v="18958.14"/>
    <x v="9"/>
    <x v="1"/>
    <n v="10"/>
  </r>
  <r>
    <s v="ORD-00103"/>
    <x v="411"/>
    <s v="Hoodie"/>
    <s v="Clothing"/>
    <s v="Website"/>
    <s v="Lagos"/>
    <s v="Returning"/>
    <s v="None"/>
    <n v="1"/>
    <n v="38122"/>
    <n v="38122"/>
    <n v="0"/>
    <n v="0"/>
    <n v="38122"/>
    <n v="22551.599999999999"/>
    <n v="15570.400000000001"/>
    <x v="9"/>
    <x v="1"/>
    <n v="10"/>
  </r>
  <r>
    <s v="ORD-00637"/>
    <x v="412"/>
    <s v="Belt"/>
    <s v="Accessories"/>
    <s v="Instagram"/>
    <s v="Lagos"/>
    <s v="New"/>
    <s v="None"/>
    <n v="3"/>
    <n v="14093"/>
    <n v="42279"/>
    <n v="2113.9499999999998"/>
    <n v="0.05"/>
    <n v="40165.050000000003"/>
    <n v="27730.48"/>
    <n v="12434.570000000003"/>
    <x v="9"/>
    <x v="1"/>
    <n v="10"/>
  </r>
  <r>
    <s v="ORD-00129"/>
    <x v="413"/>
    <s v="Belt"/>
    <s v="Accessories"/>
    <s v="Physical Store"/>
    <s v="Lagos"/>
    <s v="New"/>
    <s v="None"/>
    <n v="1"/>
    <n v="15404"/>
    <n v="15404"/>
    <n v="0"/>
    <n v="0"/>
    <n v="15404"/>
    <n v="8508.92"/>
    <n v="6895.08"/>
    <x v="9"/>
    <x v="1"/>
    <n v="10"/>
  </r>
  <r>
    <s v="ORD-00724"/>
    <x v="413"/>
    <s v="Sandals"/>
    <s v="Footwear"/>
    <s v="WhatsApp"/>
    <s v="Lagos"/>
    <s v="New"/>
    <s v="None"/>
    <n v="1"/>
    <n v="31098"/>
    <n v="31098"/>
    <n v="0"/>
    <n v="0"/>
    <n v="31098"/>
    <n v="16661.509999999998"/>
    <n v="14436.490000000002"/>
    <x v="9"/>
    <x v="1"/>
    <n v="10"/>
  </r>
  <r>
    <s v="ORD-01008"/>
    <x v="413"/>
    <s v="Polo Shirt"/>
    <s v="Clothing"/>
    <s v="Website"/>
    <s v="Lagos"/>
    <s v="New"/>
    <s v="None"/>
    <n v="2"/>
    <n v="26849"/>
    <n v="53698"/>
    <n v="0"/>
    <n v="0"/>
    <n v="53698"/>
    <n v="34776.53"/>
    <n v="18921.47"/>
    <x v="9"/>
    <x v="1"/>
    <n v="10"/>
  </r>
  <r>
    <s v="ORD-00032"/>
    <x v="414"/>
    <s v="Cap"/>
    <s v="Accessories"/>
    <s v="Physical Store"/>
    <s v="Lagos"/>
    <s v="New"/>
    <s v="None"/>
    <n v="1"/>
    <n v="11281"/>
    <n v="11281"/>
    <n v="0"/>
    <n v="0"/>
    <n v="11281"/>
    <n v="5738.74"/>
    <n v="5542.26"/>
    <x v="9"/>
    <x v="1"/>
    <n v="10"/>
  </r>
  <r>
    <s v="ORD-00078"/>
    <x v="415"/>
    <s v="Sandals"/>
    <s v="Footwear"/>
    <s v="WhatsApp"/>
    <s v="Delta"/>
    <s v="New"/>
    <s v="None"/>
    <n v="1"/>
    <n v="31084"/>
    <n v="31084"/>
    <n v="0"/>
    <n v="0"/>
    <n v="31084"/>
    <n v="16247.68"/>
    <n v="14836.32"/>
    <x v="9"/>
    <x v="1"/>
    <n v="10"/>
  </r>
  <r>
    <s v="ORD-00137"/>
    <x v="416"/>
    <s v="Hoodie"/>
    <s v="Clothing"/>
    <s v="Website"/>
    <s v="Lagos"/>
    <s v="Returning"/>
    <s v="None"/>
    <n v="2"/>
    <n v="36864"/>
    <n v="73728"/>
    <n v="0"/>
    <n v="0"/>
    <n v="73728"/>
    <n v="42583.1"/>
    <n v="31144.9"/>
    <x v="9"/>
    <x v="1"/>
    <n v="10"/>
  </r>
  <r>
    <s v="ORD-00469"/>
    <x v="417"/>
    <s v="Sandals"/>
    <s v="Footwear"/>
    <s v="Physical Store"/>
    <s v="Lagos"/>
    <s v="Returning"/>
    <s v="None"/>
    <n v="3"/>
    <n v="28147"/>
    <n v="84441"/>
    <n v="0"/>
    <n v="0"/>
    <n v="84441"/>
    <n v="54621.919999999998"/>
    <n v="29819.08"/>
    <x v="9"/>
    <x v="1"/>
    <n v="10"/>
  </r>
  <r>
    <s v="ORD-00286"/>
    <x v="418"/>
    <s v="Sandals"/>
    <s v="Footwear"/>
    <s v="Instagram"/>
    <s v="Oyo"/>
    <s v="New"/>
    <s v="None"/>
    <n v="3"/>
    <n v="28292"/>
    <n v="84876"/>
    <n v="0"/>
    <n v="0"/>
    <n v="84876"/>
    <n v="41203.050000000003"/>
    <n v="43672.95"/>
    <x v="9"/>
    <x v="1"/>
    <n v="10"/>
  </r>
  <r>
    <s v="ORD-00745"/>
    <x v="418"/>
    <s v="Dress"/>
    <s v="Clothing"/>
    <s v="Instagram"/>
    <s v="Abuja"/>
    <s v="New"/>
    <s v="None"/>
    <n v="2"/>
    <n v="46915"/>
    <n v="93830"/>
    <n v="0"/>
    <n v="0"/>
    <n v="93830"/>
    <n v="59699.47"/>
    <n v="34130.53"/>
    <x v="9"/>
    <x v="1"/>
    <n v="10"/>
  </r>
  <r>
    <s v="ORD-00495"/>
    <x v="419"/>
    <s v="Dress"/>
    <s v="Clothing"/>
    <s v="WhatsApp"/>
    <s v="Delta"/>
    <s v="New"/>
    <s v="None"/>
    <n v="4"/>
    <n v="48022"/>
    <n v="192088"/>
    <n v="0"/>
    <n v="0"/>
    <n v="192088"/>
    <n v="102498.05"/>
    <n v="89589.95"/>
    <x v="9"/>
    <x v="1"/>
    <n v="10"/>
  </r>
  <r>
    <s v="ORD-00317"/>
    <x v="419"/>
    <s v="Cap"/>
    <s v="Accessories"/>
    <s v="WhatsApp"/>
    <s v="Lagos"/>
    <s v="Returning"/>
    <s v="None"/>
    <n v="2"/>
    <n v="11093"/>
    <n v="22186"/>
    <n v="0"/>
    <n v="0"/>
    <n v="22186"/>
    <n v="14229.02"/>
    <n v="7956.98"/>
    <x v="9"/>
    <x v="1"/>
    <n v="10"/>
  </r>
  <r>
    <s v="ORD-00321"/>
    <x v="420"/>
    <s v="Hoodie"/>
    <s v="Clothing"/>
    <s v="Physical Store"/>
    <s v="Rivers"/>
    <s v="New"/>
    <s v="None"/>
    <n v="3"/>
    <n v="38983"/>
    <n v="116949"/>
    <n v="5847.45"/>
    <n v="0.05"/>
    <n v="111101.55"/>
    <n v="70016.460000000006"/>
    <n v="41085.089999999997"/>
    <x v="9"/>
    <x v="1"/>
    <n v="10"/>
  </r>
  <r>
    <s v="ORD-00445"/>
    <x v="421"/>
    <s v="Jeans"/>
    <s v="Clothing"/>
    <s v="Physical Store"/>
    <s v="Lagos"/>
    <s v="Returning"/>
    <s v="None"/>
    <n v="2"/>
    <n v="39172"/>
    <n v="78344"/>
    <n v="0"/>
    <n v="0"/>
    <n v="78344"/>
    <n v="37909.85"/>
    <n v="40434.15"/>
    <x v="9"/>
    <x v="1"/>
    <n v="10"/>
  </r>
  <r>
    <s v="ORD-00239"/>
    <x v="422"/>
    <s v="Sandals"/>
    <s v="Footwear"/>
    <s v="Physical Store"/>
    <s v="Rivers"/>
    <s v="Returning"/>
    <s v="None"/>
    <n v="1"/>
    <n v="31564"/>
    <n v="31564"/>
    <n v="0"/>
    <n v="0"/>
    <n v="31564"/>
    <n v="16908.57"/>
    <n v="14655.43"/>
    <x v="9"/>
    <x v="1"/>
    <n v="10"/>
  </r>
  <r>
    <s v="ORD-00169"/>
    <x v="423"/>
    <s v="Cap"/>
    <s v="Accessories"/>
    <s v="Instagram"/>
    <s v="Lagos"/>
    <s v="New"/>
    <s v="None"/>
    <n v="2"/>
    <n v="12666"/>
    <n v="25332"/>
    <n v="0"/>
    <n v="0"/>
    <n v="25332"/>
    <n v="16711.830000000002"/>
    <n v="8620.1699999999983"/>
    <x v="9"/>
    <x v="1"/>
    <n v="10"/>
  </r>
  <r>
    <s v="ORD-01069"/>
    <x v="424"/>
    <s v="Polo Shirt"/>
    <s v="Clothing"/>
    <s v="Instagram"/>
    <s v="Abuja"/>
    <s v="Returning"/>
    <s v="None"/>
    <n v="3"/>
    <n v="26951"/>
    <n v="80853"/>
    <n v="0"/>
    <n v="0"/>
    <n v="80853"/>
    <n v="45883.91"/>
    <n v="34969.089999999997"/>
    <x v="9"/>
    <x v="1"/>
    <n v="10"/>
  </r>
  <r>
    <s v="ORD-00866"/>
    <x v="424"/>
    <s v="Hoodie"/>
    <s v="Clothing"/>
    <s v="Website"/>
    <s v="Abuja"/>
    <s v="Returning"/>
    <s v="None"/>
    <n v="3"/>
    <n v="40072"/>
    <n v="120216"/>
    <n v="12021.6"/>
    <n v="0.1"/>
    <n v="108194.4"/>
    <n v="72353.289999999994"/>
    <n v="35841.11"/>
    <x v="9"/>
    <x v="1"/>
    <n v="10"/>
  </r>
  <r>
    <s v="ORD-00705"/>
    <x v="425"/>
    <s v="Handbag"/>
    <s v="Accessories"/>
    <s v="WhatsApp"/>
    <s v="Oyo"/>
    <s v="Returning"/>
    <s v="None"/>
    <n v="2"/>
    <n v="47450"/>
    <n v="94900"/>
    <n v="0"/>
    <n v="0"/>
    <n v="94900"/>
    <n v="51981.47"/>
    <n v="42918.53"/>
    <x v="9"/>
    <x v="1"/>
    <n v="10"/>
  </r>
  <r>
    <s v="ORD-00892"/>
    <x v="425"/>
    <s v="Polo Shirt"/>
    <s v="Clothing"/>
    <s v="WhatsApp"/>
    <s v="Delta"/>
    <s v="New"/>
    <s v="None"/>
    <n v="4"/>
    <n v="26378"/>
    <n v="105512"/>
    <n v="0"/>
    <n v="0"/>
    <n v="105512"/>
    <n v="59948.86"/>
    <n v="45563.14"/>
    <x v="9"/>
    <x v="1"/>
    <n v="10"/>
  </r>
  <r>
    <s v="ORD-00408"/>
    <x v="426"/>
    <s v="Dress"/>
    <s v="Clothing"/>
    <s v="Instagram"/>
    <s v="Oyo"/>
    <s v="Returning"/>
    <s v="None"/>
    <n v="2"/>
    <n v="52440"/>
    <n v="104880"/>
    <n v="0"/>
    <n v="0"/>
    <n v="104880"/>
    <n v="58629.04"/>
    <n v="46250.96"/>
    <x v="9"/>
    <x v="1"/>
    <n v="10"/>
  </r>
  <r>
    <s v="ORD-00885"/>
    <x v="427"/>
    <s v="Hoodie"/>
    <s v="Clothing"/>
    <s v="Instagram"/>
    <s v="Lagos"/>
    <s v="Returning"/>
    <s v="None"/>
    <n v="3"/>
    <n v="40038"/>
    <n v="120114"/>
    <n v="0"/>
    <n v="0"/>
    <n v="120114"/>
    <n v="75073.490000000005"/>
    <n v="45040.509999999995"/>
    <x v="9"/>
    <x v="1"/>
    <n v="10"/>
  </r>
  <r>
    <s v="ORD-01035"/>
    <x v="427"/>
    <s v="Polo Shirt"/>
    <s v="Clothing"/>
    <s v="WhatsApp"/>
    <s v="Lagos"/>
    <s v="New"/>
    <s v="None"/>
    <n v="2"/>
    <n v="24498"/>
    <n v="48996"/>
    <n v="2449.8000000000002"/>
    <n v="0.05"/>
    <n v="46546.2"/>
    <n v="27313.22"/>
    <n v="19232.979999999996"/>
    <x v="9"/>
    <x v="1"/>
    <n v="10"/>
  </r>
  <r>
    <s v="ORD-00140"/>
    <x v="427"/>
    <s v="Jeans"/>
    <s v="Clothing"/>
    <s v="Instagram"/>
    <s v="Lagos"/>
    <s v="New"/>
    <s v="None"/>
    <n v="1"/>
    <n v="40456"/>
    <n v="40456"/>
    <n v="0"/>
    <n v="0"/>
    <n v="40456"/>
    <n v="23931.41"/>
    <n v="16524.59"/>
    <x v="9"/>
    <x v="1"/>
    <n v="10"/>
  </r>
  <r>
    <s v="ORD-00790"/>
    <x v="428"/>
    <s v="Handbag"/>
    <s v="Accessories"/>
    <s v="Website"/>
    <s v="Abuja"/>
    <s v="New"/>
    <s v="None"/>
    <n v="1"/>
    <n v="44596"/>
    <n v="44596"/>
    <n v="0"/>
    <n v="0"/>
    <n v="44596"/>
    <n v="23177.88"/>
    <n v="21418.12"/>
    <x v="9"/>
    <x v="1"/>
    <n v="10"/>
  </r>
  <r>
    <s v="ORD-00668"/>
    <x v="429"/>
    <s v="T-Shirt"/>
    <s v="Clothing"/>
    <s v="Website"/>
    <s v="Rivers"/>
    <s v="New"/>
    <s v="None"/>
    <n v="3"/>
    <n v="17757"/>
    <n v="53271"/>
    <n v="0"/>
    <n v="0"/>
    <n v="53271"/>
    <n v="29487.72"/>
    <n v="23783.279999999999"/>
    <x v="9"/>
    <x v="1"/>
    <n v="10"/>
  </r>
  <r>
    <s v="ORD-00893"/>
    <x v="429"/>
    <s v="Cap"/>
    <s v="Accessories"/>
    <s v="Physical Store"/>
    <s v="Rivers"/>
    <s v="New"/>
    <s v="None"/>
    <n v="1"/>
    <n v="11597"/>
    <n v="11597"/>
    <n v="0"/>
    <n v="0"/>
    <n v="11597"/>
    <n v="5936.25"/>
    <n v="5660.75"/>
    <x v="9"/>
    <x v="1"/>
    <n v="10"/>
  </r>
  <r>
    <s v="ORD-00991"/>
    <x v="429"/>
    <s v="Sneakers"/>
    <s v="Footwear"/>
    <s v="Physical Store"/>
    <s v="Delta"/>
    <s v="Returning"/>
    <s v="None"/>
    <n v="1"/>
    <n v="64209"/>
    <n v="64209"/>
    <n v="0"/>
    <n v="0"/>
    <n v="64209"/>
    <n v="41074.449999999997"/>
    <n v="23134.550000000003"/>
    <x v="9"/>
    <x v="1"/>
    <n v="10"/>
  </r>
  <r>
    <s v="ORD-00626"/>
    <x v="430"/>
    <s v="Sneakers"/>
    <s v="Footwear"/>
    <s v="Website"/>
    <s v="Rivers"/>
    <s v="New"/>
    <s v="None"/>
    <n v="1"/>
    <n v="66109"/>
    <n v="66109"/>
    <n v="0"/>
    <n v="0"/>
    <n v="66109"/>
    <n v="32010.74"/>
    <n v="34098.259999999995"/>
    <x v="9"/>
    <x v="1"/>
    <n v="10"/>
  </r>
  <r>
    <s v="ORD-00504"/>
    <x v="431"/>
    <s v="Polo Shirt"/>
    <s v="Clothing"/>
    <s v="Instagram"/>
    <s v="Lagos"/>
    <s v="Returning"/>
    <s v="None"/>
    <n v="4"/>
    <n v="23769"/>
    <n v="95076"/>
    <n v="0"/>
    <n v="0"/>
    <n v="95076"/>
    <n v="58269.03"/>
    <n v="36806.97"/>
    <x v="9"/>
    <x v="1"/>
    <n v="10"/>
  </r>
  <r>
    <s v="ORD-00911"/>
    <x v="432"/>
    <s v="Dress"/>
    <s v="Clothing"/>
    <s v="Physical Store"/>
    <s v="Lagos"/>
    <s v="New"/>
    <s v="None"/>
    <n v="2"/>
    <n v="47174"/>
    <n v="94348"/>
    <n v="0"/>
    <n v="0"/>
    <n v="94348"/>
    <n v="45615.95"/>
    <n v="48732.05"/>
    <x v="9"/>
    <x v="1"/>
    <n v="10"/>
  </r>
  <r>
    <s v="ORD-00628"/>
    <x v="433"/>
    <s v="Hoodie"/>
    <s v="Clothing"/>
    <s v="Instagram"/>
    <s v="Lagos"/>
    <s v="Returning"/>
    <s v="Black Friday"/>
    <n v="2"/>
    <n v="37670"/>
    <n v="75340"/>
    <n v="7534"/>
    <n v="0.1"/>
    <n v="67806"/>
    <n v="40155.72"/>
    <n v="27650.28"/>
    <x v="10"/>
    <x v="1"/>
    <n v="11"/>
  </r>
  <r>
    <s v="ORD-00487"/>
    <x v="433"/>
    <s v="Belt"/>
    <s v="Accessories"/>
    <s v="Website"/>
    <s v="Oyo"/>
    <s v="New"/>
    <s v="None"/>
    <n v="1"/>
    <n v="14358"/>
    <n v="14358"/>
    <n v="0"/>
    <n v="0"/>
    <n v="14358"/>
    <n v="8854.3799999999992"/>
    <n v="5503.6200000000008"/>
    <x v="10"/>
    <x v="1"/>
    <n v="11"/>
  </r>
  <r>
    <s v="ORD-00571"/>
    <x v="434"/>
    <s v="Sneakers"/>
    <s v="Footwear"/>
    <s v="Physical Store"/>
    <s v="Lagos"/>
    <s v="New"/>
    <s v="Black Friday"/>
    <n v="5"/>
    <n v="64213"/>
    <n v="321065"/>
    <n v="32106.5"/>
    <n v="0.1"/>
    <n v="288958.5"/>
    <n v="192882.54"/>
    <n v="96075.959999999992"/>
    <x v="10"/>
    <x v="1"/>
    <n v="11"/>
  </r>
  <r>
    <s v="ORD-01028"/>
    <x v="435"/>
    <s v="Sandals"/>
    <s v="Footwear"/>
    <s v="Physical Store"/>
    <s v="Oyo"/>
    <s v="New"/>
    <s v="Black Friday"/>
    <n v="1"/>
    <n v="32154"/>
    <n v="32154"/>
    <n v="3215.4"/>
    <n v="0.1"/>
    <n v="28938.6"/>
    <n v="16436.490000000002"/>
    <n v="12502.109999999997"/>
    <x v="10"/>
    <x v="1"/>
    <n v="11"/>
  </r>
  <r>
    <s v="ORD-00507"/>
    <x v="435"/>
    <s v="Sneakers"/>
    <s v="Footwear"/>
    <s v="Physical Store"/>
    <s v="Rivers"/>
    <s v="Returning"/>
    <s v="Black Friday"/>
    <n v="2"/>
    <n v="67091"/>
    <n v="134182"/>
    <n v="6709.1"/>
    <n v="0.05"/>
    <n v="127472.9"/>
    <n v="88874.85"/>
    <n v="38598.049999999988"/>
    <x v="10"/>
    <x v="1"/>
    <n v="11"/>
  </r>
  <r>
    <s v="ORD-00400"/>
    <x v="435"/>
    <s v="Handbag"/>
    <s v="Accessories"/>
    <s v="WhatsApp"/>
    <s v="Rivers"/>
    <s v="New"/>
    <s v="Black Friday"/>
    <n v="2"/>
    <n v="46135"/>
    <n v="92270"/>
    <n v="18454"/>
    <n v="0.2"/>
    <n v="73816"/>
    <n v="61506.38"/>
    <n v="12309.620000000003"/>
    <x v="10"/>
    <x v="1"/>
    <n v="11"/>
  </r>
  <r>
    <s v="ORD-00555"/>
    <x v="436"/>
    <s v="Dress"/>
    <s v="Clothing"/>
    <s v="Website"/>
    <s v="Lagos"/>
    <s v="Returning"/>
    <s v="Black Friday"/>
    <n v="2"/>
    <n v="51958"/>
    <n v="103916"/>
    <n v="10391.6"/>
    <n v="0.1"/>
    <n v="93524.4"/>
    <n v="53827.13"/>
    <n v="39697.269999999997"/>
    <x v="10"/>
    <x v="1"/>
    <n v="11"/>
  </r>
  <r>
    <s v="ORD-00298"/>
    <x v="437"/>
    <s v="T-Shirt"/>
    <s v="Clothing"/>
    <s v="Physical Store"/>
    <s v="Lagos"/>
    <s v="New"/>
    <s v="Black Friday"/>
    <n v="3"/>
    <n v="17828"/>
    <n v="53484"/>
    <n v="8022.6"/>
    <n v="0.15"/>
    <n v="45461.4"/>
    <n v="29761.200000000001"/>
    <n v="15700.2"/>
    <x v="10"/>
    <x v="1"/>
    <n v="11"/>
  </r>
  <r>
    <s v="ORD-00126"/>
    <x v="437"/>
    <s v="Handbag"/>
    <s v="Accessories"/>
    <s v="WhatsApp"/>
    <s v="Abuja"/>
    <s v="Returning"/>
    <s v="None"/>
    <n v="1"/>
    <n v="44240"/>
    <n v="44240"/>
    <n v="0"/>
    <n v="0"/>
    <n v="44240"/>
    <n v="24871.91"/>
    <n v="19368.09"/>
    <x v="10"/>
    <x v="1"/>
    <n v="11"/>
  </r>
  <r>
    <s v="ORD-00634"/>
    <x v="437"/>
    <s v="Belt"/>
    <s v="Accessories"/>
    <s v="Physical Store"/>
    <s v="Lagos"/>
    <s v="New"/>
    <s v="None"/>
    <n v="2"/>
    <n v="14885"/>
    <n v="29770"/>
    <n v="0"/>
    <n v="0"/>
    <n v="29770"/>
    <n v="16132.96"/>
    <n v="13637.04"/>
    <x v="10"/>
    <x v="1"/>
    <n v="11"/>
  </r>
  <r>
    <s v="ORD-00846"/>
    <x v="438"/>
    <s v="Sneakers"/>
    <s v="Footwear"/>
    <s v="Physical Store"/>
    <s v="Rivers"/>
    <s v="New"/>
    <s v="None"/>
    <n v="1"/>
    <n v="65204"/>
    <n v="65204"/>
    <n v="9780.6"/>
    <n v="0.15"/>
    <n v="55423.4"/>
    <n v="38114.26"/>
    <n v="17309.14"/>
    <x v="10"/>
    <x v="1"/>
    <n v="11"/>
  </r>
  <r>
    <s v="ORD-00099"/>
    <x v="439"/>
    <s v="Belt"/>
    <s v="Accessories"/>
    <s v="Physical Store"/>
    <s v="Lagos"/>
    <s v="New"/>
    <s v="None"/>
    <n v="3"/>
    <n v="14615"/>
    <n v="43845"/>
    <n v="0"/>
    <n v="0"/>
    <n v="43845"/>
    <n v="25823.37"/>
    <n v="18021.63"/>
    <x v="10"/>
    <x v="1"/>
    <n v="11"/>
  </r>
  <r>
    <s v="ORD-00139"/>
    <x v="439"/>
    <s v="Hoodie"/>
    <s v="Clothing"/>
    <s v="Website"/>
    <s v="Delta"/>
    <s v="Returning"/>
    <s v="None"/>
    <n v="2"/>
    <n v="35983"/>
    <n v="71966"/>
    <n v="0"/>
    <n v="0"/>
    <n v="71966"/>
    <n v="46613.09"/>
    <n v="25352.910000000003"/>
    <x v="10"/>
    <x v="1"/>
    <n v="11"/>
  </r>
  <r>
    <s v="ORD-00561"/>
    <x v="440"/>
    <s v="Jeans"/>
    <s v="Clothing"/>
    <s v="WhatsApp"/>
    <s v="Lagos"/>
    <s v="Returning"/>
    <s v="Black Friday"/>
    <n v="2"/>
    <n v="42898"/>
    <n v="85796"/>
    <n v="12869.4"/>
    <n v="0.15"/>
    <n v="72926.600000000006"/>
    <n v="48782.76"/>
    <n v="24143.840000000004"/>
    <x v="10"/>
    <x v="1"/>
    <n v="11"/>
  </r>
  <r>
    <s v="ORD-00486"/>
    <x v="440"/>
    <s v="T-Shirt"/>
    <s v="Clothing"/>
    <s v="Website"/>
    <s v="Delta"/>
    <s v="New"/>
    <s v="None"/>
    <n v="3"/>
    <n v="18349"/>
    <n v="55047"/>
    <n v="0"/>
    <n v="0"/>
    <n v="55047"/>
    <n v="31746.43"/>
    <n v="23300.57"/>
    <x v="10"/>
    <x v="1"/>
    <n v="11"/>
  </r>
  <r>
    <s v="ORD-00281"/>
    <x v="440"/>
    <s v="Cap"/>
    <s v="Accessories"/>
    <s v="Physical Store"/>
    <s v="Delta"/>
    <s v="Returning"/>
    <s v="None"/>
    <n v="3"/>
    <n v="11972"/>
    <n v="35916"/>
    <n v="0"/>
    <n v="0"/>
    <n v="35916"/>
    <n v="22139.72"/>
    <n v="13776.279999999999"/>
    <x v="10"/>
    <x v="1"/>
    <n v="11"/>
  </r>
  <r>
    <s v="ORD-00264"/>
    <x v="441"/>
    <s v="Sandals"/>
    <s v="Footwear"/>
    <s v="Website"/>
    <s v="Abuja"/>
    <s v="New"/>
    <s v="Black Friday"/>
    <n v="1"/>
    <n v="28489"/>
    <n v="28489"/>
    <n v="2848.9"/>
    <n v="0.1"/>
    <n v="25640.1"/>
    <n v="14920.88"/>
    <n v="10719.22"/>
    <x v="10"/>
    <x v="1"/>
    <n v="11"/>
  </r>
  <r>
    <s v="ORD-00028"/>
    <x v="442"/>
    <s v="Dress"/>
    <s v="Clothing"/>
    <s v="Website"/>
    <s v="Lagos"/>
    <s v="New"/>
    <s v="Black Friday"/>
    <n v="3"/>
    <n v="47989"/>
    <n v="143967"/>
    <n v="14396.7"/>
    <n v="0.1"/>
    <n v="129570.3"/>
    <n v="89454.68"/>
    <n v="40115.62000000001"/>
    <x v="10"/>
    <x v="1"/>
    <n v="11"/>
  </r>
  <r>
    <s v="ORD-01087"/>
    <x v="443"/>
    <s v="T-Shirt"/>
    <s v="Clothing"/>
    <s v="Instagram"/>
    <s v="Delta"/>
    <s v="Returning"/>
    <s v="Black Friday"/>
    <n v="3"/>
    <n v="19202"/>
    <n v="57606"/>
    <n v="5760.6"/>
    <n v="0.1"/>
    <n v="51845.4"/>
    <n v="36226.15"/>
    <n v="15619.25"/>
    <x v="10"/>
    <x v="1"/>
    <n v="11"/>
  </r>
  <r>
    <s v="ORD-00220"/>
    <x v="443"/>
    <s v="Cap"/>
    <s v="Accessories"/>
    <s v="Instagram"/>
    <s v="Lagos"/>
    <s v="Returning"/>
    <s v="None"/>
    <n v="1"/>
    <n v="12869"/>
    <n v="12869"/>
    <n v="0"/>
    <n v="0"/>
    <n v="12869"/>
    <n v="7089.34"/>
    <n v="5779.66"/>
    <x v="10"/>
    <x v="1"/>
    <n v="11"/>
  </r>
  <r>
    <s v="ORD-01171"/>
    <x v="444"/>
    <s v="Handbag"/>
    <s v="Accessories"/>
    <s v="Physical Store"/>
    <s v="Oyo"/>
    <s v="Returning"/>
    <s v="Black Friday"/>
    <n v="4"/>
    <n v="47182"/>
    <n v="188728"/>
    <n v="18872.8"/>
    <n v="0.1"/>
    <n v="169855.2"/>
    <n v="104815.57"/>
    <n v="65039.630000000005"/>
    <x v="10"/>
    <x v="1"/>
    <n v="11"/>
  </r>
  <r>
    <s v="ORD-00543"/>
    <x v="444"/>
    <s v="Hoodie"/>
    <s v="Clothing"/>
    <s v="Physical Store"/>
    <s v="Oyo"/>
    <s v="New"/>
    <s v="Black Friday"/>
    <n v="1"/>
    <n v="39814"/>
    <n v="39814"/>
    <n v="1990.7"/>
    <n v="0.05"/>
    <n v="37823.300000000003"/>
    <n v="20626.689999999999"/>
    <n v="17196.610000000004"/>
    <x v="10"/>
    <x v="1"/>
    <n v="11"/>
  </r>
  <r>
    <s v="ORD-00898"/>
    <x v="444"/>
    <s v="Polo Shirt"/>
    <s v="Clothing"/>
    <s v="Instagram"/>
    <s v="Lagos"/>
    <s v="New"/>
    <s v="Black Friday"/>
    <n v="3"/>
    <n v="24783"/>
    <n v="74349"/>
    <n v="11152.35"/>
    <n v="0.15"/>
    <n v="63196.65"/>
    <n v="46495.839999999997"/>
    <n v="16700.810000000005"/>
    <x v="10"/>
    <x v="1"/>
    <n v="11"/>
  </r>
  <r>
    <s v="ORD-00374"/>
    <x v="445"/>
    <s v="Belt"/>
    <s v="Accessories"/>
    <s v="Website"/>
    <s v="Lagos"/>
    <s v="New"/>
    <s v="Black Friday"/>
    <n v="1"/>
    <n v="14868"/>
    <n v="14868"/>
    <n v="743.4"/>
    <n v="0.05"/>
    <n v="14124.6"/>
    <n v="9166.58"/>
    <n v="4958.0200000000004"/>
    <x v="10"/>
    <x v="1"/>
    <n v="11"/>
  </r>
  <r>
    <s v="ORD-00751"/>
    <x v="445"/>
    <s v="Belt"/>
    <s v="Accessories"/>
    <s v="Physical Store"/>
    <s v="Rivers"/>
    <s v="New"/>
    <s v="None"/>
    <n v="1"/>
    <n v="15650"/>
    <n v="15650"/>
    <n v="0"/>
    <n v="0"/>
    <n v="15650"/>
    <n v="10475.620000000001"/>
    <n v="5174.3799999999992"/>
    <x v="10"/>
    <x v="1"/>
    <n v="11"/>
  </r>
  <r>
    <s v="ORD-01174"/>
    <x v="445"/>
    <s v="T-Shirt"/>
    <s v="Clothing"/>
    <s v="Physical Store"/>
    <s v="Rivers"/>
    <s v="New"/>
    <s v="Black Friday"/>
    <n v="2"/>
    <n v="19270"/>
    <n v="38540"/>
    <n v="3854"/>
    <n v="0.1"/>
    <n v="34686"/>
    <n v="20897.87"/>
    <n v="13788.130000000001"/>
    <x v="10"/>
    <x v="1"/>
    <n v="11"/>
  </r>
  <r>
    <s v="ORD-00377"/>
    <x v="446"/>
    <s v="Handbag"/>
    <s v="Accessories"/>
    <s v="Website"/>
    <s v="Oyo"/>
    <s v="New"/>
    <s v="Black Friday"/>
    <n v="3"/>
    <n v="45751"/>
    <n v="137253"/>
    <n v="13725.3"/>
    <n v="0.1"/>
    <n v="123527.7"/>
    <n v="88630"/>
    <n v="34897.699999999997"/>
    <x v="10"/>
    <x v="1"/>
    <n v="11"/>
  </r>
  <r>
    <s v="ORD-00702"/>
    <x v="447"/>
    <s v="Dress"/>
    <s v="Clothing"/>
    <s v="Instagram"/>
    <s v="Oyo"/>
    <s v="New"/>
    <s v="Black Friday"/>
    <n v="3"/>
    <n v="47300"/>
    <n v="141900"/>
    <n v="14190"/>
    <n v="0.1"/>
    <n v="127710"/>
    <n v="71899.850000000006"/>
    <n v="55810.149999999994"/>
    <x v="10"/>
    <x v="1"/>
    <n v="11"/>
  </r>
  <r>
    <s v="ORD-01023"/>
    <x v="448"/>
    <s v="Belt"/>
    <s v="Accessories"/>
    <s v="WhatsApp"/>
    <s v="Delta"/>
    <s v="Returning"/>
    <s v="Black Friday"/>
    <n v="1"/>
    <n v="14082"/>
    <n v="14082"/>
    <n v="2112.3000000000002"/>
    <n v="0.15"/>
    <n v="11969.7"/>
    <n v="7392.52"/>
    <n v="4577.18"/>
    <x v="10"/>
    <x v="1"/>
    <n v="11"/>
  </r>
  <r>
    <s v="ORD-01129"/>
    <x v="449"/>
    <s v="Handbag"/>
    <s v="Accessories"/>
    <s v="Website"/>
    <s v="Rivers"/>
    <s v="New"/>
    <s v="Black Friday"/>
    <n v="2"/>
    <n v="41775"/>
    <n v="83550"/>
    <n v="8355"/>
    <n v="0.1"/>
    <n v="75195"/>
    <n v="40474.29"/>
    <n v="34720.71"/>
    <x v="10"/>
    <x v="1"/>
    <n v="11"/>
  </r>
  <r>
    <s v="ORD-00343"/>
    <x v="449"/>
    <s v="Sandals"/>
    <s v="Footwear"/>
    <s v="Website"/>
    <s v="Lagos"/>
    <s v="New"/>
    <s v="None"/>
    <n v="4"/>
    <n v="28545"/>
    <n v="114180"/>
    <n v="0"/>
    <n v="0"/>
    <n v="114180"/>
    <n v="59360.160000000003"/>
    <n v="54819.839999999997"/>
    <x v="10"/>
    <x v="1"/>
    <n v="11"/>
  </r>
  <r>
    <s v="ORD-00509"/>
    <x v="450"/>
    <s v="Dress"/>
    <s v="Clothing"/>
    <s v="Website"/>
    <s v="Lagos"/>
    <s v="New"/>
    <s v="None"/>
    <n v="2"/>
    <n v="53479"/>
    <n v="106958"/>
    <n v="0"/>
    <n v="0"/>
    <n v="106958"/>
    <n v="70563.78"/>
    <n v="36394.22"/>
    <x v="10"/>
    <x v="1"/>
    <n v="11"/>
  </r>
  <r>
    <s v="ORD-00144"/>
    <x v="451"/>
    <s v="Cap"/>
    <s v="Accessories"/>
    <s v="WhatsApp"/>
    <s v="Delta"/>
    <s v="New"/>
    <s v="Black Friday"/>
    <n v="5"/>
    <n v="12698"/>
    <n v="63490"/>
    <n v="6349"/>
    <n v="0.1"/>
    <n v="57141"/>
    <n v="35241.14"/>
    <n v="21899.86"/>
    <x v="10"/>
    <x v="1"/>
    <n v="11"/>
  </r>
  <r>
    <s v="ORD-00670"/>
    <x v="451"/>
    <s v="Jeans"/>
    <s v="Clothing"/>
    <s v="Website"/>
    <s v="Lagos"/>
    <s v="New"/>
    <s v="Black Friday"/>
    <n v="2"/>
    <n v="39541"/>
    <n v="79082"/>
    <n v="3954.1"/>
    <n v="0.05"/>
    <n v="75127.899999999994"/>
    <n v="43331.57"/>
    <n v="31796.329999999994"/>
    <x v="10"/>
    <x v="1"/>
    <n v="11"/>
  </r>
  <r>
    <s v="ORD-00418"/>
    <x v="451"/>
    <s v="Hoodie"/>
    <s v="Clothing"/>
    <s v="Website"/>
    <s v="Rivers"/>
    <s v="Returning"/>
    <s v="None"/>
    <n v="2"/>
    <n v="35698"/>
    <n v="71396"/>
    <n v="0"/>
    <n v="0"/>
    <n v="71396"/>
    <n v="36894.379999999997"/>
    <n v="34501.620000000003"/>
    <x v="10"/>
    <x v="1"/>
    <n v="11"/>
  </r>
  <r>
    <s v="ORD-00961"/>
    <x v="452"/>
    <s v="Polo Shirt"/>
    <s v="Clothing"/>
    <s v="Physical Store"/>
    <s v="Abuja"/>
    <s v="New"/>
    <s v="Black Friday"/>
    <n v="2"/>
    <n v="24001"/>
    <n v="48002"/>
    <n v="4800.2"/>
    <n v="0.1"/>
    <n v="43201.8"/>
    <n v="26238.71"/>
    <n v="16963.090000000004"/>
    <x v="10"/>
    <x v="1"/>
    <n v="11"/>
  </r>
  <r>
    <s v="ORD-00024"/>
    <x v="452"/>
    <s v="Polo Shirt"/>
    <s v="Clothing"/>
    <s v="Physical Store"/>
    <s v="Oyo"/>
    <s v="Returning"/>
    <s v="Black Friday"/>
    <n v="1"/>
    <n v="26649"/>
    <n v="26649"/>
    <n v="2664.9"/>
    <n v="0.1"/>
    <n v="23984.1"/>
    <n v="16111.81"/>
    <n v="7872.2899999999991"/>
    <x v="10"/>
    <x v="1"/>
    <n v="11"/>
  </r>
  <r>
    <s v="ORD-00254"/>
    <x v="452"/>
    <s v="Sneakers"/>
    <s v="Footwear"/>
    <s v="WhatsApp"/>
    <s v="Rivers"/>
    <s v="Returning"/>
    <s v="Black Friday"/>
    <n v="3"/>
    <n v="63286"/>
    <n v="189858"/>
    <n v="9492.9"/>
    <n v="0.05"/>
    <n v="180365.1"/>
    <n v="128167.18"/>
    <n v="52197.920000000013"/>
    <x v="10"/>
    <x v="1"/>
    <n v="11"/>
  </r>
  <r>
    <s v="ORD-01018"/>
    <x v="453"/>
    <s v="Cap"/>
    <s v="Accessories"/>
    <s v="WhatsApp"/>
    <s v="Lagos"/>
    <s v="New"/>
    <s v="Christmas Promo"/>
    <n v="1"/>
    <n v="12343"/>
    <n v="12343"/>
    <n v="1234.3"/>
    <n v="0.1"/>
    <n v="11108.7"/>
    <n v="7181.17"/>
    <n v="3927.5300000000007"/>
    <x v="11"/>
    <x v="1"/>
    <n v="12"/>
  </r>
  <r>
    <s v="ORD-00053"/>
    <x v="454"/>
    <s v="Hoodie"/>
    <s v="Clothing"/>
    <s v="WhatsApp"/>
    <s v="Rivers"/>
    <s v="Returning"/>
    <s v="Christmas Promo"/>
    <n v="2"/>
    <n v="39956"/>
    <n v="79912"/>
    <n v="7991.2"/>
    <n v="0.1"/>
    <n v="71920.800000000003"/>
    <n v="43166.11"/>
    <n v="28754.690000000002"/>
    <x v="11"/>
    <x v="1"/>
    <n v="12"/>
  </r>
  <r>
    <s v="ORD-00336"/>
    <x v="455"/>
    <s v="T-Shirt"/>
    <s v="Clothing"/>
    <s v="WhatsApp"/>
    <s v="Lagos"/>
    <s v="New"/>
    <s v="Christmas Promo"/>
    <n v="2"/>
    <n v="17533"/>
    <n v="35066"/>
    <n v="3506.6"/>
    <n v="0.1"/>
    <n v="31559.4"/>
    <n v="19579.05"/>
    <n v="11980.350000000002"/>
    <x v="11"/>
    <x v="1"/>
    <n v="12"/>
  </r>
  <r>
    <s v="ORD-01144"/>
    <x v="456"/>
    <s v="Belt"/>
    <s v="Accessories"/>
    <s v="Physical Store"/>
    <s v="Abuja"/>
    <s v="New"/>
    <s v="Christmas Promo"/>
    <n v="5"/>
    <n v="15553"/>
    <n v="77765"/>
    <n v="15553"/>
    <n v="0.2"/>
    <n v="62212"/>
    <n v="38911.910000000003"/>
    <n v="23300.089999999997"/>
    <x v="11"/>
    <x v="1"/>
    <n v="12"/>
  </r>
  <r>
    <s v="ORD-00968"/>
    <x v="457"/>
    <s v="Hoodie"/>
    <s v="Clothing"/>
    <s v="Physical Store"/>
    <s v="Abuja"/>
    <s v="New"/>
    <s v="None"/>
    <n v="1"/>
    <n v="40623"/>
    <n v="40623"/>
    <n v="0"/>
    <n v="0"/>
    <n v="40623"/>
    <n v="27023.58"/>
    <n v="13599.419999999998"/>
    <x v="11"/>
    <x v="1"/>
    <n v="12"/>
  </r>
  <r>
    <s v="ORD-00965"/>
    <x v="458"/>
    <s v="Handbag"/>
    <s v="Accessories"/>
    <s v="Physical Store"/>
    <s v="Abuja"/>
    <s v="New"/>
    <s v="None"/>
    <n v="1"/>
    <n v="43115"/>
    <n v="43115"/>
    <n v="0"/>
    <n v="0"/>
    <n v="43115"/>
    <n v="28179.66"/>
    <n v="14935.34"/>
    <x v="11"/>
    <x v="1"/>
    <n v="12"/>
  </r>
  <r>
    <s v="ORD-00526"/>
    <x v="458"/>
    <s v="Hoodie"/>
    <s v="Clothing"/>
    <s v="Physical Store"/>
    <s v="Oyo"/>
    <s v="New"/>
    <s v="None"/>
    <n v="1"/>
    <n v="38534"/>
    <n v="38534"/>
    <n v="3853.4"/>
    <n v="0.1"/>
    <n v="34680.6"/>
    <n v="24091.93"/>
    <n v="10588.669999999998"/>
    <x v="11"/>
    <x v="1"/>
    <n v="12"/>
  </r>
  <r>
    <s v="ORD-00551"/>
    <x v="458"/>
    <s v="Cap"/>
    <s v="Accessories"/>
    <s v="Website"/>
    <s v="Abuja"/>
    <s v="Returning"/>
    <s v="Christmas Promo"/>
    <n v="4"/>
    <n v="11712"/>
    <n v="46848"/>
    <n v="7027.2"/>
    <n v="0.15"/>
    <n v="39820.800000000003"/>
    <n v="29275.86"/>
    <n v="10544.940000000002"/>
    <x v="11"/>
    <x v="1"/>
    <n v="12"/>
  </r>
  <r>
    <s v="ORD-01153"/>
    <x v="459"/>
    <s v="Jeans"/>
    <s v="Clothing"/>
    <s v="Website"/>
    <s v="Oyo"/>
    <s v="Returning"/>
    <s v="Christmas Promo"/>
    <n v="1"/>
    <n v="38893"/>
    <n v="38893"/>
    <n v="7778.6"/>
    <n v="0.2"/>
    <n v="31114.400000000001"/>
    <n v="18704.77"/>
    <n v="12409.630000000001"/>
    <x v="11"/>
    <x v="1"/>
    <n v="12"/>
  </r>
  <r>
    <s v="ORD-00887"/>
    <x v="459"/>
    <s v="Belt"/>
    <s v="Accessories"/>
    <s v="Website"/>
    <s v="Lagos"/>
    <s v="Returning"/>
    <s v="Christmas Promo"/>
    <n v="1"/>
    <n v="14838"/>
    <n v="14838"/>
    <n v="741.9"/>
    <n v="0.05"/>
    <n v="14096.1"/>
    <n v="9014.57"/>
    <n v="5081.5300000000007"/>
    <x v="11"/>
    <x v="1"/>
    <n v="12"/>
  </r>
  <r>
    <s v="ORD-01072"/>
    <x v="459"/>
    <s v="Handbag"/>
    <s v="Accessories"/>
    <s v="Instagram"/>
    <s v="Rivers"/>
    <s v="Returning"/>
    <s v="Christmas Promo"/>
    <n v="2"/>
    <n v="45789"/>
    <n v="91578"/>
    <n v="13736.7"/>
    <n v="0.15"/>
    <n v="77841.3"/>
    <n v="55454.74"/>
    <n v="22386.560000000005"/>
    <x v="11"/>
    <x v="1"/>
    <n v="12"/>
  </r>
  <r>
    <s v="ORD-00136"/>
    <x v="459"/>
    <s v="Belt"/>
    <s v="Accessories"/>
    <s v="Instagram"/>
    <s v="Lagos"/>
    <s v="Returning"/>
    <s v="Christmas Promo"/>
    <n v="3"/>
    <n v="14965"/>
    <n v="44895"/>
    <n v="2244.75"/>
    <n v="0.05"/>
    <n v="42650.25"/>
    <n v="26088.080000000002"/>
    <n v="16562.169999999998"/>
    <x v="11"/>
    <x v="1"/>
    <n v="12"/>
  </r>
  <r>
    <s v="ORD-01078"/>
    <x v="460"/>
    <s v="Belt"/>
    <s v="Accessories"/>
    <s v="Website"/>
    <s v="Lagos"/>
    <s v="Returning"/>
    <s v="Christmas Promo"/>
    <n v="2"/>
    <n v="15971"/>
    <n v="31942"/>
    <n v="3194.2"/>
    <n v="0.1"/>
    <n v="28747.8"/>
    <n v="16762.77"/>
    <n v="11985.029999999999"/>
    <x v="11"/>
    <x v="1"/>
    <n v="12"/>
  </r>
  <r>
    <s v="ORD-00833"/>
    <x v="461"/>
    <s v="T-Shirt"/>
    <s v="Clothing"/>
    <s v="Instagram"/>
    <s v="Lagos"/>
    <s v="New"/>
    <s v="Christmas Promo"/>
    <n v="2"/>
    <n v="17632"/>
    <n v="35264"/>
    <n v="5289.6"/>
    <n v="0.15"/>
    <n v="29974.400000000001"/>
    <n v="22284.880000000001"/>
    <n v="7689.52"/>
    <x v="11"/>
    <x v="1"/>
    <n v="12"/>
  </r>
  <r>
    <s v="ORD-01046"/>
    <x v="462"/>
    <s v="Cap"/>
    <s v="Accessories"/>
    <s v="Physical Store"/>
    <s v="Lagos"/>
    <s v="New"/>
    <s v="Christmas Promo"/>
    <n v="4"/>
    <n v="12137"/>
    <n v="48548"/>
    <n v="2427.4"/>
    <n v="0.05"/>
    <n v="46120.6"/>
    <n v="31084.04"/>
    <n v="15036.559999999998"/>
    <x v="11"/>
    <x v="1"/>
    <n v="12"/>
  </r>
  <r>
    <s v="ORD-00556"/>
    <x v="463"/>
    <s v="Hoodie"/>
    <s v="Clothing"/>
    <s v="WhatsApp"/>
    <s v="Rivers"/>
    <s v="New"/>
    <s v="Christmas Promo"/>
    <n v="2"/>
    <n v="39977"/>
    <n v="79954"/>
    <n v="11993.1"/>
    <n v="0.15"/>
    <n v="67960.899999999994"/>
    <n v="45000.21"/>
    <n v="22960.689999999995"/>
    <x v="11"/>
    <x v="1"/>
    <n v="12"/>
  </r>
  <r>
    <s v="ORD-00466"/>
    <x v="463"/>
    <s v="Sneakers"/>
    <s v="Footwear"/>
    <s v="Physical Store"/>
    <s v="Delta"/>
    <s v="New"/>
    <s v="Christmas Promo"/>
    <n v="2"/>
    <n v="61426"/>
    <n v="122852"/>
    <n v="24570.400000000001"/>
    <n v="0.2"/>
    <n v="98281.600000000006"/>
    <n v="72931.55"/>
    <n v="25350.050000000003"/>
    <x v="11"/>
    <x v="1"/>
    <n v="12"/>
  </r>
  <r>
    <s v="ORD-00682"/>
    <x v="463"/>
    <s v="Cap"/>
    <s v="Accessories"/>
    <s v="Website"/>
    <s v="Oyo"/>
    <s v="Returning"/>
    <s v="None"/>
    <n v="2"/>
    <n v="11932"/>
    <n v="23864"/>
    <n v="0"/>
    <n v="0"/>
    <n v="23864"/>
    <n v="13600.57"/>
    <n v="10263.43"/>
    <x v="11"/>
    <x v="1"/>
    <n v="12"/>
  </r>
  <r>
    <s v="ORD-00979"/>
    <x v="463"/>
    <s v="Polo Shirt"/>
    <s v="Clothing"/>
    <s v="Physical Store"/>
    <s v="Lagos"/>
    <s v="New"/>
    <s v="None"/>
    <n v="2"/>
    <n v="25490"/>
    <n v="50980"/>
    <n v="0"/>
    <n v="0"/>
    <n v="50980"/>
    <n v="32315.16"/>
    <n v="18664.84"/>
    <x v="11"/>
    <x v="1"/>
    <n v="12"/>
  </r>
  <r>
    <s v="ORD-00732"/>
    <x v="464"/>
    <s v="Polo Shirt"/>
    <s v="Clothing"/>
    <s v="WhatsApp"/>
    <s v="Lagos"/>
    <s v="Returning"/>
    <s v="Christmas Promo"/>
    <n v="1"/>
    <n v="25356"/>
    <n v="25356"/>
    <n v="2535.6"/>
    <n v="0.1"/>
    <n v="22820.400000000001"/>
    <n v="15949.66"/>
    <n v="6870.7400000000016"/>
    <x v="11"/>
    <x v="1"/>
    <n v="12"/>
  </r>
  <r>
    <s v="ORD-00562"/>
    <x v="465"/>
    <s v="Belt"/>
    <s v="Accessories"/>
    <s v="Instagram"/>
    <s v="Oyo"/>
    <s v="Returning"/>
    <s v="None"/>
    <n v="1"/>
    <n v="13943"/>
    <n v="13943"/>
    <n v="0"/>
    <n v="0"/>
    <n v="13943"/>
    <n v="7610.3"/>
    <n v="6332.7"/>
    <x v="11"/>
    <x v="1"/>
    <n v="12"/>
  </r>
  <r>
    <s v="ORD-00426"/>
    <x v="466"/>
    <s v="T-Shirt"/>
    <s v="Clothing"/>
    <s v="WhatsApp"/>
    <s v="Delta"/>
    <s v="Returning"/>
    <s v="Christmas Promo"/>
    <n v="3"/>
    <n v="18376"/>
    <n v="55128"/>
    <n v="5512.8"/>
    <n v="0.1"/>
    <n v="49615.199999999997"/>
    <n v="31775.97"/>
    <n v="17839.229999999996"/>
    <x v="11"/>
    <x v="1"/>
    <n v="12"/>
  </r>
  <r>
    <s v="ORD-00658"/>
    <x v="467"/>
    <s v="Belt"/>
    <s v="Accessories"/>
    <s v="WhatsApp"/>
    <s v="Lagos"/>
    <s v="New"/>
    <s v="Christmas Promo"/>
    <n v="3"/>
    <n v="14265"/>
    <n v="42795"/>
    <n v="2139.75"/>
    <n v="0.05"/>
    <n v="40655.25"/>
    <n v="26859.43"/>
    <n v="13795.82"/>
    <x v="11"/>
    <x v="1"/>
    <n v="12"/>
  </r>
  <r>
    <s v="ORD-00064"/>
    <x v="468"/>
    <s v="Hoodie"/>
    <s v="Clothing"/>
    <s v="Physical Store"/>
    <s v="Abuja"/>
    <s v="New"/>
    <s v="None"/>
    <n v="2"/>
    <n v="37195"/>
    <n v="74390"/>
    <n v="0"/>
    <n v="0"/>
    <n v="74390"/>
    <n v="48019.31"/>
    <n v="26370.690000000002"/>
    <x v="11"/>
    <x v="1"/>
    <n v="12"/>
  </r>
  <r>
    <s v="ORD-00984"/>
    <x v="469"/>
    <s v="Dress"/>
    <s v="Clothing"/>
    <s v="Instagram"/>
    <s v="Abuja"/>
    <s v="New"/>
    <s v="Christmas Promo"/>
    <n v="1"/>
    <n v="50869"/>
    <n v="50869"/>
    <n v="10173.799999999999"/>
    <n v="0.2"/>
    <n v="40695.199999999997"/>
    <n v="30979.32"/>
    <n v="9715.8799999999974"/>
    <x v="11"/>
    <x v="1"/>
    <n v="12"/>
  </r>
  <r>
    <s v="ORD-01111"/>
    <x v="470"/>
    <s v="Belt"/>
    <s v="Accessories"/>
    <s v="Instagram"/>
    <s v="Oyo"/>
    <s v="Returning"/>
    <s v="Christmas Promo"/>
    <n v="1"/>
    <n v="14418"/>
    <n v="14418"/>
    <n v="2162.6999999999998"/>
    <n v="0.15"/>
    <n v="12255.3"/>
    <n v="7293.34"/>
    <n v="4961.9599999999991"/>
    <x v="11"/>
    <x v="1"/>
    <n v="12"/>
  </r>
  <r>
    <s v="ORD-00909"/>
    <x v="471"/>
    <s v="T-Shirt"/>
    <s v="Clothing"/>
    <s v="WhatsApp"/>
    <s v="Delta"/>
    <s v="New"/>
    <s v="Christmas Promo"/>
    <n v="3"/>
    <n v="18149"/>
    <n v="54447"/>
    <n v="5444.7"/>
    <n v="0.1"/>
    <n v="49002.3"/>
    <n v="34230.86"/>
    <n v="14771.440000000002"/>
    <x v="11"/>
    <x v="1"/>
    <n v="12"/>
  </r>
  <r>
    <s v="ORD-00737"/>
    <x v="472"/>
    <s v="Belt"/>
    <s v="Accessories"/>
    <s v="Website"/>
    <s v="Abuja"/>
    <s v="New"/>
    <s v="Christmas Promo"/>
    <n v="2"/>
    <n v="14795"/>
    <n v="29590"/>
    <n v="2959"/>
    <n v="0.1"/>
    <n v="26631"/>
    <n v="18262.22"/>
    <n v="8368.7799999999988"/>
    <x v="11"/>
    <x v="1"/>
    <n v="12"/>
  </r>
  <r>
    <s v="ORD-00772"/>
    <x v="473"/>
    <s v="Belt"/>
    <s v="Accessories"/>
    <s v="WhatsApp"/>
    <s v="Lagos"/>
    <s v="New"/>
    <s v="None"/>
    <n v="3"/>
    <n v="15797"/>
    <n v="47391"/>
    <n v="0"/>
    <n v="0"/>
    <n v="47391"/>
    <n v="26765.78"/>
    <n v="20625.22"/>
    <x v="11"/>
    <x v="1"/>
    <n v="12"/>
  </r>
  <r>
    <s v="ORD-00100"/>
    <x v="474"/>
    <s v="Hoodie"/>
    <s v="Clothing"/>
    <s v="Physical Store"/>
    <s v="Abuja"/>
    <s v="New"/>
    <s v="None"/>
    <n v="4"/>
    <n v="36411"/>
    <n v="145644"/>
    <n v="0"/>
    <n v="0"/>
    <n v="145644"/>
    <n v="98600.69"/>
    <n v="47043.31"/>
    <x v="11"/>
    <x v="1"/>
    <n v="12"/>
  </r>
  <r>
    <s v="ORD-00662"/>
    <x v="474"/>
    <s v="Handbag"/>
    <s v="Accessories"/>
    <s v="WhatsApp"/>
    <s v="Rivers"/>
    <s v="New"/>
    <s v="Christmas Promo"/>
    <n v="3"/>
    <n v="44087"/>
    <n v="132261"/>
    <n v="13226.1"/>
    <n v="0.1"/>
    <n v="119034.9"/>
    <n v="78804.539999999994"/>
    <n v="40230.36"/>
    <x v="11"/>
    <x v="1"/>
    <n v="12"/>
  </r>
  <r>
    <s v="ORD-00290"/>
    <x v="475"/>
    <s v="Sandals"/>
    <s v="Footwear"/>
    <s v="Website"/>
    <s v="Abuja"/>
    <s v="Returning"/>
    <s v="None"/>
    <n v="1"/>
    <n v="30739"/>
    <n v="30739"/>
    <n v="0"/>
    <n v="0"/>
    <n v="30739"/>
    <n v="16796.46"/>
    <n v="13942.54"/>
    <x v="11"/>
    <x v="1"/>
    <n v="12"/>
  </r>
  <r>
    <s v="ORD-01089"/>
    <x v="475"/>
    <s v="Polo Shirt"/>
    <s v="Clothing"/>
    <s v="Website"/>
    <s v="Lagos"/>
    <s v="Returning"/>
    <s v="Christmas Promo"/>
    <n v="3"/>
    <n v="26054"/>
    <n v="78162"/>
    <n v="7816.2"/>
    <n v="0.1"/>
    <n v="70345.8"/>
    <n v="42564.13"/>
    <n v="27781.670000000006"/>
    <x v="11"/>
    <x v="1"/>
    <n v="12"/>
  </r>
  <r>
    <s v="ORD-01170"/>
    <x v="475"/>
    <s v="Belt"/>
    <s v="Accessories"/>
    <s v="Website"/>
    <s v="Lagos"/>
    <s v="New"/>
    <s v="Christmas Promo"/>
    <n v="1"/>
    <n v="15230"/>
    <n v="15230"/>
    <n v="2284.5"/>
    <n v="0.15"/>
    <n v="12945.5"/>
    <n v="7352.01"/>
    <n v="5593.49"/>
    <x v="11"/>
    <x v="1"/>
    <n v="12"/>
  </r>
  <r>
    <s v="ORD-00385"/>
    <x v="475"/>
    <s v="Sandals"/>
    <s v="Footwear"/>
    <s v="Physical Store"/>
    <s v="Lagos"/>
    <s v="New"/>
    <s v="Christmas Promo"/>
    <n v="3"/>
    <n v="29666"/>
    <n v="88998"/>
    <n v="17799.599999999999"/>
    <n v="0.2"/>
    <n v="71198.399999999994"/>
    <n v="51839.43"/>
    <n v="19358.969999999994"/>
    <x v="11"/>
    <x v="1"/>
    <n v="12"/>
  </r>
  <r>
    <s v="ORD-00397"/>
    <x v="476"/>
    <s v="Handbag"/>
    <s v="Accessories"/>
    <s v="Website"/>
    <s v="Delta"/>
    <s v="Returning"/>
    <s v="Christmas Promo"/>
    <n v="3"/>
    <n v="46482"/>
    <n v="139446"/>
    <n v="6972.3"/>
    <n v="0.05"/>
    <n v="132473.70000000001"/>
    <n v="90058.43"/>
    <n v="42415.270000000019"/>
    <x v="11"/>
    <x v="1"/>
    <n v="12"/>
  </r>
  <r>
    <s v="ORD-00416"/>
    <x v="476"/>
    <s v="Sandals"/>
    <s v="Footwear"/>
    <s v="Website"/>
    <s v="Lagos"/>
    <s v="New"/>
    <s v="Christmas Promo"/>
    <n v="3"/>
    <n v="29689"/>
    <n v="89067"/>
    <n v="13360.05"/>
    <n v="0.15"/>
    <n v="75706.95"/>
    <n v="55564.36"/>
    <n v="20142.589999999997"/>
    <x v="11"/>
    <x v="1"/>
    <n v="12"/>
  </r>
  <r>
    <s v="ORD-00055"/>
    <x v="477"/>
    <s v="Sneakers"/>
    <s v="Footwear"/>
    <s v="Website"/>
    <s v="Lagos"/>
    <s v="Returning"/>
    <s v="None"/>
    <n v="2"/>
    <n v="61456"/>
    <n v="122912"/>
    <n v="0"/>
    <n v="0"/>
    <n v="122912"/>
    <n v="61889.86"/>
    <n v="61022.14"/>
    <x v="11"/>
    <x v="1"/>
    <n v="12"/>
  </r>
  <r>
    <s v="ORD-00152"/>
    <x v="477"/>
    <s v="Polo Shirt"/>
    <s v="Clothing"/>
    <s v="Website"/>
    <s v="Lagos"/>
    <s v="Returning"/>
    <s v="Christmas Promo"/>
    <n v="1"/>
    <n v="23968"/>
    <n v="23968"/>
    <n v="3595.2"/>
    <n v="0.15"/>
    <n v="20372.8"/>
    <n v="12200.65"/>
    <n v="8172.15"/>
    <x v="11"/>
    <x v="1"/>
    <n v="12"/>
  </r>
  <r>
    <s v="ORD-01009"/>
    <x v="478"/>
    <s v="Sandals"/>
    <s v="Footwear"/>
    <s v="Website"/>
    <s v="Abuja"/>
    <s v="New"/>
    <s v="Christmas Promo"/>
    <n v="2"/>
    <n v="30875"/>
    <n v="61750"/>
    <n v="6175"/>
    <n v="0.1"/>
    <n v="55575"/>
    <n v="38206.18"/>
    <n v="17368.82"/>
    <x v="11"/>
    <x v="1"/>
    <n v="12"/>
  </r>
  <r>
    <s v="ORD-00511"/>
    <x v="479"/>
    <s v="Dress"/>
    <s v="Clothing"/>
    <s v="Instagram"/>
    <s v="Abuja"/>
    <s v="New"/>
    <s v="None"/>
    <n v="5"/>
    <n v="48283"/>
    <n v="241415"/>
    <n v="0"/>
    <n v="0"/>
    <n v="241415"/>
    <n v="121165.34"/>
    <n v="120249.66"/>
    <x v="0"/>
    <x v="2"/>
    <n v="1"/>
  </r>
  <r>
    <s v="ORD-00519"/>
    <x v="479"/>
    <s v="Jeans"/>
    <s v="Clothing"/>
    <s v="Website"/>
    <s v="Rivers"/>
    <s v="New"/>
    <s v="None"/>
    <n v="5"/>
    <n v="43436"/>
    <n v="217180"/>
    <n v="0"/>
    <n v="0"/>
    <n v="217180"/>
    <n v="133232.63"/>
    <n v="83947.37"/>
    <x v="0"/>
    <x v="2"/>
    <n v="1"/>
  </r>
  <r>
    <s v="ORD-00443"/>
    <x v="480"/>
    <s v="Polo Shirt"/>
    <s v="Clothing"/>
    <s v="Website"/>
    <s v="Abuja"/>
    <s v="Returning"/>
    <s v="None"/>
    <n v="5"/>
    <n v="23038"/>
    <n v="115190"/>
    <n v="0"/>
    <n v="0"/>
    <n v="115190"/>
    <n v="63950.09"/>
    <n v="51239.91"/>
    <x v="0"/>
    <x v="2"/>
    <n v="1"/>
  </r>
  <r>
    <s v="ORD-00427"/>
    <x v="481"/>
    <s v="Handbag"/>
    <s v="Accessories"/>
    <s v="Website"/>
    <s v="Lagos"/>
    <s v="New"/>
    <s v="None"/>
    <n v="2"/>
    <n v="47972"/>
    <n v="95944"/>
    <n v="9594.4"/>
    <n v="0.1"/>
    <n v="86349.6"/>
    <n v="56538.02"/>
    <n v="29811.580000000009"/>
    <x v="0"/>
    <x v="2"/>
    <n v="1"/>
  </r>
  <r>
    <s v="ORD-00952"/>
    <x v="481"/>
    <s v="Cap"/>
    <s v="Accessories"/>
    <s v="WhatsApp"/>
    <s v="Delta"/>
    <s v="New"/>
    <s v="None"/>
    <n v="1"/>
    <n v="11556"/>
    <n v="11556"/>
    <n v="0"/>
    <n v="0"/>
    <n v="11556"/>
    <n v="6949.45"/>
    <n v="4606.55"/>
    <x v="0"/>
    <x v="2"/>
    <n v="1"/>
  </r>
  <r>
    <s v="ORD-00499"/>
    <x v="482"/>
    <s v="Cap"/>
    <s v="Accessories"/>
    <s v="Website"/>
    <s v="Oyo"/>
    <s v="New"/>
    <s v="None"/>
    <n v="1"/>
    <n v="11431"/>
    <n v="11431"/>
    <n v="0"/>
    <n v="0"/>
    <n v="11431"/>
    <n v="5698.42"/>
    <n v="5732.58"/>
    <x v="0"/>
    <x v="2"/>
    <n v="1"/>
  </r>
  <r>
    <s v="ORD-00983"/>
    <x v="482"/>
    <s v="Sneakers"/>
    <s v="Footwear"/>
    <s v="WhatsApp"/>
    <s v="Oyo"/>
    <s v="Returning"/>
    <s v="None"/>
    <n v="4"/>
    <n v="66522"/>
    <n v="266088"/>
    <n v="0"/>
    <n v="0"/>
    <n v="266088"/>
    <n v="130447.32"/>
    <n v="135640.68"/>
    <x v="0"/>
    <x v="2"/>
    <n v="1"/>
  </r>
  <r>
    <s v="ORD-01188"/>
    <x v="483"/>
    <s v="Sneakers"/>
    <s v="Footwear"/>
    <s v="Instagram"/>
    <s v="Lagos"/>
    <s v="New"/>
    <s v="None"/>
    <n v="5"/>
    <n v="69881"/>
    <n v="349405"/>
    <n v="0"/>
    <n v="0"/>
    <n v="349405"/>
    <n v="208760.18"/>
    <n v="140644.82"/>
    <x v="0"/>
    <x v="2"/>
    <n v="1"/>
  </r>
  <r>
    <s v="ORD-00591"/>
    <x v="483"/>
    <s v="Sandals"/>
    <s v="Footwear"/>
    <s v="Physical Store"/>
    <s v="Abuja"/>
    <s v="Returning"/>
    <s v="None"/>
    <n v="1"/>
    <n v="29084"/>
    <n v="29084"/>
    <n v="0"/>
    <n v="0"/>
    <n v="29084"/>
    <n v="14054.11"/>
    <n v="15029.89"/>
    <x v="0"/>
    <x v="2"/>
    <n v="1"/>
  </r>
  <r>
    <s v="ORD-00678"/>
    <x v="484"/>
    <s v="Hoodie"/>
    <s v="Clothing"/>
    <s v="Website"/>
    <s v="Abuja"/>
    <s v="Returning"/>
    <s v="None"/>
    <n v="3"/>
    <n v="37013"/>
    <n v="111039"/>
    <n v="0"/>
    <n v="0"/>
    <n v="111039"/>
    <n v="69918.17"/>
    <n v="41120.83"/>
    <x v="0"/>
    <x v="2"/>
    <n v="1"/>
  </r>
  <r>
    <s v="ORD-00404"/>
    <x v="484"/>
    <s v="Polo Shirt"/>
    <s v="Clothing"/>
    <s v="WhatsApp"/>
    <s v="Lagos"/>
    <s v="Returning"/>
    <s v="None"/>
    <n v="2"/>
    <n v="25215"/>
    <n v="50430"/>
    <n v="0"/>
    <n v="0"/>
    <n v="50430"/>
    <n v="26177.79"/>
    <n v="24252.21"/>
    <x v="0"/>
    <x v="2"/>
    <n v="1"/>
  </r>
  <r>
    <s v="ORD-01116"/>
    <x v="484"/>
    <s v="T-Shirt"/>
    <s v="Clothing"/>
    <s v="WhatsApp"/>
    <s v="Oyo"/>
    <s v="New"/>
    <s v="None"/>
    <n v="3"/>
    <n v="16848"/>
    <n v="50544"/>
    <n v="0"/>
    <n v="0"/>
    <n v="50544"/>
    <n v="28334.69"/>
    <n v="22209.31"/>
    <x v="0"/>
    <x v="2"/>
    <n v="1"/>
  </r>
  <r>
    <s v="ORD-00514"/>
    <x v="485"/>
    <s v="Dress"/>
    <s v="Clothing"/>
    <s v="WhatsApp"/>
    <s v="Lagos"/>
    <s v="New"/>
    <s v="None"/>
    <n v="3"/>
    <n v="48150"/>
    <n v="144450"/>
    <n v="0"/>
    <n v="0"/>
    <n v="144450"/>
    <n v="94127.63"/>
    <n v="50322.369999999995"/>
    <x v="0"/>
    <x v="2"/>
    <n v="1"/>
  </r>
  <r>
    <s v="ORD-00325"/>
    <x v="486"/>
    <s v="Cap"/>
    <s v="Accessories"/>
    <s v="Instagram"/>
    <s v="Abuja"/>
    <s v="New"/>
    <s v="None"/>
    <n v="1"/>
    <n v="12915"/>
    <n v="12915"/>
    <n v="0"/>
    <n v="0"/>
    <n v="12915"/>
    <n v="6425.6"/>
    <n v="6489.4"/>
    <x v="0"/>
    <x v="2"/>
    <n v="1"/>
  </r>
  <r>
    <s v="ORD-00115"/>
    <x v="487"/>
    <s v="Handbag"/>
    <s v="Accessories"/>
    <s v="Website"/>
    <s v="Rivers"/>
    <s v="Returning"/>
    <s v="None"/>
    <n v="3"/>
    <n v="47444"/>
    <n v="142332"/>
    <n v="0"/>
    <n v="0"/>
    <n v="142332"/>
    <n v="86006.8"/>
    <n v="56325.2"/>
    <x v="0"/>
    <x v="2"/>
    <n v="1"/>
  </r>
  <r>
    <s v="ORD-01031"/>
    <x v="488"/>
    <s v="Sandals"/>
    <s v="Footwear"/>
    <s v="Physical Store"/>
    <s v="Abuja"/>
    <s v="Returning"/>
    <s v="None"/>
    <n v="2"/>
    <n v="28999"/>
    <n v="57998"/>
    <n v="0"/>
    <n v="0"/>
    <n v="57998"/>
    <n v="37760.35"/>
    <n v="20237.650000000001"/>
    <x v="0"/>
    <x v="2"/>
    <n v="1"/>
  </r>
  <r>
    <s v="ORD-00966"/>
    <x v="489"/>
    <s v="Sneakers"/>
    <s v="Footwear"/>
    <s v="Physical Store"/>
    <s v="Rivers"/>
    <s v="Returning"/>
    <s v="None"/>
    <n v="1"/>
    <n v="65130"/>
    <n v="65130"/>
    <n v="0"/>
    <n v="0"/>
    <n v="65130"/>
    <n v="42471.42"/>
    <n v="22658.58"/>
    <x v="0"/>
    <x v="2"/>
    <n v="1"/>
  </r>
  <r>
    <s v="ORD-00698"/>
    <x v="490"/>
    <s v="Jeans"/>
    <s v="Clothing"/>
    <s v="WhatsApp"/>
    <s v="Delta"/>
    <s v="New"/>
    <s v="None"/>
    <n v="3"/>
    <n v="42972"/>
    <n v="128916"/>
    <n v="12891.6"/>
    <n v="0.1"/>
    <n v="116024.4"/>
    <n v="63147.199999999997"/>
    <n v="52877.2"/>
    <x v="0"/>
    <x v="2"/>
    <n v="1"/>
  </r>
  <r>
    <s v="ORD-00019"/>
    <x v="490"/>
    <s v="Hoodie"/>
    <s v="Clothing"/>
    <s v="Instagram"/>
    <s v="Oyo"/>
    <s v="New"/>
    <s v="None"/>
    <n v="4"/>
    <n v="39929"/>
    <n v="159716"/>
    <n v="0"/>
    <n v="0"/>
    <n v="159716"/>
    <n v="97221.61"/>
    <n v="62494.39"/>
    <x v="0"/>
    <x v="2"/>
    <n v="1"/>
  </r>
  <r>
    <s v="ORD-01128"/>
    <x v="490"/>
    <s v="Hoodie"/>
    <s v="Clothing"/>
    <s v="Physical Store"/>
    <s v="Rivers"/>
    <s v="Returning"/>
    <s v="None"/>
    <n v="4"/>
    <n v="35474"/>
    <n v="141896"/>
    <n v="0"/>
    <n v="0"/>
    <n v="141896"/>
    <n v="82790.259999999995"/>
    <n v="59105.740000000005"/>
    <x v="0"/>
    <x v="2"/>
    <n v="1"/>
  </r>
  <r>
    <s v="ORD-00121"/>
    <x v="491"/>
    <s v="Dress"/>
    <s v="Clothing"/>
    <s v="Website"/>
    <s v="Lagos"/>
    <s v="Returning"/>
    <s v="None"/>
    <n v="2"/>
    <n v="51116"/>
    <n v="102232"/>
    <n v="0"/>
    <n v="0"/>
    <n v="102232"/>
    <n v="51764.02"/>
    <n v="50467.98"/>
    <x v="0"/>
    <x v="2"/>
    <n v="1"/>
  </r>
  <r>
    <s v="ORD-00225"/>
    <x v="492"/>
    <s v="Handbag"/>
    <s v="Accessories"/>
    <s v="Website"/>
    <s v="Abuja"/>
    <s v="New"/>
    <s v="None"/>
    <n v="1"/>
    <n v="45837"/>
    <n v="45837"/>
    <n v="0"/>
    <n v="0"/>
    <n v="45837"/>
    <n v="25813.34"/>
    <n v="20023.66"/>
    <x v="0"/>
    <x v="2"/>
    <n v="1"/>
  </r>
  <r>
    <s v="ORD-00675"/>
    <x v="492"/>
    <s v="Jeans"/>
    <s v="Clothing"/>
    <s v="Physical Store"/>
    <s v="Abuja"/>
    <s v="Returning"/>
    <s v="None"/>
    <n v="2"/>
    <n v="42667"/>
    <n v="85334"/>
    <n v="0"/>
    <n v="0"/>
    <n v="85334"/>
    <n v="42826.68"/>
    <n v="42507.32"/>
    <x v="0"/>
    <x v="2"/>
    <n v="1"/>
  </r>
  <r>
    <s v="ORD-01039"/>
    <x v="493"/>
    <s v="Belt"/>
    <s v="Accessories"/>
    <s v="Instagram"/>
    <s v="Lagos"/>
    <s v="Returning"/>
    <s v="None"/>
    <n v="2"/>
    <n v="15343"/>
    <n v="30686"/>
    <n v="3068.6"/>
    <n v="0.1"/>
    <n v="27617.4"/>
    <n v="20688.36"/>
    <n v="6929.0400000000009"/>
    <x v="0"/>
    <x v="2"/>
    <n v="1"/>
  </r>
  <r>
    <s v="ORD-00446"/>
    <x v="493"/>
    <s v="Hoodie"/>
    <s v="Clothing"/>
    <s v="Physical Store"/>
    <s v="Abuja"/>
    <s v="New"/>
    <s v="None"/>
    <n v="3"/>
    <n v="38665"/>
    <n v="115995"/>
    <n v="11599.5"/>
    <n v="0.1"/>
    <n v="104395.5"/>
    <n v="74051.05"/>
    <n v="30344.449999999997"/>
    <x v="0"/>
    <x v="2"/>
    <n v="1"/>
  </r>
  <r>
    <s v="ORD-00164"/>
    <x v="494"/>
    <s v="Belt"/>
    <s v="Accessories"/>
    <s v="WhatsApp"/>
    <s v="Lagos"/>
    <s v="Returning"/>
    <s v="None"/>
    <n v="5"/>
    <n v="14278"/>
    <n v="71390"/>
    <n v="7139"/>
    <n v="0.1"/>
    <n v="64251"/>
    <n v="38370.83"/>
    <n v="25880.17"/>
    <x v="0"/>
    <x v="2"/>
    <n v="1"/>
  </r>
  <r>
    <s v="ORD-00520"/>
    <x v="494"/>
    <s v="Cap"/>
    <s v="Accessories"/>
    <s v="Physical Store"/>
    <s v="Oyo"/>
    <s v="New"/>
    <s v="None"/>
    <n v="1"/>
    <n v="11370"/>
    <n v="11370"/>
    <n v="0"/>
    <n v="0"/>
    <n v="11370"/>
    <n v="6851.83"/>
    <n v="4518.17"/>
    <x v="0"/>
    <x v="2"/>
    <n v="1"/>
  </r>
  <r>
    <s v="ORD-01165"/>
    <x v="495"/>
    <s v="Polo Shirt"/>
    <s v="Clothing"/>
    <s v="WhatsApp"/>
    <s v="Oyo"/>
    <s v="New"/>
    <s v="None"/>
    <n v="3"/>
    <n v="24188"/>
    <n v="72564"/>
    <n v="0"/>
    <n v="0"/>
    <n v="72564"/>
    <n v="37529.43"/>
    <n v="35034.57"/>
    <x v="0"/>
    <x v="2"/>
    <n v="1"/>
  </r>
  <r>
    <s v="ORD-00470"/>
    <x v="496"/>
    <s v="Sneakers"/>
    <s v="Footwear"/>
    <s v="Physical Store"/>
    <s v="Lagos"/>
    <s v="Returning"/>
    <s v="None"/>
    <n v="1"/>
    <n v="60686"/>
    <n v="60686"/>
    <n v="0"/>
    <n v="0"/>
    <n v="60686"/>
    <n v="35188.01"/>
    <n v="25497.989999999998"/>
    <x v="0"/>
    <x v="2"/>
    <n v="1"/>
  </r>
  <r>
    <s v="ORD-00383"/>
    <x v="496"/>
    <s v="Dress"/>
    <s v="Clothing"/>
    <s v="Physical Store"/>
    <s v="Lagos"/>
    <s v="New"/>
    <s v="None"/>
    <n v="1"/>
    <n v="51286"/>
    <n v="51286"/>
    <n v="0"/>
    <n v="0"/>
    <n v="51286"/>
    <n v="27813.13"/>
    <n v="23472.87"/>
    <x v="0"/>
    <x v="2"/>
    <n v="1"/>
  </r>
  <r>
    <s v="ORD-00827"/>
    <x v="497"/>
    <s v="Cap"/>
    <s v="Accessories"/>
    <s v="WhatsApp"/>
    <s v="Rivers"/>
    <s v="Returning"/>
    <s v="None"/>
    <n v="1"/>
    <n v="12651"/>
    <n v="12651"/>
    <n v="0"/>
    <n v="0"/>
    <n v="12651"/>
    <n v="7343.34"/>
    <n v="5307.66"/>
    <x v="0"/>
    <x v="2"/>
    <n v="1"/>
  </r>
  <r>
    <s v="ORD-01036"/>
    <x v="498"/>
    <s v="Hoodie"/>
    <s v="Clothing"/>
    <s v="Physical Store"/>
    <s v="Rivers"/>
    <s v="New"/>
    <s v="None"/>
    <n v="1"/>
    <n v="35445"/>
    <n v="35445"/>
    <n v="0"/>
    <n v="0"/>
    <n v="35445"/>
    <n v="17665.05"/>
    <n v="17779.95"/>
    <x v="0"/>
    <x v="2"/>
    <n v="1"/>
  </r>
  <r>
    <s v="ORD-01120"/>
    <x v="499"/>
    <s v="Handbag"/>
    <s v="Accessories"/>
    <s v="Website"/>
    <s v="Rivers"/>
    <s v="New"/>
    <s v="None"/>
    <n v="1"/>
    <n v="42828"/>
    <n v="42828"/>
    <n v="0"/>
    <n v="0"/>
    <n v="42828"/>
    <n v="22974.9"/>
    <n v="19853.099999999999"/>
    <x v="0"/>
    <x v="2"/>
    <n v="1"/>
  </r>
  <r>
    <s v="ORD-00936"/>
    <x v="499"/>
    <s v="Belt"/>
    <s v="Accessories"/>
    <s v="WhatsApp"/>
    <s v="Lagos"/>
    <s v="New"/>
    <s v="None"/>
    <n v="2"/>
    <n v="15992"/>
    <n v="31984"/>
    <n v="0"/>
    <n v="0"/>
    <n v="31984"/>
    <n v="18993.060000000001"/>
    <n v="12990.939999999999"/>
    <x v="0"/>
    <x v="2"/>
    <n v="1"/>
  </r>
  <r>
    <s v="ORD-00603"/>
    <x v="499"/>
    <s v="T-Shirt"/>
    <s v="Clothing"/>
    <s v="Physical Store"/>
    <s v="Oyo"/>
    <s v="New"/>
    <s v="None"/>
    <n v="2"/>
    <n v="17906"/>
    <n v="35812"/>
    <n v="0"/>
    <n v="0"/>
    <n v="35812"/>
    <n v="24077.21"/>
    <n v="11734.79"/>
    <x v="0"/>
    <x v="2"/>
    <n v="1"/>
  </r>
  <r>
    <s v="ORD-00712"/>
    <x v="499"/>
    <s v="Cap"/>
    <s v="Accessories"/>
    <s v="Instagram"/>
    <s v="Abuja"/>
    <s v="New"/>
    <s v="None"/>
    <n v="3"/>
    <n v="11343"/>
    <n v="34029"/>
    <n v="1701.45"/>
    <n v="0.05"/>
    <n v="32327.55"/>
    <n v="20456.189999999999"/>
    <n v="11871.36"/>
    <x v="0"/>
    <x v="2"/>
    <n v="1"/>
  </r>
  <r>
    <s v="ORD-00273"/>
    <x v="499"/>
    <s v="Dress"/>
    <s v="Clothing"/>
    <s v="Instagram"/>
    <s v="Oyo"/>
    <s v="New"/>
    <s v="None"/>
    <n v="3"/>
    <n v="51419"/>
    <n v="154257"/>
    <n v="0"/>
    <n v="0"/>
    <n v="154257"/>
    <n v="102708.78"/>
    <n v="51548.22"/>
    <x v="0"/>
    <x v="2"/>
    <n v="1"/>
  </r>
  <r>
    <s v="ORD-00399"/>
    <x v="500"/>
    <s v="Handbag"/>
    <s v="Accessories"/>
    <s v="WhatsApp"/>
    <s v="Rivers"/>
    <s v="Returning"/>
    <s v="None"/>
    <n v="1"/>
    <n v="43658"/>
    <n v="43658"/>
    <n v="0"/>
    <n v="0"/>
    <n v="43658"/>
    <n v="24063.919999999998"/>
    <n v="19594.080000000002"/>
    <x v="0"/>
    <x v="2"/>
    <n v="1"/>
  </r>
  <r>
    <s v="ORD-00619"/>
    <x v="500"/>
    <s v="T-Shirt"/>
    <s v="Clothing"/>
    <s v="Physical Store"/>
    <s v="Lagos"/>
    <s v="New"/>
    <s v="None"/>
    <n v="1"/>
    <n v="16983"/>
    <n v="16983"/>
    <n v="0"/>
    <n v="0"/>
    <n v="16983"/>
    <n v="11457.98"/>
    <n v="5525.02"/>
    <x v="0"/>
    <x v="2"/>
    <n v="1"/>
  </r>
  <r>
    <s v="ORD-00940"/>
    <x v="500"/>
    <s v="Hoodie"/>
    <s v="Clothing"/>
    <s v="Physical Store"/>
    <s v="Rivers"/>
    <s v="New"/>
    <s v="None"/>
    <n v="5"/>
    <n v="36297"/>
    <n v="181485"/>
    <n v="0"/>
    <n v="0"/>
    <n v="181485"/>
    <n v="111627.95"/>
    <n v="69857.05"/>
    <x v="0"/>
    <x v="2"/>
    <n v="1"/>
  </r>
  <r>
    <s v="ORD-00361"/>
    <x v="501"/>
    <s v="Sandals"/>
    <s v="Footwear"/>
    <s v="Website"/>
    <s v="Lagos"/>
    <s v="New"/>
    <s v="None"/>
    <n v="1"/>
    <n v="27892"/>
    <n v="27892"/>
    <n v="0"/>
    <n v="0"/>
    <n v="27892"/>
    <n v="17373.45"/>
    <n v="10518.55"/>
    <x v="0"/>
    <x v="2"/>
    <n v="1"/>
  </r>
  <r>
    <s v="ORD-00884"/>
    <x v="502"/>
    <s v="Belt"/>
    <s v="Accessories"/>
    <s v="WhatsApp"/>
    <s v="Lagos"/>
    <s v="New"/>
    <s v="None"/>
    <n v="2"/>
    <n v="15440"/>
    <n v="30880"/>
    <n v="0"/>
    <n v="0"/>
    <n v="30880"/>
    <n v="19365.73"/>
    <n v="11514.27"/>
    <x v="1"/>
    <x v="2"/>
    <n v="2"/>
  </r>
  <r>
    <s v="ORD-00580"/>
    <x v="502"/>
    <s v="Hoodie"/>
    <s v="Clothing"/>
    <s v="WhatsApp"/>
    <s v="Lagos"/>
    <s v="Returning"/>
    <s v="Valentine Promo"/>
    <n v="3"/>
    <n v="37710"/>
    <n v="113130"/>
    <n v="11313"/>
    <n v="0.1"/>
    <n v="101817"/>
    <n v="68711.12"/>
    <n v="33105.880000000005"/>
    <x v="1"/>
    <x v="2"/>
    <n v="2"/>
  </r>
  <r>
    <s v="ORD-00070"/>
    <x v="503"/>
    <s v="Handbag"/>
    <s v="Accessories"/>
    <s v="Physical Store"/>
    <s v="Lagos"/>
    <s v="Returning"/>
    <s v="Valentine Promo"/>
    <n v="3"/>
    <n v="42010"/>
    <n v="126030"/>
    <n v="6301.5"/>
    <n v="0.05"/>
    <n v="119728.5"/>
    <n v="62311.360000000001"/>
    <n v="57417.14"/>
    <x v="1"/>
    <x v="2"/>
    <n v="2"/>
  </r>
  <r>
    <s v="ORD-00590"/>
    <x v="503"/>
    <s v="Hoodie"/>
    <s v="Clothing"/>
    <s v="Website"/>
    <s v="Lagos"/>
    <s v="New"/>
    <s v="None"/>
    <n v="1"/>
    <n v="38433"/>
    <n v="38433"/>
    <n v="5764.95"/>
    <n v="0.15"/>
    <n v="32668.05"/>
    <n v="22469.15"/>
    <n v="10198.899999999998"/>
    <x v="1"/>
    <x v="2"/>
    <n v="2"/>
  </r>
  <r>
    <s v="ORD-00493"/>
    <x v="503"/>
    <s v="Jeans"/>
    <s v="Clothing"/>
    <s v="WhatsApp"/>
    <s v="Delta"/>
    <s v="New"/>
    <s v="None"/>
    <n v="2"/>
    <n v="45263"/>
    <n v="90526"/>
    <n v="0"/>
    <n v="0"/>
    <n v="90526"/>
    <n v="47863.17"/>
    <n v="42662.83"/>
    <x v="1"/>
    <x v="2"/>
    <n v="2"/>
  </r>
  <r>
    <s v="ORD-00170"/>
    <x v="503"/>
    <s v="T-Shirt"/>
    <s v="Clothing"/>
    <s v="Physical Store"/>
    <s v="Lagos"/>
    <s v="New"/>
    <s v="Valentine Promo"/>
    <n v="4"/>
    <n v="19259"/>
    <n v="77036"/>
    <n v="11555.4"/>
    <n v="0.15"/>
    <n v="65480.6"/>
    <n v="44271.06"/>
    <n v="21209.54"/>
    <x v="1"/>
    <x v="2"/>
    <n v="2"/>
  </r>
  <r>
    <s v="ORD-00158"/>
    <x v="504"/>
    <s v="Cap"/>
    <s v="Accessories"/>
    <s v="Instagram"/>
    <s v="Delta"/>
    <s v="New"/>
    <s v="None"/>
    <n v="3"/>
    <n v="12124"/>
    <n v="36372"/>
    <n v="0"/>
    <n v="0"/>
    <n v="36372"/>
    <n v="21618.13"/>
    <n v="14753.869999999999"/>
    <x v="1"/>
    <x v="2"/>
    <n v="2"/>
  </r>
  <r>
    <s v="ORD-00583"/>
    <x v="504"/>
    <s v="T-Shirt"/>
    <s v="Clothing"/>
    <s v="Instagram"/>
    <s v="Abuja"/>
    <s v="Returning"/>
    <s v="Valentine Promo"/>
    <n v="2"/>
    <n v="17304"/>
    <n v="34608"/>
    <n v="3460.8"/>
    <n v="0.1"/>
    <n v="31147.200000000001"/>
    <n v="22838.52"/>
    <n v="8308.68"/>
    <x v="1"/>
    <x v="2"/>
    <n v="2"/>
  </r>
  <r>
    <s v="ORD-00106"/>
    <x v="504"/>
    <s v="Handbag"/>
    <s v="Accessories"/>
    <s v="WhatsApp"/>
    <s v="Abuja"/>
    <s v="Returning"/>
    <s v="None"/>
    <n v="2"/>
    <n v="47749"/>
    <n v="95498"/>
    <n v="0"/>
    <n v="0"/>
    <n v="95498"/>
    <n v="48937.63"/>
    <n v="46560.37"/>
    <x v="1"/>
    <x v="2"/>
    <n v="2"/>
  </r>
  <r>
    <s v="ORD-00363"/>
    <x v="505"/>
    <s v="Jeans"/>
    <s v="Clothing"/>
    <s v="WhatsApp"/>
    <s v="Rivers"/>
    <s v="New"/>
    <s v="Valentine Promo"/>
    <n v="1"/>
    <n v="39857"/>
    <n v="39857"/>
    <n v="1992.85"/>
    <n v="0.05"/>
    <n v="37864.15"/>
    <n v="22198.22"/>
    <n v="15665.93"/>
    <x v="1"/>
    <x v="2"/>
    <n v="2"/>
  </r>
  <r>
    <s v="ORD-00917"/>
    <x v="505"/>
    <s v="Handbag"/>
    <s v="Accessories"/>
    <s v="Physical Store"/>
    <s v="Rivers"/>
    <s v="Returning"/>
    <s v="Valentine Promo"/>
    <n v="3"/>
    <n v="46839"/>
    <n v="140517"/>
    <n v="7025.85"/>
    <n v="0.05"/>
    <n v="133491.15"/>
    <n v="80848.92"/>
    <n v="52642.229999999996"/>
    <x v="1"/>
    <x v="2"/>
    <n v="2"/>
  </r>
  <r>
    <s v="ORD-00010"/>
    <x v="506"/>
    <s v="Belt"/>
    <s v="Accessories"/>
    <s v="Instagram"/>
    <s v="Delta"/>
    <s v="New"/>
    <s v="Valentine Promo"/>
    <n v="2"/>
    <n v="16161"/>
    <n v="32322"/>
    <n v="3232.2"/>
    <n v="0.1"/>
    <n v="29089.8"/>
    <n v="21294.37"/>
    <n v="7795.43"/>
    <x v="1"/>
    <x v="2"/>
    <n v="2"/>
  </r>
  <r>
    <s v="ORD-00574"/>
    <x v="507"/>
    <s v="Handbag"/>
    <s v="Accessories"/>
    <s v="Website"/>
    <s v="Oyo"/>
    <s v="New"/>
    <s v="Valentine Promo"/>
    <n v="3"/>
    <n v="46780"/>
    <n v="140340"/>
    <n v="21051"/>
    <n v="0.15"/>
    <n v="119289"/>
    <n v="82438.06"/>
    <n v="36850.94"/>
    <x v="1"/>
    <x v="2"/>
    <n v="2"/>
  </r>
  <r>
    <s v="ORD-00552"/>
    <x v="507"/>
    <s v="Sandals"/>
    <s v="Footwear"/>
    <s v="Physical Store"/>
    <s v="Abuja"/>
    <s v="New"/>
    <s v="None"/>
    <n v="2"/>
    <n v="29405"/>
    <n v="58810"/>
    <n v="0"/>
    <n v="0"/>
    <n v="58810"/>
    <n v="34414.980000000003"/>
    <n v="24395.019999999997"/>
    <x v="1"/>
    <x v="2"/>
    <n v="2"/>
  </r>
  <r>
    <s v="ORD-01159"/>
    <x v="508"/>
    <s v="Jeans"/>
    <s v="Clothing"/>
    <s v="Physical Store"/>
    <s v="Oyo"/>
    <s v="Returning"/>
    <s v="None"/>
    <n v="1"/>
    <n v="42155"/>
    <n v="42155"/>
    <n v="4215.5"/>
    <n v="0.1"/>
    <n v="37939.5"/>
    <n v="26360.43"/>
    <n v="11579.07"/>
    <x v="1"/>
    <x v="2"/>
    <n v="2"/>
  </r>
  <r>
    <s v="ORD-00309"/>
    <x v="509"/>
    <s v="Sandals"/>
    <s v="Footwear"/>
    <s v="Website"/>
    <s v="Delta"/>
    <s v="Returning"/>
    <s v="Valentine Promo"/>
    <n v="1"/>
    <n v="28754"/>
    <n v="28754"/>
    <n v="2875.4"/>
    <n v="0.1"/>
    <n v="25878.6"/>
    <n v="18552.45"/>
    <n v="7326.1499999999978"/>
    <x v="1"/>
    <x v="2"/>
    <n v="2"/>
  </r>
  <r>
    <s v="ORD-00957"/>
    <x v="510"/>
    <s v="Handbag"/>
    <s v="Accessories"/>
    <s v="Website"/>
    <s v="Abuja"/>
    <s v="Returning"/>
    <s v="Valentine Promo"/>
    <n v="2"/>
    <n v="47044"/>
    <n v="94088"/>
    <n v="14113.2"/>
    <n v="0.15"/>
    <n v="79974.8"/>
    <n v="61306.84"/>
    <n v="18667.960000000006"/>
    <x v="1"/>
    <x v="2"/>
    <n v="2"/>
  </r>
  <r>
    <s v="ORD-00047"/>
    <x v="511"/>
    <s v="Handbag"/>
    <s v="Accessories"/>
    <s v="Physical Store"/>
    <s v="Lagos"/>
    <s v="Returning"/>
    <s v="Valentine Promo"/>
    <n v="2"/>
    <n v="46705"/>
    <n v="93410"/>
    <n v="4670.5"/>
    <n v="0.05"/>
    <n v="88739.5"/>
    <n v="48885.93"/>
    <n v="39853.57"/>
    <x v="1"/>
    <x v="2"/>
    <n v="2"/>
  </r>
  <r>
    <s v="ORD-00388"/>
    <x v="511"/>
    <s v="Jeans"/>
    <s v="Clothing"/>
    <s v="Website"/>
    <s v="Abuja"/>
    <s v="New"/>
    <s v="None"/>
    <n v="1"/>
    <n v="40517"/>
    <n v="40517"/>
    <n v="0"/>
    <n v="0"/>
    <n v="40517"/>
    <n v="26631.84"/>
    <n v="13885.16"/>
    <x v="1"/>
    <x v="2"/>
    <n v="2"/>
  </r>
  <r>
    <s v="ORD-00041"/>
    <x v="512"/>
    <s v="Handbag"/>
    <s v="Accessories"/>
    <s v="WhatsApp"/>
    <s v="Rivers"/>
    <s v="Returning"/>
    <s v="Valentine Promo"/>
    <n v="1"/>
    <n v="46061"/>
    <n v="46061"/>
    <n v="2303.0500000000002"/>
    <n v="0.05"/>
    <n v="43757.95"/>
    <n v="24352.29"/>
    <n v="19405.659999999996"/>
    <x v="1"/>
    <x v="2"/>
    <n v="2"/>
  </r>
  <r>
    <s v="ORD-00760"/>
    <x v="512"/>
    <s v="Dress"/>
    <s v="Clothing"/>
    <s v="Physical Store"/>
    <s v="Delta"/>
    <s v="New"/>
    <s v="Valentine Promo"/>
    <n v="3"/>
    <n v="50166"/>
    <n v="150498"/>
    <n v="7524.9"/>
    <n v="0.05"/>
    <n v="142973.1"/>
    <n v="97227.5"/>
    <n v="45745.600000000006"/>
    <x v="1"/>
    <x v="2"/>
    <n v="2"/>
  </r>
  <r>
    <s v="ORD-01076"/>
    <x v="513"/>
    <s v="Hoodie"/>
    <s v="Clothing"/>
    <s v="WhatsApp"/>
    <s v="Rivers"/>
    <s v="New"/>
    <s v="None"/>
    <n v="1"/>
    <n v="35507"/>
    <n v="35507"/>
    <n v="0"/>
    <n v="0"/>
    <n v="35507"/>
    <n v="17851.23"/>
    <n v="17655.77"/>
    <x v="1"/>
    <x v="2"/>
    <n v="2"/>
  </r>
  <r>
    <s v="ORD-00929"/>
    <x v="513"/>
    <s v="Polo Shirt"/>
    <s v="Clothing"/>
    <s v="Website"/>
    <s v="Abuja"/>
    <s v="New"/>
    <s v="None"/>
    <n v="3"/>
    <n v="26289"/>
    <n v="78867"/>
    <n v="0"/>
    <n v="0"/>
    <n v="78867"/>
    <n v="53067.86"/>
    <n v="25799.14"/>
    <x v="1"/>
    <x v="2"/>
    <n v="2"/>
  </r>
  <r>
    <s v="ORD-00857"/>
    <x v="514"/>
    <s v="Cap"/>
    <s v="Accessories"/>
    <s v="WhatsApp"/>
    <s v="Lagos"/>
    <s v="Returning"/>
    <s v="None"/>
    <n v="2"/>
    <n v="12855"/>
    <n v="25710"/>
    <n v="0"/>
    <n v="0"/>
    <n v="25710"/>
    <n v="15422.37"/>
    <n v="10287.629999999999"/>
    <x v="1"/>
    <x v="2"/>
    <n v="2"/>
  </r>
  <r>
    <s v="ORD-00091"/>
    <x v="515"/>
    <s v="Dress"/>
    <s v="Clothing"/>
    <s v="WhatsApp"/>
    <s v="Rivers"/>
    <s v="Returning"/>
    <s v="Valentine Promo"/>
    <n v="4"/>
    <n v="52241"/>
    <n v="208964"/>
    <n v="41792.800000000003"/>
    <n v="0.2"/>
    <n v="167171.20000000001"/>
    <n v="102696.62"/>
    <n v="64474.580000000016"/>
    <x v="1"/>
    <x v="2"/>
    <n v="2"/>
  </r>
  <r>
    <s v="ORD-01180"/>
    <x v="516"/>
    <s v="Cap"/>
    <s v="Accessories"/>
    <s v="Website"/>
    <s v="Oyo"/>
    <s v="New"/>
    <s v="Valentine Promo"/>
    <n v="2"/>
    <n v="12529"/>
    <n v="25058"/>
    <n v="1252.9000000000001"/>
    <n v="0.05"/>
    <n v="23805.1"/>
    <n v="13093.43"/>
    <n v="10711.669999999998"/>
    <x v="1"/>
    <x v="2"/>
    <n v="2"/>
  </r>
  <r>
    <s v="ORD-00500"/>
    <x v="517"/>
    <s v="Polo Shirt"/>
    <s v="Clothing"/>
    <s v="WhatsApp"/>
    <s v="Rivers"/>
    <s v="New"/>
    <s v="Valentine Promo"/>
    <n v="5"/>
    <n v="24125"/>
    <n v="120625"/>
    <n v="18093.75"/>
    <n v="0.15"/>
    <n v="102531.25"/>
    <n v="59266.09"/>
    <n v="43265.16"/>
    <x v="1"/>
    <x v="2"/>
    <n v="2"/>
  </r>
  <r>
    <s v="ORD-00610"/>
    <x v="518"/>
    <s v="Jeans"/>
    <s v="Clothing"/>
    <s v="Website"/>
    <s v="Lagos"/>
    <s v="Returning"/>
    <s v="Valentine Promo"/>
    <n v="4"/>
    <n v="39123"/>
    <n v="156492"/>
    <n v="23473.8"/>
    <n v="0.15"/>
    <n v="133018.20000000001"/>
    <n v="105092.72"/>
    <n v="27925.48000000001"/>
    <x v="1"/>
    <x v="2"/>
    <n v="2"/>
  </r>
  <r>
    <s v="ORD-00759"/>
    <x v="518"/>
    <s v="Belt"/>
    <s v="Accessories"/>
    <s v="Instagram"/>
    <s v="Abuja"/>
    <s v="New"/>
    <s v="Valentine Promo"/>
    <n v="5"/>
    <n v="14590"/>
    <n v="72950"/>
    <n v="10942.5"/>
    <n v="0.15"/>
    <n v="62007.5"/>
    <n v="47378.06"/>
    <n v="14629.440000000002"/>
    <x v="1"/>
    <x v="2"/>
    <n v="2"/>
  </r>
  <r>
    <s v="ORD-00270"/>
    <x v="518"/>
    <s v="Polo Shirt"/>
    <s v="Clothing"/>
    <s v="Instagram"/>
    <s v="Oyo"/>
    <s v="New"/>
    <s v="Valentine Promo"/>
    <n v="1"/>
    <n v="25042"/>
    <n v="25042"/>
    <n v="2504.1999999999998"/>
    <n v="0.1"/>
    <n v="22537.8"/>
    <n v="16580.84"/>
    <n v="5956.9599999999991"/>
    <x v="1"/>
    <x v="2"/>
    <n v="2"/>
  </r>
  <r>
    <s v="ORD-00338"/>
    <x v="519"/>
    <s v="Jeans"/>
    <s v="Clothing"/>
    <s v="Instagram"/>
    <s v="Abuja"/>
    <s v="Returning"/>
    <s v="Valentine Promo"/>
    <n v="1"/>
    <n v="44545"/>
    <n v="44545"/>
    <n v="2227.25"/>
    <n v="0.05"/>
    <n v="42317.75"/>
    <n v="29131.88"/>
    <n v="13185.869999999999"/>
    <x v="1"/>
    <x v="2"/>
    <n v="2"/>
  </r>
  <r>
    <s v="ORD-00327"/>
    <x v="520"/>
    <s v="T-Shirt"/>
    <s v="Clothing"/>
    <s v="Physical Store"/>
    <s v="Lagos"/>
    <s v="New"/>
    <s v="None"/>
    <n v="3"/>
    <n v="19073"/>
    <n v="57219"/>
    <n v="0"/>
    <n v="0"/>
    <n v="57219"/>
    <n v="35821.949999999997"/>
    <n v="21397.050000000003"/>
    <x v="2"/>
    <x v="2"/>
    <n v="3"/>
  </r>
  <r>
    <s v="ORD-00068"/>
    <x v="521"/>
    <s v="Sandals"/>
    <s v="Footwear"/>
    <s v="Instagram"/>
    <s v="Delta"/>
    <s v="New"/>
    <s v="Easter Sale"/>
    <n v="2"/>
    <n v="31482"/>
    <n v="62964"/>
    <n v="12592.8"/>
    <n v="0.2"/>
    <n v="50371.199999999997"/>
    <n v="33740.74"/>
    <n v="16630.46"/>
    <x v="2"/>
    <x v="2"/>
    <n v="3"/>
  </r>
  <r>
    <s v="ORD-00367"/>
    <x v="521"/>
    <s v="Cap"/>
    <s v="Accessories"/>
    <s v="WhatsApp"/>
    <s v="Lagos"/>
    <s v="New"/>
    <s v="None"/>
    <n v="1"/>
    <n v="11305"/>
    <n v="11305"/>
    <n v="0"/>
    <n v="0"/>
    <n v="11305"/>
    <n v="6557.03"/>
    <n v="4747.97"/>
    <x v="2"/>
    <x v="2"/>
    <n v="3"/>
  </r>
  <r>
    <s v="ORD-00828"/>
    <x v="522"/>
    <s v="T-Shirt"/>
    <s v="Clothing"/>
    <s v="Website"/>
    <s v="Rivers"/>
    <s v="Returning"/>
    <s v="Easter Sale"/>
    <n v="1"/>
    <n v="18654"/>
    <n v="18654"/>
    <n v="1865.4"/>
    <n v="0.1"/>
    <n v="16788.599999999999"/>
    <n v="9722.65"/>
    <n v="7065.9499999999989"/>
    <x v="2"/>
    <x v="2"/>
    <n v="3"/>
  </r>
  <r>
    <s v="ORD-00643"/>
    <x v="522"/>
    <s v="Dress"/>
    <s v="Clothing"/>
    <s v="WhatsApp"/>
    <s v="Rivers"/>
    <s v="New"/>
    <s v="Easter Sale"/>
    <n v="1"/>
    <n v="47077"/>
    <n v="47077"/>
    <n v="9415.4"/>
    <n v="0.2"/>
    <n v="37661.599999999999"/>
    <n v="27168.11"/>
    <n v="10493.489999999998"/>
    <x v="2"/>
    <x v="2"/>
    <n v="3"/>
  </r>
  <r>
    <s v="ORD-01024"/>
    <x v="522"/>
    <s v="Cap"/>
    <s v="Accessories"/>
    <s v="Physical Store"/>
    <s v="Oyo"/>
    <s v="New"/>
    <s v="None"/>
    <n v="1"/>
    <n v="12588"/>
    <n v="12588"/>
    <n v="0"/>
    <n v="0"/>
    <n v="12588"/>
    <n v="7156.3"/>
    <n v="5431.7"/>
    <x v="2"/>
    <x v="2"/>
    <n v="3"/>
  </r>
  <r>
    <s v="ORD-00109"/>
    <x v="523"/>
    <s v="Dress"/>
    <s v="Clothing"/>
    <s v="Website"/>
    <s v="Lagos"/>
    <s v="New"/>
    <s v="None"/>
    <n v="2"/>
    <n v="51917"/>
    <n v="103834"/>
    <n v="0"/>
    <n v="0"/>
    <n v="103834"/>
    <n v="62586.51"/>
    <n v="41247.49"/>
    <x v="2"/>
    <x v="2"/>
    <n v="3"/>
  </r>
  <r>
    <s v="ORD-00454"/>
    <x v="523"/>
    <s v="Belt"/>
    <s v="Accessories"/>
    <s v="WhatsApp"/>
    <s v="Lagos"/>
    <s v="Returning"/>
    <s v="Easter Sale"/>
    <n v="1"/>
    <n v="14606"/>
    <n v="14606"/>
    <n v="730.3"/>
    <n v="0.05"/>
    <n v="13875.7"/>
    <n v="9338.0400000000009"/>
    <n v="4537.66"/>
    <x v="2"/>
    <x v="2"/>
    <n v="3"/>
  </r>
  <r>
    <s v="ORD-00542"/>
    <x v="523"/>
    <s v="Jeans"/>
    <s v="Clothing"/>
    <s v="Physical Store"/>
    <s v="Delta"/>
    <s v="New"/>
    <s v="Easter Sale"/>
    <n v="3"/>
    <n v="44612"/>
    <n v="133836"/>
    <n v="20075.400000000001"/>
    <n v="0.15"/>
    <n v="113760.6"/>
    <n v="70759.850000000006"/>
    <n v="43000.75"/>
    <x v="2"/>
    <x v="2"/>
    <n v="3"/>
  </r>
  <r>
    <s v="ORD-00130"/>
    <x v="524"/>
    <s v="Dress"/>
    <s v="Clothing"/>
    <s v="Physical Store"/>
    <s v="Lagos"/>
    <s v="New"/>
    <s v="Easter Sale"/>
    <n v="1"/>
    <n v="51927"/>
    <n v="51927"/>
    <n v="7789.05"/>
    <n v="0.15"/>
    <n v="44137.95"/>
    <n v="33534.639999999999"/>
    <n v="10603.309999999998"/>
    <x v="2"/>
    <x v="2"/>
    <n v="3"/>
  </r>
  <r>
    <s v="ORD-00606"/>
    <x v="525"/>
    <s v="Hoodie"/>
    <s v="Clothing"/>
    <s v="WhatsApp"/>
    <s v="Oyo"/>
    <s v="Returning"/>
    <s v="None"/>
    <n v="2"/>
    <n v="40831"/>
    <n v="81662"/>
    <n v="0"/>
    <n v="0"/>
    <n v="81662"/>
    <n v="52445.04"/>
    <n v="29216.959999999999"/>
    <x v="2"/>
    <x v="2"/>
    <n v="3"/>
  </r>
  <r>
    <s v="ORD-00530"/>
    <x v="526"/>
    <s v="Handbag"/>
    <s v="Accessories"/>
    <s v="Physical Store"/>
    <s v="Lagos"/>
    <s v="Returning"/>
    <s v="Easter Sale"/>
    <n v="3"/>
    <n v="47695"/>
    <n v="143085"/>
    <n v="7154.25"/>
    <n v="0.05"/>
    <n v="135930.75"/>
    <n v="89361.84"/>
    <n v="46568.91"/>
    <x v="2"/>
    <x v="2"/>
    <n v="3"/>
  </r>
  <r>
    <s v="ORD-00232"/>
    <x v="526"/>
    <s v="Polo Shirt"/>
    <s v="Clothing"/>
    <s v="Physical Store"/>
    <s v="Delta"/>
    <s v="New"/>
    <s v="None"/>
    <n v="1"/>
    <n v="23280"/>
    <n v="23280"/>
    <n v="0"/>
    <n v="0"/>
    <n v="23280"/>
    <n v="14007.15"/>
    <n v="9272.85"/>
    <x v="2"/>
    <x v="2"/>
    <n v="3"/>
  </r>
  <r>
    <s v="ORD-00594"/>
    <x v="526"/>
    <s v="T-Shirt"/>
    <s v="Clothing"/>
    <s v="Physical Store"/>
    <s v="Lagos"/>
    <s v="New"/>
    <s v="Easter Sale"/>
    <n v="1"/>
    <n v="17823"/>
    <n v="17823"/>
    <n v="1782.3"/>
    <n v="0.1"/>
    <n v="16040.7"/>
    <n v="9020.0499999999993"/>
    <n v="7020.6500000000015"/>
    <x v="2"/>
    <x v="2"/>
    <n v="3"/>
  </r>
  <r>
    <s v="ORD-00771"/>
    <x v="526"/>
    <s v="Cap"/>
    <s v="Accessories"/>
    <s v="Instagram"/>
    <s v="Delta"/>
    <s v="Returning"/>
    <s v="None"/>
    <n v="3"/>
    <n v="11163"/>
    <n v="33489"/>
    <n v="0"/>
    <n v="0"/>
    <n v="33489"/>
    <n v="18471.28"/>
    <n v="15017.720000000001"/>
    <x v="2"/>
    <x v="2"/>
    <n v="3"/>
  </r>
  <r>
    <s v="ORD-00928"/>
    <x v="527"/>
    <s v="Handbag"/>
    <s v="Accessories"/>
    <s v="Website"/>
    <s v="Abuja"/>
    <s v="New"/>
    <s v="None"/>
    <n v="1"/>
    <n v="45121"/>
    <n v="45121"/>
    <n v="0"/>
    <n v="0"/>
    <n v="45121"/>
    <n v="23551.94"/>
    <n v="21569.06"/>
    <x v="2"/>
    <x v="2"/>
    <n v="3"/>
  </r>
  <r>
    <s v="ORD-00784"/>
    <x v="527"/>
    <s v="T-Shirt"/>
    <s v="Clothing"/>
    <s v="Website"/>
    <s v="Rivers"/>
    <s v="Returning"/>
    <s v="None"/>
    <n v="1"/>
    <n v="19313"/>
    <n v="19313"/>
    <n v="0"/>
    <n v="0"/>
    <n v="19313"/>
    <n v="11036.67"/>
    <n v="8276.33"/>
    <x v="2"/>
    <x v="2"/>
    <n v="3"/>
  </r>
  <r>
    <s v="ORD-00214"/>
    <x v="528"/>
    <s v="Handbag"/>
    <s v="Accessories"/>
    <s v="WhatsApp"/>
    <s v="Oyo"/>
    <s v="Returning"/>
    <s v="None"/>
    <n v="2"/>
    <n v="45840"/>
    <n v="91680"/>
    <n v="0"/>
    <n v="0"/>
    <n v="91680"/>
    <n v="57536.85"/>
    <n v="34143.15"/>
    <x v="2"/>
    <x v="2"/>
    <n v="3"/>
  </r>
  <r>
    <s v="ORD-00332"/>
    <x v="529"/>
    <s v="Jeans"/>
    <s v="Clothing"/>
    <s v="WhatsApp"/>
    <s v="Lagos"/>
    <s v="New"/>
    <s v="Easter Sale"/>
    <n v="3"/>
    <n v="40866"/>
    <n v="122598"/>
    <n v="18389.7"/>
    <n v="0.15"/>
    <n v="104208.3"/>
    <n v="68555.259999999995"/>
    <n v="35653.040000000008"/>
    <x v="2"/>
    <x v="2"/>
    <n v="3"/>
  </r>
  <r>
    <s v="ORD-00360"/>
    <x v="529"/>
    <s v="T-Shirt"/>
    <s v="Clothing"/>
    <s v="Website"/>
    <s v="Lagos"/>
    <s v="New"/>
    <s v="None"/>
    <n v="2"/>
    <n v="16578"/>
    <n v="33156"/>
    <n v="0"/>
    <n v="0"/>
    <n v="33156"/>
    <n v="17808.919999999998"/>
    <n v="15347.080000000002"/>
    <x v="2"/>
    <x v="2"/>
    <n v="3"/>
  </r>
  <r>
    <s v="ORD-00655"/>
    <x v="530"/>
    <s v="Sneakers"/>
    <s v="Footwear"/>
    <s v="WhatsApp"/>
    <s v="Abuja"/>
    <s v="New"/>
    <s v="None"/>
    <n v="2"/>
    <n v="66593"/>
    <n v="133186"/>
    <n v="0"/>
    <n v="0"/>
    <n v="133186"/>
    <n v="89666.83"/>
    <n v="43519.17"/>
    <x v="2"/>
    <x v="2"/>
    <n v="3"/>
  </r>
  <r>
    <s v="ORD-00995"/>
    <x v="531"/>
    <s v="Polo Shirt"/>
    <s v="Clothing"/>
    <s v="Physical Store"/>
    <s v="Lagos"/>
    <s v="New"/>
    <s v="Easter Sale"/>
    <n v="1"/>
    <n v="24272"/>
    <n v="24272"/>
    <n v="3640.8"/>
    <n v="0.15"/>
    <n v="20631.2"/>
    <n v="13746.36"/>
    <n v="6884.84"/>
    <x v="2"/>
    <x v="2"/>
    <n v="3"/>
  </r>
  <r>
    <s v="ORD-00097"/>
    <x v="531"/>
    <s v="Handbag"/>
    <s v="Accessories"/>
    <s v="Physical Store"/>
    <s v="Delta"/>
    <s v="New"/>
    <s v="Easter Sale"/>
    <n v="2"/>
    <n v="45351"/>
    <n v="90702"/>
    <n v="13605.3"/>
    <n v="0.15"/>
    <n v="77096.7"/>
    <n v="47639.360000000001"/>
    <n v="29457.339999999997"/>
    <x v="2"/>
    <x v="2"/>
    <n v="3"/>
  </r>
  <r>
    <s v="ORD-01101"/>
    <x v="531"/>
    <s v="Sandals"/>
    <s v="Footwear"/>
    <s v="WhatsApp"/>
    <s v="Lagos"/>
    <s v="Returning"/>
    <s v="None"/>
    <n v="1"/>
    <n v="31634"/>
    <n v="31634"/>
    <n v="0"/>
    <n v="0"/>
    <n v="31634"/>
    <n v="16199.1"/>
    <n v="15434.9"/>
    <x v="2"/>
    <x v="2"/>
    <n v="3"/>
  </r>
  <r>
    <s v="ORD-00972"/>
    <x v="531"/>
    <s v="Handbag"/>
    <s v="Accessories"/>
    <s v="WhatsApp"/>
    <s v="Oyo"/>
    <s v="New"/>
    <s v="Easter Sale"/>
    <n v="2"/>
    <n v="45857"/>
    <n v="91714"/>
    <n v="4585.7"/>
    <n v="0.05"/>
    <n v="87128.3"/>
    <n v="53604.51"/>
    <n v="33523.79"/>
    <x v="2"/>
    <x v="2"/>
    <n v="3"/>
  </r>
  <r>
    <s v="ORD-00592"/>
    <x v="532"/>
    <s v="Handbag"/>
    <s v="Accessories"/>
    <s v="Instagram"/>
    <s v="Rivers"/>
    <s v="New"/>
    <s v="None"/>
    <n v="3"/>
    <n v="43441"/>
    <n v="130323"/>
    <n v="0"/>
    <n v="0"/>
    <n v="130323"/>
    <n v="75125.77"/>
    <n v="55197.229999999996"/>
    <x v="2"/>
    <x v="2"/>
    <n v="3"/>
  </r>
  <r>
    <s v="ORD-00012"/>
    <x v="532"/>
    <s v="Sneakers"/>
    <s v="Footwear"/>
    <s v="Website"/>
    <s v="Abuja"/>
    <s v="New"/>
    <s v="Easter Sale"/>
    <n v="3"/>
    <n v="69283"/>
    <n v="207849"/>
    <n v="20784.900000000001"/>
    <n v="0.1"/>
    <n v="187064.1"/>
    <n v="107477.01"/>
    <n v="79587.090000000011"/>
    <x v="2"/>
    <x v="2"/>
    <n v="3"/>
  </r>
  <r>
    <s v="ORD-00677"/>
    <x v="532"/>
    <s v="Hoodie"/>
    <s v="Clothing"/>
    <s v="WhatsApp"/>
    <s v="Lagos"/>
    <s v="New"/>
    <s v="None"/>
    <n v="4"/>
    <n v="36947"/>
    <n v="147788"/>
    <n v="0"/>
    <n v="0"/>
    <n v="147788"/>
    <n v="98440.07"/>
    <n v="49347.929999999993"/>
    <x v="2"/>
    <x v="2"/>
    <n v="3"/>
  </r>
  <r>
    <s v="ORD-00815"/>
    <x v="532"/>
    <s v="Dress"/>
    <s v="Clothing"/>
    <s v="Instagram"/>
    <s v="Oyo"/>
    <s v="New"/>
    <s v="None"/>
    <n v="5"/>
    <n v="52730"/>
    <n v="263650"/>
    <n v="0"/>
    <n v="0"/>
    <n v="263650"/>
    <n v="167041.31"/>
    <n v="96608.69"/>
    <x v="2"/>
    <x v="2"/>
    <n v="3"/>
  </r>
  <r>
    <s v="ORD-01154"/>
    <x v="533"/>
    <s v="Belt"/>
    <s v="Accessories"/>
    <s v="WhatsApp"/>
    <s v="Abuja"/>
    <s v="New"/>
    <s v="None"/>
    <n v="4"/>
    <n v="15527"/>
    <n v="62108"/>
    <n v="0"/>
    <n v="0"/>
    <n v="62108"/>
    <n v="31134.880000000001"/>
    <n v="30973.119999999999"/>
    <x v="2"/>
    <x v="2"/>
    <n v="3"/>
  </r>
  <r>
    <s v="ORD-01030"/>
    <x v="533"/>
    <s v="Cap"/>
    <s v="Accessories"/>
    <s v="Website"/>
    <s v="Delta"/>
    <s v="New"/>
    <s v="Easter Sale"/>
    <n v="5"/>
    <n v="12569"/>
    <n v="62845"/>
    <n v="6284.5"/>
    <n v="0.1"/>
    <n v="56560.5"/>
    <n v="37291.54"/>
    <n v="19268.96"/>
    <x v="2"/>
    <x v="2"/>
    <n v="3"/>
  </r>
  <r>
    <s v="ORD-00686"/>
    <x v="534"/>
    <s v="T-Shirt"/>
    <s v="Clothing"/>
    <s v="Physical Store"/>
    <s v="Abuja"/>
    <s v="New"/>
    <s v="None"/>
    <n v="2"/>
    <n v="19278"/>
    <n v="38556"/>
    <n v="0"/>
    <n v="0"/>
    <n v="38556"/>
    <n v="25062.73"/>
    <n v="13493.27"/>
    <x v="2"/>
    <x v="2"/>
    <n v="3"/>
  </r>
  <r>
    <s v="ORD-00945"/>
    <x v="535"/>
    <s v="Cap"/>
    <s v="Accessories"/>
    <s v="Website"/>
    <s v="Rivers"/>
    <s v="New"/>
    <s v="Easter Sale"/>
    <n v="2"/>
    <n v="12223"/>
    <n v="24446"/>
    <n v="4889.2"/>
    <n v="0.2"/>
    <n v="19556.8"/>
    <n v="16424.68"/>
    <n v="3132.119999999999"/>
    <x v="2"/>
    <x v="2"/>
    <n v="3"/>
  </r>
  <r>
    <s v="ORD-00858"/>
    <x v="535"/>
    <s v="Jeans"/>
    <s v="Clothing"/>
    <s v="Instagram"/>
    <s v="Lagos"/>
    <s v="Returning"/>
    <s v="None"/>
    <n v="1"/>
    <n v="42368"/>
    <n v="42368"/>
    <n v="0"/>
    <n v="0"/>
    <n v="42368"/>
    <n v="20368.57"/>
    <n v="21999.43"/>
    <x v="2"/>
    <x v="2"/>
    <n v="3"/>
  </r>
  <r>
    <s v="ORD-01122"/>
    <x v="535"/>
    <s v="Handbag"/>
    <s v="Accessories"/>
    <s v="Instagram"/>
    <s v="Abuja"/>
    <s v="Returning"/>
    <s v="None"/>
    <n v="1"/>
    <n v="44967"/>
    <n v="44967"/>
    <n v="0"/>
    <n v="0"/>
    <n v="44967"/>
    <n v="24692.11"/>
    <n v="20274.89"/>
    <x v="2"/>
    <x v="2"/>
    <n v="3"/>
  </r>
  <r>
    <s v="ORD-00816"/>
    <x v="536"/>
    <s v="Belt"/>
    <s v="Accessories"/>
    <s v="Website"/>
    <s v="Rivers"/>
    <s v="Returning"/>
    <s v="Easter Sale"/>
    <n v="1"/>
    <n v="14506"/>
    <n v="14506"/>
    <n v="2175.9"/>
    <n v="0.15"/>
    <n v="12330.1"/>
    <n v="9166.1299999999992"/>
    <n v="3163.9700000000012"/>
    <x v="2"/>
    <x v="2"/>
    <n v="3"/>
  </r>
  <r>
    <s v="ORD-00964"/>
    <x v="536"/>
    <s v="Sneakers"/>
    <s v="Footwear"/>
    <s v="WhatsApp"/>
    <s v="Oyo"/>
    <s v="Returning"/>
    <s v="None"/>
    <n v="2"/>
    <n v="68652"/>
    <n v="137304"/>
    <n v="0"/>
    <n v="0"/>
    <n v="137304"/>
    <n v="90544.94"/>
    <n v="46759.06"/>
    <x v="2"/>
    <x v="2"/>
    <n v="3"/>
  </r>
  <r>
    <s v="ORD-00489"/>
    <x v="536"/>
    <s v="Handbag"/>
    <s v="Accessories"/>
    <s v="WhatsApp"/>
    <s v="Lagos"/>
    <s v="Returning"/>
    <s v="Easter Sale"/>
    <n v="2"/>
    <n v="42614"/>
    <n v="85228"/>
    <n v="17045.599999999999"/>
    <n v="0.2"/>
    <n v="68182.399999999994"/>
    <n v="48629.11"/>
    <n v="19553.289999999994"/>
    <x v="2"/>
    <x v="2"/>
    <n v="3"/>
  </r>
  <r>
    <s v="ORD-00835"/>
    <x v="536"/>
    <s v="T-Shirt"/>
    <s v="Clothing"/>
    <s v="Physical Store"/>
    <s v="Rivers"/>
    <s v="New"/>
    <s v="None"/>
    <n v="1"/>
    <n v="18837"/>
    <n v="18837"/>
    <n v="0"/>
    <n v="0"/>
    <n v="18837"/>
    <n v="11162.1"/>
    <n v="7674.9"/>
    <x v="2"/>
    <x v="2"/>
    <n v="3"/>
  </r>
  <r>
    <s v="ORD-00238"/>
    <x v="537"/>
    <s v="Dress"/>
    <s v="Clothing"/>
    <s v="Physical Store"/>
    <s v="Lagos"/>
    <s v="New"/>
    <s v="None"/>
    <n v="2"/>
    <n v="51276"/>
    <n v="102552"/>
    <n v="0"/>
    <n v="0"/>
    <n v="102552"/>
    <n v="54802.68"/>
    <n v="47749.32"/>
    <x v="2"/>
    <x v="2"/>
    <n v="3"/>
  </r>
  <r>
    <s v="ORD-00196"/>
    <x v="537"/>
    <s v="Cap"/>
    <s v="Accessories"/>
    <s v="Website"/>
    <s v="Oyo"/>
    <s v="New"/>
    <s v="Easter Sale"/>
    <n v="1"/>
    <n v="12684"/>
    <n v="12684"/>
    <n v="2536.8000000000002"/>
    <n v="0.2"/>
    <n v="10147.200000000001"/>
    <n v="7932.72"/>
    <n v="2214.4800000000005"/>
    <x v="2"/>
    <x v="2"/>
    <n v="3"/>
  </r>
  <r>
    <s v="ORD-00216"/>
    <x v="537"/>
    <s v="Belt"/>
    <s v="Accessories"/>
    <s v="Physical Store"/>
    <s v="Abuja"/>
    <s v="Returning"/>
    <s v="None"/>
    <n v="3"/>
    <n v="15084"/>
    <n v="45252"/>
    <n v="0"/>
    <n v="0"/>
    <n v="45252"/>
    <n v="28816.36"/>
    <n v="16435.64"/>
    <x v="2"/>
    <x v="2"/>
    <n v="3"/>
  </r>
  <r>
    <s v="ORD-00060"/>
    <x v="537"/>
    <s v="Sandals"/>
    <s v="Footwear"/>
    <s v="WhatsApp"/>
    <s v="Lagos"/>
    <s v="Returning"/>
    <s v="None"/>
    <n v="2"/>
    <n v="29895"/>
    <n v="59790"/>
    <n v="0"/>
    <n v="0"/>
    <n v="59790"/>
    <n v="31480.05"/>
    <n v="28309.95"/>
    <x v="2"/>
    <x v="2"/>
    <n v="3"/>
  </r>
  <r>
    <s v="ORD-01148"/>
    <x v="538"/>
    <s v="Dress"/>
    <s v="Clothing"/>
    <s v="Physical Store"/>
    <s v="Lagos"/>
    <s v="New"/>
    <s v="Easter Sale"/>
    <n v="3"/>
    <n v="52610"/>
    <n v="157830"/>
    <n v="31566"/>
    <n v="0.2"/>
    <n v="126264"/>
    <n v="84358.44"/>
    <n v="41905.56"/>
    <x v="2"/>
    <x v="2"/>
    <n v="3"/>
  </r>
  <r>
    <s v="ORD-01062"/>
    <x v="538"/>
    <s v="Jeans"/>
    <s v="Clothing"/>
    <s v="WhatsApp"/>
    <s v="Delta"/>
    <s v="New"/>
    <s v="Easter Sale"/>
    <n v="1"/>
    <n v="41089"/>
    <n v="41089"/>
    <n v="6163.35"/>
    <n v="0.15"/>
    <n v="34925.65"/>
    <n v="20721.599999999999"/>
    <n v="14204.050000000003"/>
    <x v="2"/>
    <x v="2"/>
    <n v="3"/>
  </r>
  <r>
    <s v="ORD-01022"/>
    <x v="539"/>
    <s v="Dress"/>
    <s v="Clothing"/>
    <s v="Physical Store"/>
    <s v="Abuja"/>
    <s v="Returning"/>
    <s v="Easter Sale"/>
    <n v="2"/>
    <n v="52004"/>
    <n v="104008"/>
    <n v="5200.3999999999996"/>
    <n v="0.05"/>
    <n v="98807.6"/>
    <n v="64690.8"/>
    <n v="34116.800000000003"/>
    <x v="2"/>
    <x v="2"/>
    <n v="3"/>
  </r>
  <r>
    <s v="ORD-01013"/>
    <x v="540"/>
    <s v="Cap"/>
    <s v="Accessories"/>
    <s v="Physical Store"/>
    <s v="Lagos"/>
    <s v="New"/>
    <s v="Easter Sale"/>
    <n v="2"/>
    <n v="12437"/>
    <n v="24874"/>
    <n v="2487.4"/>
    <n v="0.1"/>
    <n v="22386.6"/>
    <n v="13047.65"/>
    <n v="9338.9499999999989"/>
    <x v="2"/>
    <x v="2"/>
    <n v="3"/>
  </r>
  <r>
    <s v="ORD-00794"/>
    <x v="540"/>
    <s v="Dress"/>
    <s v="Clothing"/>
    <s v="Physical Store"/>
    <s v="Oyo"/>
    <s v="Returning"/>
    <s v="None"/>
    <n v="2"/>
    <n v="46636"/>
    <n v="93272"/>
    <n v="0"/>
    <n v="0"/>
    <n v="93272"/>
    <n v="47658.559999999998"/>
    <n v="45613.440000000002"/>
    <x v="2"/>
    <x v="2"/>
    <n v="3"/>
  </r>
  <r>
    <s v="ORD-00211"/>
    <x v="541"/>
    <s v="Polo Shirt"/>
    <s v="Clothing"/>
    <s v="Website"/>
    <s v="Oyo"/>
    <s v="Returning"/>
    <s v="Easter Sale"/>
    <n v="1"/>
    <n v="25893"/>
    <n v="25893"/>
    <n v="2589.3000000000002"/>
    <n v="0.1"/>
    <n v="23303.7"/>
    <n v="15481.19"/>
    <n v="7822.51"/>
    <x v="3"/>
    <x v="2"/>
    <n v="4"/>
  </r>
  <r>
    <s v="ORD-00953"/>
    <x v="542"/>
    <s v="Belt"/>
    <s v="Accessories"/>
    <s v="WhatsApp"/>
    <s v="Lagos"/>
    <s v="Returning"/>
    <s v="Easter Sale"/>
    <n v="1"/>
    <n v="14567"/>
    <n v="14567"/>
    <n v="1456.7"/>
    <n v="0.1"/>
    <n v="13110.3"/>
    <n v="7758.04"/>
    <n v="5352.2599999999993"/>
    <x v="3"/>
    <x v="2"/>
    <n v="4"/>
  </r>
  <r>
    <s v="ORD-00548"/>
    <x v="542"/>
    <s v="Jeans"/>
    <s v="Clothing"/>
    <s v="WhatsApp"/>
    <s v="Lagos"/>
    <s v="Returning"/>
    <s v="None"/>
    <n v="2"/>
    <n v="39294"/>
    <n v="78588"/>
    <n v="0"/>
    <n v="0"/>
    <n v="78588"/>
    <n v="47753.599999999999"/>
    <n v="30834.400000000001"/>
    <x v="3"/>
    <x v="2"/>
    <n v="4"/>
  </r>
  <r>
    <s v="ORD-00711"/>
    <x v="542"/>
    <s v="T-Shirt"/>
    <s v="Clothing"/>
    <s v="Physical Store"/>
    <s v="Lagos"/>
    <s v="Returning"/>
    <s v="None"/>
    <n v="2"/>
    <n v="18163"/>
    <n v="36326"/>
    <n v="0"/>
    <n v="0"/>
    <n v="36326"/>
    <n v="24190.09"/>
    <n v="12135.91"/>
    <x v="3"/>
    <x v="2"/>
    <n v="4"/>
  </r>
  <r>
    <s v="ORD-00315"/>
    <x v="542"/>
    <s v="Jeans"/>
    <s v="Clothing"/>
    <s v="Physical Store"/>
    <s v="Rivers"/>
    <s v="Returning"/>
    <s v="None"/>
    <n v="2"/>
    <n v="40494"/>
    <n v="80988"/>
    <n v="0"/>
    <n v="0"/>
    <n v="80988"/>
    <n v="42539.31"/>
    <n v="38448.69"/>
    <x v="3"/>
    <x v="2"/>
    <n v="4"/>
  </r>
  <r>
    <s v="ORD-00529"/>
    <x v="543"/>
    <s v="T-Shirt"/>
    <s v="Clothing"/>
    <s v="Website"/>
    <s v="Abuja"/>
    <s v="New"/>
    <s v="None"/>
    <n v="1"/>
    <n v="17244"/>
    <n v="17244"/>
    <n v="0"/>
    <n v="0"/>
    <n v="17244"/>
    <n v="9263.7900000000009"/>
    <n v="7980.2099999999991"/>
    <x v="3"/>
    <x v="2"/>
    <n v="4"/>
  </r>
  <r>
    <s v="ORD-00481"/>
    <x v="543"/>
    <s v="Polo Shirt"/>
    <s v="Clothing"/>
    <s v="Instagram"/>
    <s v="Abuja"/>
    <s v="New"/>
    <s v="None"/>
    <n v="2"/>
    <n v="23752"/>
    <n v="47504"/>
    <n v="0"/>
    <n v="0"/>
    <n v="47504"/>
    <n v="23343.49"/>
    <n v="24160.51"/>
    <x v="3"/>
    <x v="2"/>
    <n v="4"/>
  </r>
  <r>
    <s v="ORD-01162"/>
    <x v="544"/>
    <s v="Jeans"/>
    <s v="Clothing"/>
    <s v="Instagram"/>
    <s v="Delta"/>
    <s v="Returning"/>
    <s v="None"/>
    <n v="2"/>
    <n v="38857"/>
    <n v="77714"/>
    <n v="0"/>
    <n v="0"/>
    <n v="77714"/>
    <n v="45909.96"/>
    <n v="31804.04"/>
    <x v="3"/>
    <x v="2"/>
    <n v="4"/>
  </r>
  <r>
    <s v="ORD-00861"/>
    <x v="544"/>
    <s v="Hoodie"/>
    <s v="Clothing"/>
    <s v="WhatsApp"/>
    <s v="Abuja"/>
    <s v="Returning"/>
    <s v="Easter Sale"/>
    <n v="1"/>
    <n v="37977"/>
    <n v="37977"/>
    <n v="1898.85"/>
    <n v="0.05"/>
    <n v="36078.15"/>
    <n v="20771.41"/>
    <n v="15306.740000000002"/>
    <x v="3"/>
    <x v="2"/>
    <n v="4"/>
  </r>
  <r>
    <s v="ORD-00395"/>
    <x v="545"/>
    <s v="Handbag"/>
    <s v="Accessories"/>
    <s v="Physical Store"/>
    <s v="Oyo"/>
    <s v="Returning"/>
    <s v="None"/>
    <n v="2"/>
    <n v="46446"/>
    <n v="92892"/>
    <n v="0"/>
    <n v="0"/>
    <n v="92892"/>
    <n v="52896.44"/>
    <n v="39995.56"/>
    <x v="3"/>
    <x v="2"/>
    <n v="4"/>
  </r>
  <r>
    <s v="ORD-00541"/>
    <x v="546"/>
    <s v="Sandals"/>
    <s v="Footwear"/>
    <s v="Website"/>
    <s v="Lagos"/>
    <s v="Returning"/>
    <s v="Easter Sale"/>
    <n v="1"/>
    <n v="29532"/>
    <n v="29532"/>
    <n v="4429.8"/>
    <n v="0.15"/>
    <n v="25102.2"/>
    <n v="18016.03"/>
    <n v="7086.1700000000019"/>
    <x v="3"/>
    <x v="2"/>
    <n v="4"/>
  </r>
  <r>
    <s v="ORD-01088"/>
    <x v="546"/>
    <s v="Hoodie"/>
    <s v="Clothing"/>
    <s v="WhatsApp"/>
    <s v="Abuja"/>
    <s v="New"/>
    <s v="Easter Sale"/>
    <n v="1"/>
    <n v="37086"/>
    <n v="37086"/>
    <n v="5562.9"/>
    <n v="0.15"/>
    <n v="31523.1"/>
    <n v="22237.81"/>
    <n v="9285.2899999999972"/>
    <x v="3"/>
    <x v="2"/>
    <n v="4"/>
  </r>
  <r>
    <s v="ORD-00278"/>
    <x v="547"/>
    <s v="Sandals"/>
    <s v="Footwear"/>
    <s v="Website"/>
    <s v="Lagos"/>
    <s v="New"/>
    <s v="None"/>
    <n v="1"/>
    <n v="29744"/>
    <n v="29744"/>
    <n v="0"/>
    <n v="0"/>
    <n v="29744"/>
    <n v="15744.44"/>
    <n v="13999.56"/>
    <x v="3"/>
    <x v="2"/>
    <n v="4"/>
  </r>
  <r>
    <s v="ORD-00845"/>
    <x v="547"/>
    <s v="Polo Shirt"/>
    <s v="Clothing"/>
    <s v="Physical Store"/>
    <s v="Abuja"/>
    <s v="Returning"/>
    <s v="None"/>
    <n v="3"/>
    <n v="23165"/>
    <n v="69495"/>
    <n v="0"/>
    <n v="0"/>
    <n v="69495"/>
    <n v="33840.120000000003"/>
    <n v="35654.879999999997"/>
    <x v="3"/>
    <x v="2"/>
    <n v="4"/>
  </r>
  <r>
    <s v="ORD-00474"/>
    <x v="548"/>
    <s v="Handbag"/>
    <s v="Accessories"/>
    <s v="WhatsApp"/>
    <s v="Lagos"/>
    <s v="New"/>
    <s v="None"/>
    <n v="1"/>
    <n v="46622"/>
    <n v="46622"/>
    <n v="0"/>
    <n v="0"/>
    <n v="46622"/>
    <n v="31464.62"/>
    <n v="15157.380000000001"/>
    <x v="3"/>
    <x v="2"/>
    <n v="4"/>
  </r>
  <r>
    <s v="ORD-00925"/>
    <x v="549"/>
    <s v="Hoodie"/>
    <s v="Clothing"/>
    <s v="Website"/>
    <s v="Delta"/>
    <s v="New"/>
    <s v="None"/>
    <n v="3"/>
    <n v="40988"/>
    <n v="122964"/>
    <n v="0"/>
    <n v="0"/>
    <n v="122964"/>
    <n v="76489.59"/>
    <n v="46474.41"/>
    <x v="3"/>
    <x v="2"/>
    <n v="4"/>
  </r>
  <r>
    <s v="ORD-00651"/>
    <x v="549"/>
    <s v="Polo Shirt"/>
    <s v="Clothing"/>
    <s v="WhatsApp"/>
    <s v="Rivers"/>
    <s v="New"/>
    <s v="Easter Sale"/>
    <n v="5"/>
    <n v="26699"/>
    <n v="133495"/>
    <n v="26699"/>
    <n v="0.2"/>
    <n v="106796"/>
    <n v="72775.59"/>
    <n v="34020.410000000003"/>
    <x v="3"/>
    <x v="2"/>
    <n v="4"/>
  </r>
  <r>
    <s v="ORD-00323"/>
    <x v="549"/>
    <s v="Sneakers"/>
    <s v="Footwear"/>
    <s v="Website"/>
    <s v="Abuja"/>
    <s v="Returning"/>
    <s v="None"/>
    <n v="1"/>
    <n v="63156"/>
    <n v="63156"/>
    <n v="9473.4"/>
    <n v="0.15"/>
    <n v="53682.6"/>
    <n v="32187.040000000001"/>
    <n v="21495.559999999998"/>
    <x v="3"/>
    <x v="2"/>
    <n v="4"/>
  </r>
  <r>
    <s v="ORD-00031"/>
    <x v="550"/>
    <s v="Sneakers"/>
    <s v="Footwear"/>
    <s v="Website"/>
    <s v="Lagos"/>
    <s v="Returning"/>
    <s v="None"/>
    <n v="2"/>
    <n v="66934"/>
    <n v="133868"/>
    <n v="0"/>
    <n v="0"/>
    <n v="133868"/>
    <n v="72908.009999999995"/>
    <n v="60959.990000000005"/>
    <x v="3"/>
    <x v="2"/>
    <n v="4"/>
  </r>
  <r>
    <s v="ORD-00934"/>
    <x v="551"/>
    <s v="T-Shirt"/>
    <s v="Clothing"/>
    <s v="Physical Store"/>
    <s v="Abuja"/>
    <s v="New"/>
    <s v="Easter Sale"/>
    <n v="5"/>
    <n v="19133"/>
    <n v="95665"/>
    <n v="14349.75"/>
    <n v="0.15"/>
    <n v="81315.25"/>
    <n v="47890.7"/>
    <n v="33424.550000000003"/>
    <x v="3"/>
    <x v="2"/>
    <n v="4"/>
  </r>
  <r>
    <s v="ORD-00289"/>
    <x v="552"/>
    <s v="Jeans"/>
    <s v="Clothing"/>
    <s v="Website"/>
    <s v="Abuja"/>
    <s v="Returning"/>
    <s v="None"/>
    <n v="2"/>
    <n v="40678"/>
    <n v="81356"/>
    <n v="0"/>
    <n v="0"/>
    <n v="81356"/>
    <n v="40981.360000000001"/>
    <n v="40374.639999999999"/>
    <x v="3"/>
    <x v="2"/>
    <n v="4"/>
  </r>
  <r>
    <s v="ORD-00154"/>
    <x v="553"/>
    <s v="Handbag"/>
    <s v="Accessories"/>
    <s v="Instagram"/>
    <s v="Lagos"/>
    <s v="Returning"/>
    <s v="None"/>
    <n v="2"/>
    <n v="46064"/>
    <n v="92128"/>
    <n v="0"/>
    <n v="0"/>
    <n v="92128"/>
    <n v="60595.519999999997"/>
    <n v="31532.480000000003"/>
    <x v="3"/>
    <x v="2"/>
    <n v="4"/>
  </r>
  <r>
    <s v="ORD-00736"/>
    <x v="553"/>
    <s v="T-Shirt"/>
    <s v="Clothing"/>
    <s v="Instagram"/>
    <s v="Lagos"/>
    <s v="Returning"/>
    <s v="Easter Sale"/>
    <n v="4"/>
    <n v="17808"/>
    <n v="71232"/>
    <n v="3561.6"/>
    <n v="0.05"/>
    <n v="67670.399999999994"/>
    <n v="47555.25"/>
    <n v="20115.149999999994"/>
    <x v="3"/>
    <x v="2"/>
    <n v="4"/>
  </r>
  <r>
    <s v="ORD-00997"/>
    <x v="554"/>
    <s v="Sneakers"/>
    <s v="Footwear"/>
    <s v="Physical Store"/>
    <s v="Abuja"/>
    <s v="Returning"/>
    <s v="None"/>
    <n v="2"/>
    <n v="68885"/>
    <n v="137770"/>
    <n v="0"/>
    <n v="0"/>
    <n v="137770"/>
    <n v="77502.87"/>
    <n v="60267.130000000005"/>
    <x v="3"/>
    <x v="2"/>
    <n v="4"/>
  </r>
  <r>
    <s v="ORD-00299"/>
    <x v="554"/>
    <s v="Handbag"/>
    <s v="Accessories"/>
    <s v="Website"/>
    <s v="Delta"/>
    <s v="New"/>
    <s v="None"/>
    <n v="2"/>
    <n v="42266"/>
    <n v="84532"/>
    <n v="0"/>
    <n v="0"/>
    <n v="84532"/>
    <n v="43638.52"/>
    <n v="40893.480000000003"/>
    <x v="3"/>
    <x v="2"/>
    <n v="4"/>
  </r>
  <r>
    <s v="ORD-00636"/>
    <x v="554"/>
    <s v="Handbag"/>
    <s v="Accessories"/>
    <s v="Website"/>
    <s v="Lagos"/>
    <s v="Returning"/>
    <s v="Easter Sale"/>
    <n v="3"/>
    <n v="44337"/>
    <n v="133011"/>
    <n v="26602.2"/>
    <n v="0.2"/>
    <n v="106408.8"/>
    <n v="77601.75"/>
    <n v="28807.050000000003"/>
    <x v="3"/>
    <x v="2"/>
    <n v="4"/>
  </r>
  <r>
    <s v="ORD-00034"/>
    <x v="555"/>
    <s v="Polo Shirt"/>
    <s v="Clothing"/>
    <s v="Physical Store"/>
    <s v="Delta"/>
    <s v="New"/>
    <s v="Easter Sale"/>
    <n v="1"/>
    <n v="26458"/>
    <n v="26458"/>
    <n v="3968.7"/>
    <n v="0.15"/>
    <n v="22489.3"/>
    <n v="13298.37"/>
    <n v="9190.9299999999985"/>
    <x v="3"/>
    <x v="2"/>
    <n v="4"/>
  </r>
  <r>
    <s v="ORD-00709"/>
    <x v="556"/>
    <s v="Handbag"/>
    <s v="Accessories"/>
    <s v="Physical Store"/>
    <s v="Lagos"/>
    <s v="New"/>
    <s v="None"/>
    <n v="2"/>
    <n v="43692"/>
    <n v="87384"/>
    <n v="0"/>
    <n v="0"/>
    <n v="87384"/>
    <n v="59258.81"/>
    <n v="28125.190000000002"/>
    <x v="3"/>
    <x v="2"/>
    <n v="4"/>
  </r>
  <r>
    <s v="ORD-00823"/>
    <x v="557"/>
    <s v="Dress"/>
    <s v="Clothing"/>
    <s v="WhatsApp"/>
    <s v="Lagos"/>
    <s v="Returning"/>
    <s v="None"/>
    <n v="4"/>
    <n v="50371"/>
    <n v="201484"/>
    <n v="0"/>
    <n v="0"/>
    <n v="201484"/>
    <n v="97005.39"/>
    <n v="104478.61"/>
    <x v="3"/>
    <x v="2"/>
    <n v="4"/>
  </r>
  <r>
    <s v="ORD-00748"/>
    <x v="558"/>
    <s v="T-Shirt"/>
    <s v="Clothing"/>
    <s v="WhatsApp"/>
    <s v="Oyo"/>
    <s v="New"/>
    <s v="Easter Sale"/>
    <n v="2"/>
    <n v="17239"/>
    <n v="34478"/>
    <n v="3447.8"/>
    <n v="0.1"/>
    <n v="31030.2"/>
    <n v="16827.509999999998"/>
    <n v="14202.690000000002"/>
    <x v="3"/>
    <x v="2"/>
    <n v="4"/>
  </r>
  <r>
    <s v="ORD-00731"/>
    <x v="559"/>
    <s v="Hoodie"/>
    <s v="Clothing"/>
    <s v="Website"/>
    <s v="Rivers"/>
    <s v="New"/>
    <s v="None"/>
    <n v="2"/>
    <n v="36305"/>
    <n v="72610"/>
    <n v="0"/>
    <n v="0"/>
    <n v="72610"/>
    <n v="46067.27"/>
    <n v="26542.730000000003"/>
    <x v="3"/>
    <x v="2"/>
    <n v="4"/>
  </r>
  <r>
    <s v="ORD-00620"/>
    <x v="560"/>
    <s v="Polo Shirt"/>
    <s v="Clothing"/>
    <s v="Website"/>
    <s v="Delta"/>
    <s v="New"/>
    <s v="None"/>
    <n v="4"/>
    <n v="24654"/>
    <n v="98616"/>
    <n v="0"/>
    <n v="0"/>
    <n v="98616"/>
    <n v="54733.84"/>
    <n v="43882.16"/>
    <x v="3"/>
    <x v="2"/>
    <n v="4"/>
  </r>
  <r>
    <s v="ORD-00897"/>
    <x v="561"/>
    <s v="Sandals"/>
    <s v="Footwear"/>
    <s v="Instagram"/>
    <s v="Rivers"/>
    <s v="Returning"/>
    <s v="Easter Sale"/>
    <n v="1"/>
    <n v="30228"/>
    <n v="30228"/>
    <n v="3022.8"/>
    <n v="0.1"/>
    <n v="27205.200000000001"/>
    <n v="15319.2"/>
    <n v="11886"/>
    <x v="3"/>
    <x v="2"/>
    <n v="4"/>
  </r>
  <r>
    <s v="ORD-00386"/>
    <x v="561"/>
    <s v="Polo Shirt"/>
    <s v="Clothing"/>
    <s v="Website"/>
    <s v="Oyo"/>
    <s v="Returning"/>
    <s v="Easter Sale"/>
    <n v="3"/>
    <n v="23432"/>
    <n v="70296"/>
    <n v="14059.2"/>
    <n v="0.2"/>
    <n v="56236.800000000003"/>
    <n v="44290.15"/>
    <n v="11946.650000000001"/>
    <x v="3"/>
    <x v="2"/>
    <n v="4"/>
  </r>
  <r>
    <s v="ORD-01175"/>
    <x v="562"/>
    <s v="Belt"/>
    <s v="Accessories"/>
    <s v="WhatsApp"/>
    <s v="Lagos"/>
    <s v="New"/>
    <s v="None"/>
    <n v="1"/>
    <n v="14113"/>
    <n v="14113"/>
    <n v="0"/>
    <n v="0"/>
    <n v="14113"/>
    <n v="6967.17"/>
    <n v="7145.83"/>
    <x v="3"/>
    <x v="2"/>
    <n v="4"/>
  </r>
  <r>
    <s v="ORD-00774"/>
    <x v="563"/>
    <s v="Belt"/>
    <s v="Accessories"/>
    <s v="Physical Store"/>
    <s v="Oyo"/>
    <s v="New"/>
    <s v="None"/>
    <n v="1"/>
    <n v="13827"/>
    <n v="13827"/>
    <n v="0"/>
    <n v="0"/>
    <n v="13827"/>
    <n v="7492.21"/>
    <n v="6334.79"/>
    <x v="3"/>
    <x v="2"/>
    <n v="4"/>
  </r>
  <r>
    <s v="ORD-00428"/>
    <x v="563"/>
    <s v="Jeans"/>
    <s v="Clothing"/>
    <s v="Instagram"/>
    <s v="Oyo"/>
    <s v="New"/>
    <s v="None"/>
    <n v="1"/>
    <n v="41173"/>
    <n v="41173"/>
    <n v="4117.3"/>
    <n v="0.1"/>
    <n v="37055.699999999997"/>
    <n v="20419.46"/>
    <n v="16636.239999999998"/>
    <x v="3"/>
    <x v="2"/>
    <n v="4"/>
  </r>
  <r>
    <s v="ORD-00373"/>
    <x v="564"/>
    <s v="Handbag"/>
    <s v="Accessories"/>
    <s v="WhatsApp"/>
    <s v="Oyo"/>
    <s v="New"/>
    <s v="None"/>
    <n v="3"/>
    <n v="46314"/>
    <n v="138942"/>
    <n v="0"/>
    <n v="0"/>
    <n v="138942"/>
    <n v="80602.460000000006"/>
    <n v="58339.539999999994"/>
    <x v="4"/>
    <x v="2"/>
    <n v="5"/>
  </r>
  <r>
    <s v="ORD-00585"/>
    <x v="565"/>
    <s v="Jeans"/>
    <s v="Clothing"/>
    <s v="Instagram"/>
    <s v="Abuja"/>
    <s v="Returning"/>
    <s v="None"/>
    <n v="3"/>
    <n v="45176"/>
    <n v="135528"/>
    <n v="0"/>
    <n v="0"/>
    <n v="135528"/>
    <n v="66980.94"/>
    <n v="68547.06"/>
    <x v="4"/>
    <x v="2"/>
    <n v="5"/>
  </r>
  <r>
    <s v="ORD-00539"/>
    <x v="565"/>
    <s v="Jeans"/>
    <s v="Clothing"/>
    <s v="WhatsApp"/>
    <s v="Rivers"/>
    <s v="New"/>
    <s v="None"/>
    <n v="3"/>
    <n v="41994"/>
    <n v="125982"/>
    <n v="0"/>
    <n v="0"/>
    <n v="125982"/>
    <n v="70285.759999999995"/>
    <n v="55696.240000000005"/>
    <x v="4"/>
    <x v="2"/>
    <n v="5"/>
  </r>
  <r>
    <s v="ORD-00291"/>
    <x v="566"/>
    <s v="Cap"/>
    <s v="Accessories"/>
    <s v="Physical Store"/>
    <s v="Lagos"/>
    <s v="New"/>
    <s v="None"/>
    <n v="1"/>
    <n v="12841"/>
    <n v="12841"/>
    <n v="0"/>
    <n v="0"/>
    <n v="12841"/>
    <n v="6360.93"/>
    <n v="6480.07"/>
    <x v="4"/>
    <x v="2"/>
    <n v="5"/>
  </r>
  <r>
    <s v="ORD-00977"/>
    <x v="566"/>
    <s v="Dress"/>
    <s v="Clothing"/>
    <s v="Instagram"/>
    <s v="Lagos"/>
    <s v="New"/>
    <s v="None"/>
    <n v="1"/>
    <n v="53986"/>
    <n v="53986"/>
    <n v="0"/>
    <n v="0"/>
    <n v="53986"/>
    <n v="29010.05"/>
    <n v="24975.95"/>
    <x v="4"/>
    <x v="2"/>
    <n v="5"/>
  </r>
  <r>
    <s v="ORD-00266"/>
    <x v="566"/>
    <s v="Jeans"/>
    <s v="Clothing"/>
    <s v="WhatsApp"/>
    <s v="Lagos"/>
    <s v="Returning"/>
    <s v="None"/>
    <n v="2"/>
    <n v="45282"/>
    <n v="90564"/>
    <n v="0"/>
    <n v="0"/>
    <n v="90564"/>
    <n v="48046.85"/>
    <n v="42517.15"/>
    <x v="4"/>
    <x v="2"/>
    <n v="5"/>
  </r>
  <r>
    <s v="ORD-00149"/>
    <x v="567"/>
    <s v="Belt"/>
    <s v="Accessories"/>
    <s v="Physical Store"/>
    <s v="Oyo"/>
    <s v="Returning"/>
    <s v="None"/>
    <n v="1"/>
    <n v="14015"/>
    <n v="14015"/>
    <n v="0"/>
    <n v="0"/>
    <n v="14015"/>
    <n v="6850.99"/>
    <n v="7164.01"/>
    <x v="4"/>
    <x v="2"/>
    <n v="5"/>
  </r>
  <r>
    <s v="ORD-00020"/>
    <x v="568"/>
    <s v="Cap"/>
    <s v="Accessories"/>
    <s v="Website"/>
    <s v="Abuja"/>
    <s v="Returning"/>
    <s v="None"/>
    <n v="2"/>
    <n v="11960"/>
    <n v="23920"/>
    <n v="0"/>
    <n v="0"/>
    <n v="23920"/>
    <n v="13055.62"/>
    <n v="10864.38"/>
    <x v="4"/>
    <x v="2"/>
    <n v="5"/>
  </r>
  <r>
    <s v="ORD-00595"/>
    <x v="569"/>
    <s v="Handbag"/>
    <s v="Accessories"/>
    <s v="Instagram"/>
    <s v="Lagos"/>
    <s v="New"/>
    <s v="None"/>
    <n v="1"/>
    <n v="46960"/>
    <n v="46960"/>
    <n v="0"/>
    <n v="0"/>
    <n v="46960"/>
    <n v="30313.439999999999"/>
    <n v="16646.560000000001"/>
    <x v="4"/>
    <x v="2"/>
    <n v="5"/>
  </r>
  <r>
    <s v="ORD-00001"/>
    <x v="570"/>
    <s v="Sneakers"/>
    <s v="Footwear"/>
    <s v="WhatsApp"/>
    <s v="Lagos"/>
    <s v="Returning"/>
    <s v="None"/>
    <n v="2"/>
    <n v="65741"/>
    <n v="131482"/>
    <n v="0"/>
    <n v="0"/>
    <n v="131482"/>
    <n v="77410.789999999994"/>
    <n v="54071.210000000006"/>
    <x v="4"/>
    <x v="2"/>
    <n v="5"/>
  </r>
  <r>
    <s v="ORD-00339"/>
    <x v="570"/>
    <s v="Hoodie"/>
    <s v="Clothing"/>
    <s v="Physical Store"/>
    <s v="Abuja"/>
    <s v="New"/>
    <s v="None"/>
    <n v="2"/>
    <n v="36180"/>
    <n v="72360"/>
    <n v="0"/>
    <n v="0"/>
    <n v="72360"/>
    <n v="46186.080000000002"/>
    <n v="26173.919999999998"/>
    <x v="4"/>
    <x v="2"/>
    <n v="5"/>
  </r>
  <r>
    <s v="ORD-00174"/>
    <x v="571"/>
    <s v="Cap"/>
    <s v="Accessories"/>
    <s v="Physical Store"/>
    <s v="Rivers"/>
    <s v="Returning"/>
    <s v="None"/>
    <n v="2"/>
    <n v="11125"/>
    <n v="22250"/>
    <n v="0"/>
    <n v="0"/>
    <n v="22250"/>
    <n v="12023.53"/>
    <n v="10226.469999999999"/>
    <x v="4"/>
    <x v="2"/>
    <n v="5"/>
  </r>
  <r>
    <s v="ORD-00114"/>
    <x v="571"/>
    <s v="Sneakers"/>
    <s v="Footwear"/>
    <s v="Physical Store"/>
    <s v="Abuja"/>
    <s v="Returning"/>
    <s v="None"/>
    <n v="1"/>
    <n v="60237"/>
    <n v="60237"/>
    <n v="0"/>
    <n v="0"/>
    <n v="60237"/>
    <n v="39974.199999999997"/>
    <n v="20262.800000000003"/>
    <x v="4"/>
    <x v="2"/>
    <n v="5"/>
  </r>
  <r>
    <s v="ORD-00814"/>
    <x v="572"/>
    <s v="Sneakers"/>
    <s v="Footwear"/>
    <s v="WhatsApp"/>
    <s v="Abuja"/>
    <s v="Returning"/>
    <s v="None"/>
    <n v="1"/>
    <n v="60040"/>
    <n v="60040"/>
    <n v="0"/>
    <n v="0"/>
    <n v="60040"/>
    <n v="34626.379999999997"/>
    <n v="25413.620000000003"/>
    <x v="4"/>
    <x v="2"/>
    <n v="5"/>
  </r>
  <r>
    <s v="ORD-01058"/>
    <x v="573"/>
    <s v="Jeans"/>
    <s v="Clothing"/>
    <s v="Physical Store"/>
    <s v="Delta"/>
    <s v="Returning"/>
    <s v="None"/>
    <n v="1"/>
    <n v="39123"/>
    <n v="39123"/>
    <n v="3912.3"/>
    <n v="0.1"/>
    <n v="35210.699999999997"/>
    <n v="21541.31"/>
    <n v="13669.389999999996"/>
    <x v="4"/>
    <x v="2"/>
    <n v="5"/>
  </r>
  <r>
    <s v="ORD-00412"/>
    <x v="574"/>
    <s v="Polo Shirt"/>
    <s v="Clothing"/>
    <s v="Website"/>
    <s v="Lagos"/>
    <s v="New"/>
    <s v="None"/>
    <n v="2"/>
    <n v="25952"/>
    <n v="51904"/>
    <n v="0"/>
    <n v="0"/>
    <n v="51904"/>
    <n v="34658.53"/>
    <n v="17245.47"/>
    <x v="4"/>
    <x v="2"/>
    <n v="5"/>
  </r>
  <r>
    <s v="ORD-00314"/>
    <x v="574"/>
    <s v="Sneakers"/>
    <s v="Footwear"/>
    <s v="Physical Store"/>
    <s v="Lagos"/>
    <s v="Returning"/>
    <s v="None"/>
    <n v="1"/>
    <n v="69983"/>
    <n v="69983"/>
    <n v="0"/>
    <n v="0"/>
    <n v="69983"/>
    <n v="45445.38"/>
    <n v="24537.620000000003"/>
    <x v="4"/>
    <x v="2"/>
    <n v="5"/>
  </r>
  <r>
    <s v="ORD-00512"/>
    <x v="575"/>
    <s v="Handbag"/>
    <s v="Accessories"/>
    <s v="Instagram"/>
    <s v="Delta"/>
    <s v="Returning"/>
    <s v="None"/>
    <n v="1"/>
    <n v="48404"/>
    <n v="48404"/>
    <n v="0"/>
    <n v="0"/>
    <n v="48404"/>
    <n v="27228.98"/>
    <n v="21175.02"/>
    <x v="4"/>
    <x v="2"/>
    <n v="5"/>
  </r>
  <r>
    <s v="ORD-00108"/>
    <x v="576"/>
    <s v="Polo Shirt"/>
    <s v="Clothing"/>
    <s v="Website"/>
    <s v="Oyo"/>
    <s v="Returning"/>
    <s v="None"/>
    <n v="4"/>
    <n v="24256"/>
    <n v="97024"/>
    <n v="0"/>
    <n v="0"/>
    <n v="97024"/>
    <n v="62469"/>
    <n v="34555"/>
    <x v="4"/>
    <x v="2"/>
    <n v="5"/>
  </r>
  <r>
    <s v="ORD-00831"/>
    <x v="577"/>
    <s v="Polo Shirt"/>
    <s v="Clothing"/>
    <s v="Physical Store"/>
    <s v="Lagos"/>
    <s v="New"/>
    <s v="None"/>
    <n v="2"/>
    <n v="25436"/>
    <n v="50872"/>
    <n v="0"/>
    <n v="0"/>
    <n v="50872"/>
    <n v="27110.68"/>
    <n v="23761.32"/>
    <x v="4"/>
    <x v="2"/>
    <n v="5"/>
  </r>
  <r>
    <s v="ORD-00008"/>
    <x v="577"/>
    <s v="T-Shirt"/>
    <s v="Clothing"/>
    <s v="Instagram"/>
    <s v="Abuja"/>
    <s v="Returning"/>
    <s v="None"/>
    <n v="3"/>
    <n v="17348"/>
    <n v="52044"/>
    <n v="0"/>
    <n v="0"/>
    <n v="52044"/>
    <n v="29417.16"/>
    <n v="22626.84"/>
    <x v="4"/>
    <x v="2"/>
    <n v="5"/>
  </r>
  <r>
    <s v="ORD-00179"/>
    <x v="577"/>
    <s v="Polo Shirt"/>
    <s v="Clothing"/>
    <s v="WhatsApp"/>
    <s v="Abuja"/>
    <s v="Returning"/>
    <s v="None"/>
    <n v="3"/>
    <n v="23928"/>
    <n v="71784"/>
    <n v="0"/>
    <n v="0"/>
    <n v="71784"/>
    <n v="45673.99"/>
    <n v="26110.010000000002"/>
    <x v="4"/>
    <x v="2"/>
    <n v="5"/>
  </r>
  <r>
    <s v="ORD-00413"/>
    <x v="578"/>
    <s v="Handbag"/>
    <s v="Accessories"/>
    <s v="Physical Store"/>
    <s v="Oyo"/>
    <s v="Returning"/>
    <s v="None"/>
    <n v="2"/>
    <n v="46068"/>
    <n v="92136"/>
    <n v="0"/>
    <n v="0"/>
    <n v="92136"/>
    <n v="60761.8"/>
    <n v="31374.199999999997"/>
    <x v="4"/>
    <x v="2"/>
    <n v="5"/>
  </r>
  <r>
    <s v="ORD-00769"/>
    <x v="578"/>
    <s v="T-Shirt"/>
    <s v="Clothing"/>
    <s v="Instagram"/>
    <s v="Rivers"/>
    <s v="Returning"/>
    <s v="None"/>
    <n v="2"/>
    <n v="17406"/>
    <n v="34812"/>
    <n v="0"/>
    <n v="0"/>
    <n v="34812"/>
    <n v="20192.57"/>
    <n v="14619.43"/>
    <x v="4"/>
    <x v="2"/>
    <n v="5"/>
  </r>
  <r>
    <s v="ORD-00883"/>
    <x v="579"/>
    <s v="Hoodie"/>
    <s v="Clothing"/>
    <s v="Website"/>
    <s v="Rivers"/>
    <s v="New"/>
    <s v="None"/>
    <n v="1"/>
    <n v="39779"/>
    <n v="39779"/>
    <n v="0"/>
    <n v="0"/>
    <n v="39779"/>
    <n v="21345.55"/>
    <n v="18433.45"/>
    <x v="4"/>
    <x v="2"/>
    <n v="5"/>
  </r>
  <r>
    <s v="ORD-00463"/>
    <x v="579"/>
    <s v="Jeans"/>
    <s v="Clothing"/>
    <s v="Website"/>
    <s v="Oyo"/>
    <s v="Returning"/>
    <s v="None"/>
    <n v="2"/>
    <n v="40678"/>
    <n v="81356"/>
    <n v="0"/>
    <n v="0"/>
    <n v="81356"/>
    <n v="44886.73"/>
    <n v="36469.269999999997"/>
    <x v="4"/>
    <x v="2"/>
    <n v="5"/>
  </r>
  <r>
    <s v="ORD-00704"/>
    <x v="580"/>
    <s v="Sandals"/>
    <s v="Footwear"/>
    <s v="Website"/>
    <s v="Oyo"/>
    <s v="New"/>
    <s v="None"/>
    <n v="4"/>
    <n v="28542"/>
    <n v="114168"/>
    <n v="0"/>
    <n v="0"/>
    <n v="114168"/>
    <n v="56803.55"/>
    <n v="57364.45"/>
    <x v="4"/>
    <x v="2"/>
    <n v="5"/>
  </r>
  <r>
    <s v="ORD-00310"/>
    <x v="580"/>
    <s v="Cap"/>
    <s v="Accessories"/>
    <s v="Physical Store"/>
    <s v="Lagos"/>
    <s v="New"/>
    <s v="None"/>
    <n v="2"/>
    <n v="11197"/>
    <n v="22394"/>
    <n v="0"/>
    <n v="0"/>
    <n v="22394"/>
    <n v="15182.04"/>
    <n v="7211.9599999999991"/>
    <x v="4"/>
    <x v="2"/>
    <n v="5"/>
  </r>
  <r>
    <s v="ORD-00531"/>
    <x v="580"/>
    <s v="Belt"/>
    <s v="Accessories"/>
    <s v="Website"/>
    <s v="Lagos"/>
    <s v="New"/>
    <s v="None"/>
    <n v="2"/>
    <n v="14096"/>
    <n v="28192"/>
    <n v="0"/>
    <n v="0"/>
    <n v="28192"/>
    <n v="16820.900000000001"/>
    <n v="11371.099999999999"/>
    <x v="4"/>
    <x v="2"/>
    <n v="5"/>
  </r>
  <r>
    <s v="ORD-00209"/>
    <x v="581"/>
    <s v="Sneakers"/>
    <s v="Footwear"/>
    <s v="Website"/>
    <s v="Rivers"/>
    <s v="Returning"/>
    <s v="None"/>
    <n v="3"/>
    <n v="59960"/>
    <n v="179880"/>
    <n v="0"/>
    <n v="0"/>
    <n v="179880"/>
    <n v="95447.98"/>
    <n v="84432.02"/>
    <x v="4"/>
    <x v="2"/>
    <n v="5"/>
  </r>
  <r>
    <s v="ORD-00234"/>
    <x v="582"/>
    <s v="T-Shirt"/>
    <s v="Clothing"/>
    <s v="Instagram"/>
    <s v="Rivers"/>
    <s v="New"/>
    <s v="None"/>
    <n v="1"/>
    <n v="18241"/>
    <n v="18241"/>
    <n v="912.05"/>
    <n v="0.05"/>
    <n v="17328.95"/>
    <n v="11498.2"/>
    <n v="5830.75"/>
    <x v="4"/>
    <x v="2"/>
    <n v="5"/>
  </r>
  <r>
    <s v="ORD-00066"/>
    <x v="582"/>
    <s v="Sneakers"/>
    <s v="Footwear"/>
    <s v="Website"/>
    <s v="Lagos"/>
    <s v="New"/>
    <s v="None"/>
    <n v="5"/>
    <n v="69779"/>
    <n v="348895"/>
    <n v="0"/>
    <n v="0"/>
    <n v="348895"/>
    <n v="175126.88"/>
    <n v="173768.12"/>
    <x v="4"/>
    <x v="2"/>
    <n v="5"/>
  </r>
  <r>
    <s v="ORD-00726"/>
    <x v="583"/>
    <s v="Handbag"/>
    <s v="Accessories"/>
    <s v="Physical Store"/>
    <s v="Lagos"/>
    <s v="Returning"/>
    <s v="None"/>
    <n v="4"/>
    <n v="41588"/>
    <n v="166352"/>
    <n v="0"/>
    <n v="0"/>
    <n v="166352"/>
    <n v="99948.63"/>
    <n v="66403.37"/>
    <x v="4"/>
    <x v="2"/>
    <n v="5"/>
  </r>
  <r>
    <s v="ORD-00188"/>
    <x v="583"/>
    <s v="Jeans"/>
    <s v="Clothing"/>
    <s v="Physical Store"/>
    <s v="Abuja"/>
    <s v="Returning"/>
    <s v="None"/>
    <n v="3"/>
    <n v="43301"/>
    <n v="129903"/>
    <n v="0"/>
    <n v="0"/>
    <n v="129903"/>
    <n v="79361.66"/>
    <n v="50541.34"/>
    <x v="4"/>
    <x v="2"/>
    <n v="5"/>
  </r>
  <r>
    <s v="ORD-00564"/>
    <x v="583"/>
    <s v="Cap"/>
    <s v="Accessories"/>
    <s v="Physical Store"/>
    <s v="Oyo"/>
    <s v="New"/>
    <s v="None"/>
    <n v="4"/>
    <n v="11685"/>
    <n v="46740"/>
    <n v="0"/>
    <n v="0"/>
    <n v="46740"/>
    <n v="23397.16"/>
    <n v="23342.84"/>
    <x v="4"/>
    <x v="2"/>
    <n v="5"/>
  </r>
  <r>
    <s v="ORD-00524"/>
    <x v="584"/>
    <s v="T-Shirt"/>
    <s v="Clothing"/>
    <s v="Physical Store"/>
    <s v="Lagos"/>
    <s v="Returning"/>
    <s v="None"/>
    <n v="1"/>
    <n v="18269"/>
    <n v="18269"/>
    <n v="0"/>
    <n v="0"/>
    <n v="18269"/>
    <n v="10331.27"/>
    <n v="7937.73"/>
    <x v="5"/>
    <x v="2"/>
    <n v="6"/>
  </r>
  <r>
    <s v="ORD-01086"/>
    <x v="584"/>
    <s v="Handbag"/>
    <s v="Accessories"/>
    <s v="Physical Store"/>
    <s v="Rivers"/>
    <s v="Returning"/>
    <s v="Mid-Year Sale"/>
    <n v="3"/>
    <n v="43157"/>
    <n v="129471"/>
    <n v="12947.1"/>
    <n v="0.1"/>
    <n v="116523.9"/>
    <n v="73013.16"/>
    <n v="43510.739999999991"/>
    <x v="5"/>
    <x v="2"/>
    <n v="6"/>
  </r>
  <r>
    <s v="ORD-00671"/>
    <x v="584"/>
    <s v="Jeans"/>
    <s v="Clothing"/>
    <s v="WhatsApp"/>
    <s v="Oyo"/>
    <s v="New"/>
    <s v="None"/>
    <n v="1"/>
    <n v="41722"/>
    <n v="41722"/>
    <n v="0"/>
    <n v="0"/>
    <n v="41722"/>
    <n v="24175.74"/>
    <n v="17546.259999999998"/>
    <x v="5"/>
    <x v="2"/>
    <n v="6"/>
  </r>
  <r>
    <s v="ORD-00161"/>
    <x v="585"/>
    <s v="T-Shirt"/>
    <s v="Clothing"/>
    <s v="Physical Store"/>
    <s v="Delta"/>
    <s v="New"/>
    <s v="None"/>
    <n v="2"/>
    <n v="16861"/>
    <n v="33722"/>
    <n v="0"/>
    <n v="0"/>
    <n v="33722"/>
    <n v="18783.96"/>
    <n v="14938.04"/>
    <x v="5"/>
    <x v="2"/>
    <n v="6"/>
  </r>
  <r>
    <s v="ORD-00312"/>
    <x v="585"/>
    <s v="Sneakers"/>
    <s v="Footwear"/>
    <s v="Physical Store"/>
    <s v="Abuja"/>
    <s v="New"/>
    <s v="None"/>
    <n v="2"/>
    <n v="66506"/>
    <n v="133012"/>
    <n v="0"/>
    <n v="0"/>
    <n v="133012"/>
    <n v="75274.759999999995"/>
    <n v="57737.240000000005"/>
    <x v="5"/>
    <x v="2"/>
    <n v="6"/>
  </r>
  <r>
    <s v="ORD-01160"/>
    <x v="586"/>
    <s v="Handbag"/>
    <s v="Accessories"/>
    <s v="Instagram"/>
    <s v="Abuja"/>
    <s v="New"/>
    <s v="Mid-Year Sale"/>
    <n v="2"/>
    <n v="42899"/>
    <n v="85798"/>
    <n v="8579.7999999999993"/>
    <n v="0.1"/>
    <n v="77218.2"/>
    <n v="44436.42"/>
    <n v="32781.78"/>
    <x v="5"/>
    <x v="2"/>
    <n v="6"/>
  </r>
  <r>
    <s v="ORD-00430"/>
    <x v="586"/>
    <s v="Dress"/>
    <s v="Clothing"/>
    <s v="Physical Store"/>
    <s v="Lagos"/>
    <s v="New"/>
    <s v="None"/>
    <n v="2"/>
    <n v="49218"/>
    <n v="98436"/>
    <n v="0"/>
    <n v="0"/>
    <n v="98436"/>
    <n v="59563.19"/>
    <n v="38872.81"/>
    <x v="5"/>
    <x v="2"/>
    <n v="6"/>
  </r>
  <r>
    <s v="ORD-00491"/>
    <x v="587"/>
    <s v="Sneakers"/>
    <s v="Footwear"/>
    <s v="Website"/>
    <s v="Lagos"/>
    <s v="Returning"/>
    <s v="Mid-Year Sale"/>
    <n v="1"/>
    <n v="69406"/>
    <n v="69406"/>
    <n v="3470.3"/>
    <n v="0.05"/>
    <n v="65935.7"/>
    <n v="38229.72"/>
    <n v="27705.979999999996"/>
    <x v="5"/>
    <x v="2"/>
    <n v="6"/>
  </r>
  <r>
    <s v="ORD-00850"/>
    <x v="588"/>
    <s v="Handbag"/>
    <s v="Accessories"/>
    <s v="WhatsApp"/>
    <s v="Lagos"/>
    <s v="Returning"/>
    <s v="None"/>
    <n v="1"/>
    <n v="45376"/>
    <n v="45376"/>
    <n v="0"/>
    <n v="0"/>
    <n v="45376"/>
    <n v="24710.87"/>
    <n v="20665.13"/>
    <x v="5"/>
    <x v="2"/>
    <n v="6"/>
  </r>
  <r>
    <s v="ORD-00435"/>
    <x v="589"/>
    <s v="Jeans"/>
    <s v="Clothing"/>
    <s v="Website"/>
    <s v="Oyo"/>
    <s v="Returning"/>
    <s v="Mid-Year Sale"/>
    <n v="2"/>
    <n v="40686"/>
    <n v="81372"/>
    <n v="8137.2"/>
    <n v="0.1"/>
    <n v="73234.8"/>
    <n v="49519.38"/>
    <n v="23715.420000000006"/>
    <x v="5"/>
    <x v="2"/>
    <n v="6"/>
  </r>
  <r>
    <s v="ORD-00113"/>
    <x v="590"/>
    <s v="Jeans"/>
    <s v="Clothing"/>
    <s v="Website"/>
    <s v="Delta"/>
    <s v="Returning"/>
    <s v="None"/>
    <n v="1"/>
    <n v="41259"/>
    <n v="41259"/>
    <n v="0"/>
    <n v="0"/>
    <n v="41259"/>
    <n v="21675.25"/>
    <n v="19583.75"/>
    <x v="5"/>
    <x v="2"/>
    <n v="6"/>
  </r>
  <r>
    <s v="ORD-01181"/>
    <x v="591"/>
    <s v="Sneakers"/>
    <s v="Footwear"/>
    <s v="Physical Store"/>
    <s v="Oyo"/>
    <s v="Returning"/>
    <s v="Mid-Year Sale"/>
    <n v="2"/>
    <n v="68363"/>
    <n v="136726"/>
    <n v="13672.6"/>
    <n v="0.1"/>
    <n v="123053.4"/>
    <n v="76868.52"/>
    <n v="46184.87999999999"/>
    <x v="5"/>
    <x v="2"/>
    <n v="6"/>
  </r>
  <r>
    <s v="ORD-01114"/>
    <x v="592"/>
    <s v="Handbag"/>
    <s v="Accessories"/>
    <s v="Physical Store"/>
    <s v="Lagos"/>
    <s v="New"/>
    <s v="Mid-Year Sale"/>
    <n v="1"/>
    <n v="46876"/>
    <n v="46876"/>
    <n v="2343.8000000000002"/>
    <n v="0.05"/>
    <n v="44532.2"/>
    <n v="25715.16"/>
    <n v="18817.039999999997"/>
    <x v="5"/>
    <x v="2"/>
    <n v="6"/>
  </r>
  <r>
    <s v="ORD-00475"/>
    <x v="593"/>
    <s v="Polo Shirt"/>
    <s v="Clothing"/>
    <s v="Website"/>
    <s v="Oyo"/>
    <s v="Returning"/>
    <s v="None"/>
    <n v="1"/>
    <n v="26929"/>
    <n v="26929"/>
    <n v="0"/>
    <n v="0"/>
    <n v="26929"/>
    <n v="15290.99"/>
    <n v="11638.01"/>
    <x v="5"/>
    <x v="2"/>
    <n v="6"/>
  </r>
  <r>
    <s v="ORD-00371"/>
    <x v="594"/>
    <s v="Jeans"/>
    <s v="Clothing"/>
    <s v="Physical Store"/>
    <s v="Delta"/>
    <s v="Returning"/>
    <s v="None"/>
    <n v="3"/>
    <n v="43782"/>
    <n v="131346"/>
    <n v="0"/>
    <n v="0"/>
    <n v="131346"/>
    <n v="80323.759999999995"/>
    <n v="51022.240000000005"/>
    <x v="5"/>
    <x v="2"/>
    <n v="6"/>
  </r>
  <r>
    <s v="ORD-00335"/>
    <x v="595"/>
    <s v="Belt"/>
    <s v="Accessories"/>
    <s v="WhatsApp"/>
    <s v="Lagos"/>
    <s v="Returning"/>
    <s v="None"/>
    <n v="2"/>
    <n v="14892"/>
    <n v="29784"/>
    <n v="0"/>
    <n v="0"/>
    <n v="29784"/>
    <n v="18647.72"/>
    <n v="11136.279999999999"/>
    <x v="5"/>
    <x v="2"/>
    <n v="6"/>
  </r>
  <r>
    <s v="ORD-00190"/>
    <x v="595"/>
    <s v="Cap"/>
    <s v="Accessories"/>
    <s v="Website"/>
    <s v="Lagos"/>
    <s v="Returning"/>
    <s v="Mid-Year Sale"/>
    <n v="1"/>
    <n v="11879"/>
    <n v="11879"/>
    <n v="593.95000000000005"/>
    <n v="0.05"/>
    <n v="11285.05"/>
    <n v="5825.23"/>
    <n v="5459.82"/>
    <x v="5"/>
    <x v="2"/>
    <n v="6"/>
  </r>
  <r>
    <s v="ORD-00043"/>
    <x v="596"/>
    <s v="Jeans"/>
    <s v="Clothing"/>
    <s v="Physical Store"/>
    <s v="Lagos"/>
    <s v="Returning"/>
    <s v="Mid-Year Sale"/>
    <n v="5"/>
    <n v="42151"/>
    <n v="210755"/>
    <n v="31613.25"/>
    <n v="0.15"/>
    <n v="179141.75"/>
    <n v="137387.64000000001"/>
    <n v="41754.109999999986"/>
    <x v="5"/>
    <x v="2"/>
    <n v="6"/>
  </r>
  <r>
    <s v="ORD-00755"/>
    <x v="596"/>
    <s v="Polo Shirt"/>
    <s v="Clothing"/>
    <s v="Website"/>
    <s v="Lagos"/>
    <s v="Returning"/>
    <s v="None"/>
    <n v="2"/>
    <n v="24439"/>
    <n v="48878"/>
    <n v="0"/>
    <n v="0"/>
    <n v="48878"/>
    <n v="23858.29"/>
    <n v="25019.71"/>
    <x v="5"/>
    <x v="2"/>
    <n v="6"/>
  </r>
  <r>
    <s v="ORD-00713"/>
    <x v="597"/>
    <s v="T-Shirt"/>
    <s v="Clothing"/>
    <s v="Instagram"/>
    <s v="Abuja"/>
    <s v="New"/>
    <s v="None"/>
    <n v="1"/>
    <n v="18986"/>
    <n v="18986"/>
    <n v="0"/>
    <n v="0"/>
    <n v="18986"/>
    <n v="12403.28"/>
    <n v="6582.7199999999993"/>
    <x v="5"/>
    <x v="2"/>
    <n v="6"/>
  </r>
  <r>
    <s v="ORD-00607"/>
    <x v="598"/>
    <s v="Polo Shirt"/>
    <s v="Clothing"/>
    <s v="Physical Store"/>
    <s v="Lagos"/>
    <s v="Returning"/>
    <s v="Mid-Year Sale"/>
    <n v="3"/>
    <n v="24292"/>
    <n v="72876"/>
    <n v="7287.6"/>
    <n v="0.1"/>
    <n v="65588.399999999994"/>
    <n v="40275.980000000003"/>
    <n v="25312.419999999991"/>
    <x v="5"/>
    <x v="2"/>
    <n v="6"/>
  </r>
  <r>
    <s v="ORD-00624"/>
    <x v="598"/>
    <s v="Sandals"/>
    <s v="Footwear"/>
    <s v="Website"/>
    <s v="Delta"/>
    <s v="New"/>
    <s v="Mid-Year Sale"/>
    <n v="1"/>
    <n v="30382"/>
    <n v="30382"/>
    <n v="6076.4"/>
    <n v="0.2"/>
    <n v="24305.599999999999"/>
    <n v="20122.47"/>
    <n v="4183.1299999999974"/>
    <x v="5"/>
    <x v="2"/>
    <n v="6"/>
  </r>
  <r>
    <s v="ORD-00622"/>
    <x v="598"/>
    <s v="Handbag"/>
    <s v="Accessories"/>
    <s v="Website"/>
    <s v="Lagos"/>
    <s v="New"/>
    <s v="None"/>
    <n v="3"/>
    <n v="42605"/>
    <n v="127815"/>
    <n v="0"/>
    <n v="0"/>
    <n v="127815"/>
    <n v="70389.64"/>
    <n v="57425.36"/>
    <x v="5"/>
    <x v="2"/>
    <n v="6"/>
  </r>
  <r>
    <s v="ORD-00750"/>
    <x v="599"/>
    <s v="Dress"/>
    <s v="Clothing"/>
    <s v="Instagram"/>
    <s v="Lagos"/>
    <s v="New"/>
    <s v="None"/>
    <n v="1"/>
    <n v="48805"/>
    <n v="48805"/>
    <n v="0"/>
    <n v="0"/>
    <n v="48805"/>
    <n v="29111.22"/>
    <n v="19693.78"/>
    <x v="5"/>
    <x v="2"/>
    <n v="6"/>
  </r>
  <r>
    <s v="ORD-00279"/>
    <x v="600"/>
    <s v="Sandals"/>
    <s v="Footwear"/>
    <s v="Physical Store"/>
    <s v="Oyo"/>
    <s v="Returning"/>
    <s v="None"/>
    <n v="4"/>
    <n v="31233"/>
    <n v="124932"/>
    <n v="0"/>
    <n v="0"/>
    <n v="124932"/>
    <n v="60139.22"/>
    <n v="64792.78"/>
    <x v="5"/>
    <x v="2"/>
    <n v="6"/>
  </r>
  <r>
    <s v="ORD-00974"/>
    <x v="601"/>
    <s v="Belt"/>
    <s v="Accessories"/>
    <s v="Website"/>
    <s v="Lagos"/>
    <s v="New"/>
    <s v="None"/>
    <n v="1"/>
    <n v="15979"/>
    <n v="15979"/>
    <n v="2396.85"/>
    <n v="0.15"/>
    <n v="13582.15"/>
    <n v="10790.34"/>
    <n v="2791.8099999999995"/>
    <x v="5"/>
    <x v="2"/>
    <n v="6"/>
  </r>
  <r>
    <s v="ORD-01015"/>
    <x v="602"/>
    <s v="T-Shirt"/>
    <s v="Clothing"/>
    <s v="Website"/>
    <s v="Abuja"/>
    <s v="New"/>
    <s v="None"/>
    <n v="1"/>
    <n v="16671"/>
    <n v="16671"/>
    <n v="0"/>
    <n v="0"/>
    <n v="16671"/>
    <n v="8751.07"/>
    <n v="7919.93"/>
    <x v="5"/>
    <x v="2"/>
    <n v="6"/>
  </r>
  <r>
    <s v="ORD-00522"/>
    <x v="603"/>
    <s v="Belt"/>
    <s v="Accessories"/>
    <s v="Physical Store"/>
    <s v="Oyo"/>
    <s v="New"/>
    <s v="None"/>
    <n v="3"/>
    <n v="14512"/>
    <n v="43536"/>
    <n v="0"/>
    <n v="0"/>
    <n v="43536"/>
    <n v="29283.13"/>
    <n v="14252.869999999999"/>
    <x v="5"/>
    <x v="2"/>
    <n v="6"/>
  </r>
  <r>
    <s v="ORD-00951"/>
    <x v="604"/>
    <s v="Belt"/>
    <s v="Accessories"/>
    <s v="Physical Store"/>
    <s v="Lagos"/>
    <s v="Returning"/>
    <s v="None"/>
    <n v="2"/>
    <n v="14344"/>
    <n v="28688"/>
    <n v="0"/>
    <n v="0"/>
    <n v="28688"/>
    <n v="14696.39"/>
    <n v="13991.61"/>
    <x v="5"/>
    <x v="2"/>
    <n v="6"/>
  </r>
  <r>
    <s v="ORD-00761"/>
    <x v="605"/>
    <s v="Belt"/>
    <s v="Accessories"/>
    <s v="Physical Store"/>
    <s v="Lagos"/>
    <s v="New"/>
    <s v="None"/>
    <n v="2"/>
    <n v="14099"/>
    <n v="28198"/>
    <n v="0"/>
    <n v="0"/>
    <n v="28198"/>
    <n v="17845.14"/>
    <n v="10352.86"/>
    <x v="5"/>
    <x v="2"/>
    <n v="6"/>
  </r>
  <r>
    <s v="ORD-00351"/>
    <x v="606"/>
    <s v="Cap"/>
    <s v="Accessories"/>
    <s v="Website"/>
    <s v="Lagos"/>
    <s v="Returning"/>
    <s v="Mid-Year Sale"/>
    <n v="2"/>
    <n v="11082"/>
    <n v="22164"/>
    <n v="2216.4"/>
    <n v="0.1"/>
    <n v="19947.599999999999"/>
    <n v="10822.36"/>
    <n v="9125.239999999998"/>
    <x v="5"/>
    <x v="2"/>
    <n v="6"/>
  </r>
  <r>
    <s v="ORD-00451"/>
    <x v="607"/>
    <s v="Polo Shirt"/>
    <s v="Clothing"/>
    <s v="WhatsApp"/>
    <s v="Rivers"/>
    <s v="New"/>
    <s v="None"/>
    <n v="4"/>
    <n v="23096"/>
    <n v="92384"/>
    <n v="0"/>
    <n v="0"/>
    <n v="92384"/>
    <n v="57062.61"/>
    <n v="35321.39"/>
    <x v="6"/>
    <x v="2"/>
    <n v="7"/>
  </r>
  <r>
    <s v="ORD-01197"/>
    <x v="608"/>
    <s v="T-Shirt"/>
    <s v="Clothing"/>
    <s v="Physical Store"/>
    <s v="Abuja"/>
    <s v="New"/>
    <s v="None"/>
    <n v="1"/>
    <n v="18534"/>
    <n v="18534"/>
    <n v="926.7"/>
    <n v="0.05"/>
    <n v="17607.3"/>
    <n v="9351.48"/>
    <n v="8255.82"/>
    <x v="6"/>
    <x v="2"/>
    <n v="7"/>
  </r>
  <r>
    <s v="ORD-00208"/>
    <x v="608"/>
    <s v="Cap"/>
    <s v="Accessories"/>
    <s v="Physical Store"/>
    <s v="Lagos"/>
    <s v="New"/>
    <s v="Mid-Year Sale"/>
    <n v="1"/>
    <n v="12215"/>
    <n v="12215"/>
    <n v="1221.5"/>
    <n v="0.1"/>
    <n v="10993.5"/>
    <n v="8157.32"/>
    <n v="2836.1800000000003"/>
    <x v="6"/>
    <x v="2"/>
    <n v="7"/>
  </r>
  <r>
    <s v="ORD-00960"/>
    <x v="609"/>
    <s v="Hoodie"/>
    <s v="Clothing"/>
    <s v="Instagram"/>
    <s v="Abuja"/>
    <s v="Returning"/>
    <s v="None"/>
    <n v="1"/>
    <n v="37851"/>
    <n v="37851"/>
    <n v="0"/>
    <n v="0"/>
    <n v="37851"/>
    <n v="24681.65"/>
    <n v="13169.349999999999"/>
    <x v="6"/>
    <x v="2"/>
    <n v="7"/>
  </r>
  <r>
    <s v="ORD-00768"/>
    <x v="610"/>
    <s v="Belt"/>
    <s v="Accessories"/>
    <s v="Website"/>
    <s v="Lagos"/>
    <s v="New"/>
    <s v="None"/>
    <n v="3"/>
    <n v="15695"/>
    <n v="47085"/>
    <n v="0"/>
    <n v="0"/>
    <n v="47085"/>
    <n v="23665.86"/>
    <n v="23419.14"/>
    <x v="6"/>
    <x v="2"/>
    <n v="7"/>
  </r>
  <r>
    <s v="ORD-00674"/>
    <x v="611"/>
    <s v="Cap"/>
    <s v="Accessories"/>
    <s v="Physical Store"/>
    <s v="Rivers"/>
    <s v="Returning"/>
    <s v="Mid-Year Sale"/>
    <n v="2"/>
    <n v="11222"/>
    <n v="22444"/>
    <n v="1122.2"/>
    <n v="0.05"/>
    <n v="21321.8"/>
    <n v="14029.65"/>
    <n v="7292.15"/>
    <x v="6"/>
    <x v="2"/>
    <n v="7"/>
  </r>
  <r>
    <s v="ORD-00584"/>
    <x v="611"/>
    <s v="Handbag"/>
    <s v="Accessories"/>
    <s v="WhatsApp"/>
    <s v="Oyo"/>
    <s v="New"/>
    <s v="Mid-Year Sale"/>
    <n v="1"/>
    <n v="42837"/>
    <n v="42837"/>
    <n v="6425.55"/>
    <n v="0.15"/>
    <n v="36411.449999999997"/>
    <n v="24860.02"/>
    <n v="11551.429999999997"/>
    <x v="6"/>
    <x v="2"/>
    <n v="7"/>
  </r>
  <r>
    <s v="ORD-00719"/>
    <x v="612"/>
    <s v="Jeans"/>
    <s v="Clothing"/>
    <s v="WhatsApp"/>
    <s v="Rivers"/>
    <s v="New"/>
    <s v="Mid-Year Sale"/>
    <n v="4"/>
    <n v="40126"/>
    <n v="160504"/>
    <n v="16050.4"/>
    <n v="0.1"/>
    <n v="144453.6"/>
    <n v="102823.13"/>
    <n v="41630.47"/>
    <x v="6"/>
    <x v="2"/>
    <n v="7"/>
  </r>
  <r>
    <s v="ORD-00402"/>
    <x v="612"/>
    <s v="Cap"/>
    <s v="Accessories"/>
    <s v="Physical Store"/>
    <s v="Lagos"/>
    <s v="Returning"/>
    <s v="Mid-Year Sale"/>
    <n v="1"/>
    <n v="11502"/>
    <n v="11502"/>
    <n v="1725.3"/>
    <n v="0.15"/>
    <n v="9776.7000000000007"/>
    <n v="5706.33"/>
    <n v="4070.3700000000008"/>
    <x v="6"/>
    <x v="2"/>
    <n v="7"/>
  </r>
  <r>
    <s v="ORD-00275"/>
    <x v="613"/>
    <s v="Polo Shirt"/>
    <s v="Clothing"/>
    <s v="Physical Store"/>
    <s v="Delta"/>
    <s v="New"/>
    <s v="None"/>
    <n v="2"/>
    <n v="26392"/>
    <n v="52784"/>
    <n v="0"/>
    <n v="0"/>
    <n v="52784"/>
    <n v="34677.56"/>
    <n v="18106.440000000002"/>
    <x v="6"/>
    <x v="2"/>
    <n v="7"/>
  </r>
  <r>
    <s v="ORD-01110"/>
    <x v="613"/>
    <s v="Handbag"/>
    <s v="Accessories"/>
    <s v="Physical Store"/>
    <s v="Rivers"/>
    <s v="Returning"/>
    <s v="Mid-Year Sale"/>
    <n v="1"/>
    <n v="46286"/>
    <n v="46286"/>
    <n v="6942.9"/>
    <n v="0.15"/>
    <n v="39343.1"/>
    <n v="30546.53"/>
    <n v="8796.57"/>
    <x v="6"/>
    <x v="2"/>
    <n v="7"/>
  </r>
  <r>
    <s v="ORD-01187"/>
    <x v="613"/>
    <s v="Hoodie"/>
    <s v="Clothing"/>
    <s v="Instagram"/>
    <s v="Abuja"/>
    <s v="Returning"/>
    <s v="Mid-Year Sale"/>
    <n v="3"/>
    <n v="40171"/>
    <n v="120513"/>
    <n v="18076.95"/>
    <n v="0.15"/>
    <n v="102436.05"/>
    <n v="68981.63"/>
    <n v="33454.42"/>
    <x v="6"/>
    <x v="2"/>
    <n v="7"/>
  </r>
  <r>
    <s v="ORD-01134"/>
    <x v="613"/>
    <s v="Belt"/>
    <s v="Accessories"/>
    <s v="Website"/>
    <s v="Lagos"/>
    <s v="Returning"/>
    <s v="None"/>
    <n v="1"/>
    <n v="14377"/>
    <n v="14377"/>
    <n v="0"/>
    <n v="0"/>
    <n v="14377"/>
    <n v="8539.09"/>
    <n v="5837.91"/>
    <x v="6"/>
    <x v="2"/>
    <n v="7"/>
  </r>
  <r>
    <s v="ORD-01016"/>
    <x v="614"/>
    <s v="Handbag"/>
    <s v="Accessories"/>
    <s v="WhatsApp"/>
    <s v="Lagos"/>
    <s v="New"/>
    <s v="None"/>
    <n v="1"/>
    <n v="41561"/>
    <n v="41561"/>
    <n v="0"/>
    <n v="0"/>
    <n v="41561"/>
    <n v="22141"/>
    <n v="19420"/>
    <x v="6"/>
    <x v="2"/>
    <n v="7"/>
  </r>
  <r>
    <s v="ORD-00803"/>
    <x v="615"/>
    <s v="Sandals"/>
    <s v="Footwear"/>
    <s v="Instagram"/>
    <s v="Rivers"/>
    <s v="New"/>
    <s v="Mid-Year Sale"/>
    <n v="3"/>
    <n v="29007"/>
    <n v="87021"/>
    <n v="4351.05"/>
    <n v="0.05"/>
    <n v="82669.95"/>
    <n v="48317.56"/>
    <n v="34352.39"/>
    <x v="6"/>
    <x v="2"/>
    <n v="7"/>
  </r>
  <r>
    <s v="ORD-00521"/>
    <x v="616"/>
    <s v="Cap"/>
    <s v="Accessories"/>
    <s v="Website"/>
    <s v="Rivers"/>
    <s v="Returning"/>
    <s v="None"/>
    <n v="1"/>
    <n v="12610"/>
    <n v="12610"/>
    <n v="1261"/>
    <n v="0.1"/>
    <n v="11349"/>
    <n v="7318.51"/>
    <n v="4030.49"/>
    <x v="6"/>
    <x v="2"/>
    <n v="7"/>
  </r>
  <r>
    <s v="ORD-00926"/>
    <x v="616"/>
    <s v="T-Shirt"/>
    <s v="Clothing"/>
    <s v="WhatsApp"/>
    <s v="Lagos"/>
    <s v="Returning"/>
    <s v="Mid-Year Sale"/>
    <n v="1"/>
    <n v="18079"/>
    <n v="18079"/>
    <n v="3615.8"/>
    <n v="0.2"/>
    <n v="14463.2"/>
    <n v="11709.77"/>
    <n v="2753.4300000000003"/>
    <x v="6"/>
    <x v="2"/>
    <n v="7"/>
  </r>
  <r>
    <s v="ORD-01133"/>
    <x v="617"/>
    <s v="Dress"/>
    <s v="Clothing"/>
    <s v="WhatsApp"/>
    <s v="Oyo"/>
    <s v="New"/>
    <s v="Mid-Year Sale"/>
    <n v="2"/>
    <n v="50623"/>
    <n v="101246"/>
    <n v="15186.9"/>
    <n v="0.15"/>
    <n v="86059.1"/>
    <n v="51845.73"/>
    <n v="34213.370000000003"/>
    <x v="6"/>
    <x v="2"/>
    <n v="7"/>
  </r>
  <r>
    <s v="ORD-00259"/>
    <x v="618"/>
    <s v="Handbag"/>
    <s v="Accessories"/>
    <s v="Physical Store"/>
    <s v="Rivers"/>
    <s v="New"/>
    <s v="None"/>
    <n v="3"/>
    <n v="43644"/>
    <n v="130932"/>
    <n v="0"/>
    <n v="0"/>
    <n v="130932"/>
    <n v="67410.17"/>
    <n v="63521.83"/>
    <x v="6"/>
    <x v="2"/>
    <n v="7"/>
  </r>
  <r>
    <s v="ORD-00517"/>
    <x v="619"/>
    <s v="Belt"/>
    <s v="Accessories"/>
    <s v="Instagram"/>
    <s v="Lagos"/>
    <s v="Returning"/>
    <s v="Mid-Year Sale"/>
    <n v="2"/>
    <n v="14154"/>
    <n v="28308"/>
    <n v="5661.6"/>
    <n v="0.2"/>
    <n v="22646.400000000001"/>
    <n v="14623.31"/>
    <n v="8023.090000000002"/>
    <x v="6"/>
    <x v="2"/>
    <n v="7"/>
  </r>
  <r>
    <s v="ORD-00482"/>
    <x v="619"/>
    <s v="Handbag"/>
    <s v="Accessories"/>
    <s v="Instagram"/>
    <s v="Lagos"/>
    <s v="New"/>
    <s v="Mid-Year Sale"/>
    <n v="1"/>
    <n v="45297"/>
    <n v="45297"/>
    <n v="9059.4"/>
    <n v="0.2"/>
    <n v="36237.599999999999"/>
    <n v="30754.62"/>
    <n v="5482.98"/>
    <x v="6"/>
    <x v="2"/>
    <n v="7"/>
  </r>
  <r>
    <s v="ORD-00176"/>
    <x v="619"/>
    <s v="Jeans"/>
    <s v="Clothing"/>
    <s v="Website"/>
    <s v="Abuja"/>
    <s v="New"/>
    <s v="Mid-Year Sale"/>
    <n v="3"/>
    <n v="43969"/>
    <n v="131907"/>
    <n v="26381.4"/>
    <n v="0.2"/>
    <n v="105525.6"/>
    <n v="69699.06"/>
    <n v="35826.540000000008"/>
    <x v="6"/>
    <x v="2"/>
    <n v="7"/>
  </r>
  <r>
    <s v="ORD-00092"/>
    <x v="620"/>
    <s v="Cap"/>
    <s v="Accessories"/>
    <s v="Physical Store"/>
    <s v="Rivers"/>
    <s v="Returning"/>
    <s v="Mid-Year Sale"/>
    <n v="1"/>
    <n v="11542"/>
    <n v="11542"/>
    <n v="1154.2"/>
    <n v="0.1"/>
    <n v="10387.799999999999"/>
    <n v="7632.16"/>
    <n v="2755.6399999999994"/>
    <x v="6"/>
    <x v="2"/>
    <n v="7"/>
  </r>
  <r>
    <s v="ORD-00483"/>
    <x v="621"/>
    <s v="Dress"/>
    <s v="Clothing"/>
    <s v="Instagram"/>
    <s v="Lagos"/>
    <s v="Returning"/>
    <s v="None"/>
    <n v="3"/>
    <n v="51515"/>
    <n v="154545"/>
    <n v="0"/>
    <n v="0"/>
    <n v="154545"/>
    <n v="95628.22"/>
    <n v="58916.78"/>
    <x v="6"/>
    <x v="2"/>
    <n v="7"/>
  </r>
  <r>
    <s v="ORD-01001"/>
    <x v="621"/>
    <s v="Handbag"/>
    <s v="Accessories"/>
    <s v="Website"/>
    <s v="Lagos"/>
    <s v="Returning"/>
    <s v="Mid-Year Sale"/>
    <n v="2"/>
    <n v="41463"/>
    <n v="82926"/>
    <n v="8292.6"/>
    <n v="0.1"/>
    <n v="74633.399999999994"/>
    <n v="55410.26"/>
    <n v="19223.139999999992"/>
    <x v="6"/>
    <x v="2"/>
    <n v="7"/>
  </r>
  <r>
    <s v="ORD-00973"/>
    <x v="621"/>
    <s v="Sandals"/>
    <s v="Footwear"/>
    <s v="WhatsApp"/>
    <s v="Rivers"/>
    <s v="New"/>
    <s v="None"/>
    <n v="3"/>
    <n v="28340"/>
    <n v="85020"/>
    <n v="0"/>
    <n v="0"/>
    <n v="85020"/>
    <n v="53366.78"/>
    <n v="31653.22"/>
    <x v="6"/>
    <x v="2"/>
    <n v="7"/>
  </r>
  <r>
    <s v="ORD-00440"/>
    <x v="622"/>
    <s v="Jeans"/>
    <s v="Clothing"/>
    <s v="Physical Store"/>
    <s v="Oyo"/>
    <s v="New"/>
    <s v="Mid-Year Sale"/>
    <n v="2"/>
    <n v="41620"/>
    <n v="83240"/>
    <n v="12486"/>
    <n v="0.15"/>
    <n v="70754"/>
    <n v="44865.46"/>
    <n v="25888.54"/>
    <x v="6"/>
    <x v="2"/>
    <n v="7"/>
  </r>
  <r>
    <s v="ORD-01093"/>
    <x v="622"/>
    <s v="Handbag"/>
    <s v="Accessories"/>
    <s v="Physical Store"/>
    <s v="Rivers"/>
    <s v="Returning"/>
    <s v="Mid-Year Sale"/>
    <n v="2"/>
    <n v="47218"/>
    <n v="94436"/>
    <n v="9443.6"/>
    <n v="0.1"/>
    <n v="84992.4"/>
    <n v="63516.78"/>
    <n v="21475.619999999995"/>
    <x v="6"/>
    <x v="2"/>
    <n v="7"/>
  </r>
  <r>
    <s v="ORD-00316"/>
    <x v="623"/>
    <s v="Dress"/>
    <s v="Clothing"/>
    <s v="Website"/>
    <s v="Rivers"/>
    <s v="Returning"/>
    <s v="Mid-Year Sale"/>
    <n v="1"/>
    <n v="50847"/>
    <n v="50847"/>
    <n v="2542.35"/>
    <n v="0.05"/>
    <n v="48304.65"/>
    <n v="24864.15"/>
    <n v="23440.5"/>
    <x v="6"/>
    <x v="2"/>
    <n v="7"/>
  </r>
  <r>
    <s v="ORD-01102"/>
    <x v="623"/>
    <s v="Cap"/>
    <s v="Accessories"/>
    <s v="Physical Store"/>
    <s v="Rivers"/>
    <s v="New"/>
    <s v="None"/>
    <n v="1"/>
    <n v="11374"/>
    <n v="11374"/>
    <n v="0"/>
    <n v="0"/>
    <n v="11374"/>
    <n v="7288.33"/>
    <n v="4085.67"/>
    <x v="6"/>
    <x v="2"/>
    <n v="7"/>
  </r>
  <r>
    <s v="ORD-00865"/>
    <x v="623"/>
    <s v="Dress"/>
    <s v="Clothing"/>
    <s v="Instagram"/>
    <s v="Lagos"/>
    <s v="New"/>
    <s v="None"/>
    <n v="2"/>
    <n v="48689"/>
    <n v="97378"/>
    <n v="0"/>
    <n v="0"/>
    <n v="97378"/>
    <n v="57281.4"/>
    <n v="40096.6"/>
    <x v="6"/>
    <x v="2"/>
    <n v="7"/>
  </r>
  <r>
    <s v="ORD-01164"/>
    <x v="624"/>
    <s v="Jeans"/>
    <s v="Clothing"/>
    <s v="Website"/>
    <s v="Oyo"/>
    <s v="Returning"/>
    <s v="Mid-Year Sale"/>
    <n v="1"/>
    <n v="43631"/>
    <n v="43631"/>
    <n v="6544.65"/>
    <n v="0.15"/>
    <n v="37086.35"/>
    <n v="24493.26"/>
    <n v="12593.09"/>
    <x v="6"/>
    <x v="2"/>
    <n v="7"/>
  </r>
  <r>
    <s v="ORD-00871"/>
    <x v="624"/>
    <s v="Sandals"/>
    <s v="Footwear"/>
    <s v="WhatsApp"/>
    <s v="Lagos"/>
    <s v="Returning"/>
    <s v="Mid-Year Sale"/>
    <n v="1"/>
    <n v="30144"/>
    <n v="30144"/>
    <n v="6028.8"/>
    <n v="0.2"/>
    <n v="24115.200000000001"/>
    <n v="16694.09"/>
    <n v="7421.1100000000006"/>
    <x v="6"/>
    <x v="2"/>
    <n v="7"/>
  </r>
  <r>
    <s v="ORD-01152"/>
    <x v="625"/>
    <s v="Sneakers"/>
    <s v="Footwear"/>
    <s v="Physical Store"/>
    <s v="Oyo"/>
    <s v="Returning"/>
    <s v="Mid-Year Sale"/>
    <n v="1"/>
    <n v="63975"/>
    <n v="63975"/>
    <n v="6397.5"/>
    <n v="0.1"/>
    <n v="57577.5"/>
    <n v="43091"/>
    <n v="14486.5"/>
    <x v="6"/>
    <x v="2"/>
    <n v="7"/>
  </r>
  <r>
    <s v="ORD-00881"/>
    <x v="625"/>
    <s v="T-Shirt"/>
    <s v="Clothing"/>
    <s v="WhatsApp"/>
    <s v="Lagos"/>
    <s v="Returning"/>
    <s v="None"/>
    <n v="2"/>
    <n v="18929"/>
    <n v="37858"/>
    <n v="1892.9"/>
    <n v="0.05"/>
    <n v="35965.1"/>
    <n v="23480.6"/>
    <n v="12484.5"/>
    <x v="6"/>
    <x v="2"/>
    <n v="7"/>
  </r>
  <r>
    <s v="ORD-01050"/>
    <x v="625"/>
    <s v="Dress"/>
    <s v="Clothing"/>
    <s v="Website"/>
    <s v="Delta"/>
    <s v="New"/>
    <s v="None"/>
    <n v="1"/>
    <n v="46271"/>
    <n v="46271"/>
    <n v="0"/>
    <n v="0"/>
    <n v="46271"/>
    <n v="26522.02"/>
    <n v="19748.98"/>
    <x v="6"/>
    <x v="2"/>
    <n v="7"/>
  </r>
  <r>
    <s v="ORD-00976"/>
    <x v="626"/>
    <s v="Sneakers"/>
    <s v="Footwear"/>
    <s v="Website"/>
    <s v="Delta"/>
    <s v="New"/>
    <s v="Mid-Year Sale"/>
    <n v="1"/>
    <n v="62220"/>
    <n v="62220"/>
    <n v="6222"/>
    <n v="0.1"/>
    <n v="55998"/>
    <n v="40722.559999999998"/>
    <n v="15275.440000000002"/>
    <x v="6"/>
    <x v="2"/>
    <n v="7"/>
  </r>
  <r>
    <s v="ORD-00954"/>
    <x v="627"/>
    <s v="Jeans"/>
    <s v="Clothing"/>
    <s v="Instagram"/>
    <s v="Lagos"/>
    <s v="Returning"/>
    <s v="None"/>
    <n v="1"/>
    <n v="43659"/>
    <n v="43659"/>
    <n v="0"/>
    <n v="0"/>
    <n v="43659"/>
    <n v="29322.46"/>
    <n v="14336.54"/>
    <x v="7"/>
    <x v="2"/>
    <n v="8"/>
  </r>
  <r>
    <s v="ORD-00453"/>
    <x v="628"/>
    <s v="Hoodie"/>
    <s v="Clothing"/>
    <s v="Physical Store"/>
    <s v="Lagos"/>
    <s v="New"/>
    <s v="None"/>
    <n v="3"/>
    <n v="40980"/>
    <n v="122940"/>
    <n v="0"/>
    <n v="0"/>
    <n v="122940"/>
    <n v="68132.7"/>
    <n v="54807.3"/>
    <x v="7"/>
    <x v="2"/>
    <n v="8"/>
  </r>
  <r>
    <s v="ORD-00728"/>
    <x v="629"/>
    <s v="Sneakers"/>
    <s v="Footwear"/>
    <s v="Website"/>
    <s v="Lagos"/>
    <s v="Returning"/>
    <s v="None"/>
    <n v="2"/>
    <n v="64451"/>
    <n v="128902"/>
    <n v="0"/>
    <n v="0"/>
    <n v="128902"/>
    <n v="74320"/>
    <n v="54582"/>
    <x v="7"/>
    <x v="2"/>
    <n v="8"/>
  </r>
  <r>
    <s v="ORD-00924"/>
    <x v="629"/>
    <s v="Polo Shirt"/>
    <s v="Clothing"/>
    <s v="Physical Store"/>
    <s v="Abuja"/>
    <s v="New"/>
    <s v="None"/>
    <n v="1"/>
    <n v="25875"/>
    <n v="25875"/>
    <n v="0"/>
    <n v="0"/>
    <n v="25875"/>
    <n v="17162.48"/>
    <n v="8712.52"/>
    <x v="7"/>
    <x v="2"/>
    <n v="8"/>
  </r>
  <r>
    <s v="ORD-00819"/>
    <x v="630"/>
    <s v="Sneakers"/>
    <s v="Footwear"/>
    <s v="Physical Store"/>
    <s v="Oyo"/>
    <s v="New"/>
    <s v="None"/>
    <n v="1"/>
    <n v="59887"/>
    <n v="59887"/>
    <n v="0"/>
    <n v="0"/>
    <n v="59887"/>
    <n v="30256.94"/>
    <n v="29630.06"/>
    <x v="7"/>
    <x v="2"/>
    <n v="8"/>
  </r>
  <r>
    <s v="ORD-00434"/>
    <x v="630"/>
    <s v="Handbag"/>
    <s v="Accessories"/>
    <s v="WhatsApp"/>
    <s v="Rivers"/>
    <s v="New"/>
    <s v="None"/>
    <n v="4"/>
    <n v="43791"/>
    <n v="175164"/>
    <n v="0"/>
    <n v="0"/>
    <n v="175164"/>
    <n v="110889.89"/>
    <n v="64274.11"/>
    <x v="7"/>
    <x v="2"/>
    <n v="8"/>
  </r>
  <r>
    <s v="ORD-01145"/>
    <x v="631"/>
    <s v="Sneakers"/>
    <s v="Footwear"/>
    <s v="Physical Store"/>
    <s v="Delta"/>
    <s v="Returning"/>
    <s v="None"/>
    <n v="1"/>
    <n v="70176"/>
    <n v="70176"/>
    <n v="3508.8"/>
    <n v="0.05"/>
    <n v="66667.199999999997"/>
    <n v="45505.62"/>
    <n v="21161.579999999994"/>
    <x v="7"/>
    <x v="2"/>
    <n v="8"/>
  </r>
  <r>
    <s v="ORD-00809"/>
    <x v="632"/>
    <s v="Cap"/>
    <s v="Accessories"/>
    <s v="Website"/>
    <s v="Lagos"/>
    <s v="New"/>
    <s v="None"/>
    <n v="1"/>
    <n v="11417"/>
    <n v="11417"/>
    <n v="0"/>
    <n v="0"/>
    <n v="11417"/>
    <n v="5876.49"/>
    <n v="5540.51"/>
    <x v="7"/>
    <x v="2"/>
    <n v="8"/>
  </r>
  <r>
    <s v="ORD-01184"/>
    <x v="633"/>
    <s v="Jeans"/>
    <s v="Clothing"/>
    <s v="Website"/>
    <s v="Oyo"/>
    <s v="Returning"/>
    <s v="None"/>
    <n v="5"/>
    <n v="42657"/>
    <n v="213285"/>
    <n v="0"/>
    <n v="0"/>
    <n v="213285"/>
    <n v="116836.8"/>
    <n v="96448.2"/>
    <x v="7"/>
    <x v="2"/>
    <n v="8"/>
  </r>
  <r>
    <s v="ORD-00908"/>
    <x v="633"/>
    <s v="Handbag"/>
    <s v="Accessories"/>
    <s v="Physical Store"/>
    <s v="Lagos"/>
    <s v="Returning"/>
    <s v="None"/>
    <n v="1"/>
    <n v="44728"/>
    <n v="44728"/>
    <n v="0"/>
    <n v="0"/>
    <n v="44728"/>
    <n v="23763.49"/>
    <n v="20964.509999999998"/>
    <x v="7"/>
    <x v="2"/>
    <n v="8"/>
  </r>
  <r>
    <s v="ORD-00143"/>
    <x v="633"/>
    <s v="Sneakers"/>
    <s v="Footwear"/>
    <s v="Physical Store"/>
    <s v="Lagos"/>
    <s v="New"/>
    <s v="None"/>
    <n v="1"/>
    <n v="65512"/>
    <n v="65512"/>
    <n v="0"/>
    <n v="0"/>
    <n v="65512"/>
    <n v="40365.300000000003"/>
    <n v="25146.699999999997"/>
    <x v="7"/>
    <x v="2"/>
    <n v="8"/>
  </r>
  <r>
    <s v="ORD-00449"/>
    <x v="634"/>
    <s v="T-Shirt"/>
    <s v="Clothing"/>
    <s v="WhatsApp"/>
    <s v="Lagos"/>
    <s v="New"/>
    <s v="None"/>
    <n v="1"/>
    <n v="17825"/>
    <n v="17825"/>
    <n v="0"/>
    <n v="0"/>
    <n v="17825"/>
    <n v="9478.59"/>
    <n v="8346.41"/>
    <x v="7"/>
    <x v="2"/>
    <n v="8"/>
  </r>
  <r>
    <s v="ORD-00882"/>
    <x v="635"/>
    <s v="Sandals"/>
    <s v="Footwear"/>
    <s v="Instagram"/>
    <s v="Lagos"/>
    <s v="Returning"/>
    <s v="None"/>
    <n v="1"/>
    <n v="29451"/>
    <n v="29451"/>
    <n v="2945.1"/>
    <n v="0.1"/>
    <n v="26505.9"/>
    <n v="14545.9"/>
    <n v="11960.000000000002"/>
    <x v="7"/>
    <x v="2"/>
    <n v="8"/>
  </r>
  <r>
    <s v="ORD-01192"/>
    <x v="635"/>
    <s v="Handbag"/>
    <s v="Accessories"/>
    <s v="Physical Store"/>
    <s v="Abuja"/>
    <s v="New"/>
    <s v="None"/>
    <n v="3"/>
    <n v="47039"/>
    <n v="141117"/>
    <n v="0"/>
    <n v="0"/>
    <n v="141117"/>
    <n v="74848.62"/>
    <n v="66268.38"/>
    <x v="7"/>
    <x v="2"/>
    <n v="8"/>
  </r>
  <r>
    <s v="ORD-00171"/>
    <x v="635"/>
    <s v="Handbag"/>
    <s v="Accessories"/>
    <s v="Physical Store"/>
    <s v="Rivers"/>
    <s v="Returning"/>
    <s v="None"/>
    <n v="1"/>
    <n v="46086"/>
    <n v="46086"/>
    <n v="0"/>
    <n v="0"/>
    <n v="46086"/>
    <n v="27294.83"/>
    <n v="18791.169999999998"/>
    <x v="7"/>
    <x v="2"/>
    <n v="8"/>
  </r>
  <r>
    <s v="ORD-00222"/>
    <x v="635"/>
    <s v="Handbag"/>
    <s v="Accessories"/>
    <s v="WhatsApp"/>
    <s v="Oyo"/>
    <s v="Returning"/>
    <s v="None"/>
    <n v="2"/>
    <n v="42554"/>
    <n v="85108"/>
    <n v="0"/>
    <n v="0"/>
    <n v="85108"/>
    <n v="43903.02"/>
    <n v="41204.980000000003"/>
    <x v="7"/>
    <x v="2"/>
    <n v="8"/>
  </r>
  <r>
    <s v="ORD-00045"/>
    <x v="636"/>
    <s v="Belt"/>
    <s v="Accessories"/>
    <s v="Physical Store"/>
    <s v="Lagos"/>
    <s v="New"/>
    <s v="None"/>
    <n v="2"/>
    <n v="15224"/>
    <n v="30448"/>
    <n v="0"/>
    <n v="0"/>
    <n v="30448"/>
    <n v="18552.61"/>
    <n v="11895.39"/>
    <x v="7"/>
    <x v="2"/>
    <n v="8"/>
  </r>
  <r>
    <s v="ORD-00014"/>
    <x v="636"/>
    <s v="Sneakers"/>
    <s v="Footwear"/>
    <s v="Website"/>
    <s v="Oyo"/>
    <s v="New"/>
    <s v="None"/>
    <n v="2"/>
    <n v="66876"/>
    <n v="133752"/>
    <n v="13375.2"/>
    <n v="0.1"/>
    <n v="120376.8"/>
    <n v="90274.57"/>
    <n v="30102.229999999996"/>
    <x v="7"/>
    <x v="2"/>
    <n v="8"/>
  </r>
  <r>
    <s v="ORD-01063"/>
    <x v="637"/>
    <s v="T-Shirt"/>
    <s v="Clothing"/>
    <s v="Website"/>
    <s v="Lagos"/>
    <s v="Returning"/>
    <s v="None"/>
    <n v="1"/>
    <n v="16600"/>
    <n v="16600"/>
    <n v="0"/>
    <n v="0"/>
    <n v="16600"/>
    <n v="10664.82"/>
    <n v="5935.18"/>
    <x v="7"/>
    <x v="2"/>
    <n v="8"/>
  </r>
  <r>
    <s v="ORD-00376"/>
    <x v="637"/>
    <s v="Belt"/>
    <s v="Accessories"/>
    <s v="Physical Store"/>
    <s v="Rivers"/>
    <s v="Returning"/>
    <s v="None"/>
    <n v="1"/>
    <n v="16102"/>
    <n v="16102"/>
    <n v="0"/>
    <n v="0"/>
    <n v="16102"/>
    <n v="8012.85"/>
    <n v="8089.15"/>
    <x v="7"/>
    <x v="2"/>
    <n v="8"/>
  </r>
  <r>
    <s v="ORD-00212"/>
    <x v="637"/>
    <s v="T-Shirt"/>
    <s v="Clothing"/>
    <s v="Physical Store"/>
    <s v="Rivers"/>
    <s v="Returning"/>
    <s v="None"/>
    <n v="1"/>
    <n v="18916"/>
    <n v="18916"/>
    <n v="0"/>
    <n v="0"/>
    <n v="18916"/>
    <n v="12528.15"/>
    <n v="6387.85"/>
    <x v="7"/>
    <x v="2"/>
    <n v="8"/>
  </r>
  <r>
    <s v="ORD-00348"/>
    <x v="638"/>
    <s v="Jeans"/>
    <s v="Clothing"/>
    <s v="WhatsApp"/>
    <s v="Abuja"/>
    <s v="Returning"/>
    <s v="None"/>
    <n v="1"/>
    <n v="44166"/>
    <n v="44166"/>
    <n v="4416.6000000000004"/>
    <n v="0.1"/>
    <n v="39749.4"/>
    <n v="25836.23"/>
    <n v="13913.170000000002"/>
    <x v="7"/>
    <x v="2"/>
    <n v="8"/>
  </r>
  <r>
    <s v="ORD-01040"/>
    <x v="638"/>
    <s v="Polo Shirt"/>
    <s v="Clothing"/>
    <s v="Website"/>
    <s v="Abuja"/>
    <s v="New"/>
    <s v="None"/>
    <n v="1"/>
    <n v="26220"/>
    <n v="26220"/>
    <n v="0"/>
    <n v="0"/>
    <n v="26220"/>
    <n v="13927.96"/>
    <n v="12292.04"/>
    <x v="7"/>
    <x v="2"/>
    <n v="8"/>
  </r>
  <r>
    <s v="ORD-00027"/>
    <x v="638"/>
    <s v="Cap"/>
    <s v="Accessories"/>
    <s v="WhatsApp"/>
    <s v="Lagos"/>
    <s v="Returning"/>
    <s v="None"/>
    <n v="1"/>
    <n v="11291"/>
    <n v="11291"/>
    <n v="0"/>
    <n v="0"/>
    <n v="11291"/>
    <n v="6444.43"/>
    <n v="4846.57"/>
    <x v="7"/>
    <x v="2"/>
    <n v="8"/>
  </r>
  <r>
    <s v="ORD-01124"/>
    <x v="638"/>
    <s v="Cap"/>
    <s v="Accessories"/>
    <s v="Website"/>
    <s v="Rivers"/>
    <s v="New"/>
    <s v="None"/>
    <n v="2"/>
    <n v="11355"/>
    <n v="22710"/>
    <n v="0"/>
    <n v="0"/>
    <n v="22710"/>
    <n v="14356.33"/>
    <n v="8353.67"/>
    <x v="7"/>
    <x v="2"/>
    <n v="8"/>
  </r>
  <r>
    <s v="ORD-00029"/>
    <x v="638"/>
    <s v="Sandals"/>
    <s v="Footwear"/>
    <s v="Website"/>
    <s v="Lagos"/>
    <s v="Returning"/>
    <s v="None"/>
    <n v="2"/>
    <n v="31652"/>
    <n v="63304"/>
    <n v="0"/>
    <n v="0"/>
    <n v="63304"/>
    <n v="37796.97"/>
    <n v="25507.03"/>
    <x v="7"/>
    <x v="2"/>
    <n v="8"/>
  </r>
  <r>
    <s v="ORD-00842"/>
    <x v="638"/>
    <s v="Belt"/>
    <s v="Accessories"/>
    <s v="Physical Store"/>
    <s v="Delta"/>
    <s v="Returning"/>
    <s v="None"/>
    <n v="1"/>
    <n v="14282"/>
    <n v="14282"/>
    <n v="0"/>
    <n v="0"/>
    <n v="14282"/>
    <n v="9290.92"/>
    <n v="4991.08"/>
    <x v="7"/>
    <x v="2"/>
    <n v="8"/>
  </r>
  <r>
    <s v="ORD-00516"/>
    <x v="639"/>
    <s v="Sneakers"/>
    <s v="Footwear"/>
    <s v="WhatsApp"/>
    <s v="Abuja"/>
    <s v="Returning"/>
    <s v="None"/>
    <n v="2"/>
    <n v="64832"/>
    <n v="129664"/>
    <n v="0"/>
    <n v="0"/>
    <n v="129664"/>
    <n v="85779.51"/>
    <n v="43884.490000000005"/>
    <x v="7"/>
    <x v="2"/>
    <n v="8"/>
  </r>
  <r>
    <s v="ORD-00235"/>
    <x v="640"/>
    <s v="Handbag"/>
    <s v="Accessories"/>
    <s v="Physical Store"/>
    <s v="Oyo"/>
    <s v="New"/>
    <s v="None"/>
    <n v="1"/>
    <n v="44183"/>
    <n v="44183"/>
    <n v="0"/>
    <n v="0"/>
    <n v="44183"/>
    <n v="24273.81"/>
    <n v="19909.189999999999"/>
    <x v="7"/>
    <x v="2"/>
    <n v="8"/>
  </r>
  <r>
    <s v="ORD-00101"/>
    <x v="641"/>
    <s v="Dress"/>
    <s v="Clothing"/>
    <s v="Physical Store"/>
    <s v="Abuja"/>
    <s v="New"/>
    <s v="None"/>
    <n v="1"/>
    <n v="49125"/>
    <n v="49125"/>
    <n v="0"/>
    <n v="0"/>
    <n v="49125"/>
    <n v="27234.240000000002"/>
    <n v="21890.76"/>
    <x v="7"/>
    <x v="2"/>
    <n v="8"/>
  </r>
  <r>
    <s v="ORD-00267"/>
    <x v="642"/>
    <s v="Sneakers"/>
    <s v="Footwear"/>
    <s v="WhatsApp"/>
    <s v="Lagos"/>
    <s v="New"/>
    <s v="None"/>
    <n v="1"/>
    <n v="68042"/>
    <n v="68042"/>
    <n v="0"/>
    <n v="0"/>
    <n v="68042"/>
    <n v="42870.080000000002"/>
    <n v="25171.919999999998"/>
    <x v="7"/>
    <x v="2"/>
    <n v="8"/>
  </r>
  <r>
    <s v="ORD-01149"/>
    <x v="643"/>
    <s v="Belt"/>
    <s v="Accessories"/>
    <s v="Physical Store"/>
    <s v="Delta"/>
    <s v="New"/>
    <s v="None"/>
    <n v="1"/>
    <n v="15797"/>
    <n v="15797"/>
    <n v="0"/>
    <n v="0"/>
    <n v="15797"/>
    <n v="9726.1"/>
    <n v="6070.9"/>
    <x v="7"/>
    <x v="2"/>
    <n v="8"/>
  </r>
  <r>
    <s v="ORD-00896"/>
    <x v="644"/>
    <s v="Dress"/>
    <s v="Clothing"/>
    <s v="Physical Store"/>
    <s v="Delta"/>
    <s v="New"/>
    <s v="None"/>
    <n v="3"/>
    <n v="46819"/>
    <n v="140457"/>
    <n v="0"/>
    <n v="0"/>
    <n v="140457"/>
    <n v="68861.41"/>
    <n v="71595.59"/>
    <x v="7"/>
    <x v="2"/>
    <n v="8"/>
  </r>
  <r>
    <s v="ORD-00501"/>
    <x v="645"/>
    <s v="Polo Shirt"/>
    <s v="Clothing"/>
    <s v="Website"/>
    <s v="Lagos"/>
    <s v="New"/>
    <s v="None"/>
    <n v="1"/>
    <n v="26934"/>
    <n v="26934"/>
    <n v="0"/>
    <n v="0"/>
    <n v="26934"/>
    <n v="16983.759999999998"/>
    <n v="9950.2400000000016"/>
    <x v="7"/>
    <x v="2"/>
    <n v="8"/>
  </r>
  <r>
    <s v="ORD-00867"/>
    <x v="646"/>
    <s v="Belt"/>
    <s v="Accessories"/>
    <s v="Instagram"/>
    <s v="Lagos"/>
    <s v="New"/>
    <s v="None"/>
    <n v="2"/>
    <n v="15156"/>
    <n v="30312"/>
    <n v="0"/>
    <n v="0"/>
    <n v="30312"/>
    <n v="20019.53"/>
    <n v="10292.470000000001"/>
    <x v="7"/>
    <x v="2"/>
    <n v="8"/>
  </r>
  <r>
    <s v="ORD-00390"/>
    <x v="647"/>
    <s v="Belt"/>
    <s v="Accessories"/>
    <s v="Website"/>
    <s v="Delta"/>
    <s v="Returning"/>
    <s v="None"/>
    <n v="1"/>
    <n v="14243"/>
    <n v="14243"/>
    <n v="0"/>
    <n v="0"/>
    <n v="14243"/>
    <n v="7011.62"/>
    <n v="7231.38"/>
    <x v="7"/>
    <x v="2"/>
    <n v="8"/>
  </r>
  <r>
    <s v="ORD-00497"/>
    <x v="648"/>
    <s v="Handbag"/>
    <s v="Accessories"/>
    <s v="Website"/>
    <s v="Rivers"/>
    <s v="New"/>
    <s v="None"/>
    <n v="2"/>
    <n v="45573"/>
    <n v="91146"/>
    <n v="4557.3"/>
    <n v="0.05"/>
    <n v="86588.7"/>
    <n v="46983.05"/>
    <n v="39605.649999999994"/>
    <x v="7"/>
    <x v="2"/>
    <n v="8"/>
  </r>
  <r>
    <s v="ORD-00503"/>
    <x v="649"/>
    <s v="T-Shirt"/>
    <s v="Clothing"/>
    <s v="Physical Store"/>
    <s v="Lagos"/>
    <s v="Returning"/>
    <s v="None"/>
    <n v="1"/>
    <n v="16642"/>
    <n v="16642"/>
    <n v="0"/>
    <n v="0"/>
    <n v="16642"/>
    <n v="8910.61"/>
    <n v="7731.3899999999994"/>
    <x v="7"/>
    <x v="2"/>
    <n v="8"/>
  </r>
  <r>
    <s v="ORD-00287"/>
    <x v="649"/>
    <s v="T-Shirt"/>
    <s v="Clothing"/>
    <s v="Instagram"/>
    <s v="Lagos"/>
    <s v="Returning"/>
    <s v="None"/>
    <n v="1"/>
    <n v="17594"/>
    <n v="17594"/>
    <n v="0"/>
    <n v="0"/>
    <n v="17594"/>
    <n v="11332.99"/>
    <n v="6261.01"/>
    <x v="7"/>
    <x v="2"/>
    <n v="8"/>
  </r>
  <r>
    <s v="ORD-01200"/>
    <x v="650"/>
    <s v="Belt"/>
    <s v="Accessories"/>
    <s v="WhatsApp"/>
    <s v="Lagos"/>
    <s v="Returning"/>
    <s v="None"/>
    <n v="2"/>
    <n v="16091"/>
    <n v="32182"/>
    <n v="0"/>
    <n v="0"/>
    <n v="32182"/>
    <n v="17582.25"/>
    <n v="14599.75"/>
    <x v="7"/>
    <x v="2"/>
    <n v="8"/>
  </r>
  <r>
    <s v="ORD-00135"/>
    <x v="650"/>
    <s v="Jeans"/>
    <s v="Clothing"/>
    <s v="Website"/>
    <s v="Rivers"/>
    <s v="Returning"/>
    <s v="None"/>
    <n v="1"/>
    <n v="42645"/>
    <n v="42645"/>
    <n v="4264.5"/>
    <n v="0.1"/>
    <n v="38380.5"/>
    <n v="27694.85"/>
    <n v="10685.650000000001"/>
    <x v="7"/>
    <x v="2"/>
    <n v="8"/>
  </r>
  <r>
    <s v="ORD-01194"/>
    <x v="651"/>
    <s v="Jeans"/>
    <s v="Clothing"/>
    <s v="Instagram"/>
    <s v="Lagos"/>
    <s v="Returning"/>
    <s v="None"/>
    <n v="3"/>
    <n v="43298"/>
    <n v="129894"/>
    <n v="19484.099999999999"/>
    <n v="0.15"/>
    <n v="110409.9"/>
    <n v="62731.63"/>
    <n v="47678.27"/>
    <x v="8"/>
    <x v="2"/>
    <n v="9"/>
  </r>
  <r>
    <s v="ORD-00025"/>
    <x v="652"/>
    <s v="Belt"/>
    <s v="Accessories"/>
    <s v="WhatsApp"/>
    <s v="Lagos"/>
    <s v="Returning"/>
    <s v="None"/>
    <n v="2"/>
    <n v="15318"/>
    <n v="30636"/>
    <n v="0"/>
    <n v="0"/>
    <n v="30636"/>
    <n v="17846.18"/>
    <n v="12789.82"/>
    <x v="8"/>
    <x v="2"/>
    <n v="9"/>
  </r>
  <r>
    <s v="ORD-01071"/>
    <x v="652"/>
    <s v="T-Shirt"/>
    <s v="Clothing"/>
    <s v="Instagram"/>
    <s v="Rivers"/>
    <s v="New"/>
    <s v="None"/>
    <n v="2"/>
    <n v="16853"/>
    <n v="33706"/>
    <n v="3370.6"/>
    <n v="0.1"/>
    <n v="30335.4"/>
    <n v="20874.439999999999"/>
    <n v="9460.9600000000028"/>
    <x v="8"/>
    <x v="2"/>
    <n v="9"/>
  </r>
  <r>
    <s v="ORD-00405"/>
    <x v="653"/>
    <s v="Hoodie"/>
    <s v="Clothing"/>
    <s v="WhatsApp"/>
    <s v="Lagos"/>
    <s v="New"/>
    <s v="None"/>
    <n v="3"/>
    <n v="40748"/>
    <n v="122244"/>
    <n v="0"/>
    <n v="0"/>
    <n v="122244"/>
    <n v="73283.55"/>
    <n v="48960.45"/>
    <x v="8"/>
    <x v="2"/>
    <n v="9"/>
  </r>
  <r>
    <s v="ORD-01017"/>
    <x v="654"/>
    <s v="Sneakers"/>
    <s v="Footwear"/>
    <s v="WhatsApp"/>
    <s v="Lagos"/>
    <s v="Returning"/>
    <s v="None"/>
    <n v="1"/>
    <n v="63094"/>
    <n v="63094"/>
    <n v="0"/>
    <n v="0"/>
    <n v="63094"/>
    <n v="32004.46"/>
    <n v="31089.54"/>
    <x v="8"/>
    <x v="2"/>
    <n v="9"/>
  </r>
  <r>
    <s v="ORD-00258"/>
    <x v="654"/>
    <s v="Hoodie"/>
    <s v="Clothing"/>
    <s v="Website"/>
    <s v="Oyo"/>
    <s v="New"/>
    <s v="None"/>
    <n v="1"/>
    <n v="35901"/>
    <n v="35901"/>
    <n v="0"/>
    <n v="0"/>
    <n v="35901"/>
    <n v="20711.560000000001"/>
    <n v="15189.439999999999"/>
    <x v="8"/>
    <x v="2"/>
    <n v="9"/>
  </r>
  <r>
    <s v="ORD-01080"/>
    <x v="654"/>
    <s v="Polo Shirt"/>
    <s v="Clothing"/>
    <s v="Physical Store"/>
    <s v="Lagos"/>
    <s v="New"/>
    <s v="None"/>
    <n v="4"/>
    <n v="24893"/>
    <n v="99572"/>
    <n v="0"/>
    <n v="0"/>
    <n v="99572"/>
    <n v="62465.22"/>
    <n v="37106.78"/>
    <x v="8"/>
    <x v="2"/>
    <n v="9"/>
  </r>
  <r>
    <s v="ORD-01109"/>
    <x v="655"/>
    <s v="Jeans"/>
    <s v="Clothing"/>
    <s v="WhatsApp"/>
    <s v="Lagos"/>
    <s v="Returning"/>
    <s v="None"/>
    <n v="2"/>
    <n v="41969"/>
    <n v="83938"/>
    <n v="0"/>
    <n v="0"/>
    <n v="83938"/>
    <n v="40681.17"/>
    <n v="43256.83"/>
    <x v="8"/>
    <x v="2"/>
    <n v="9"/>
  </r>
  <r>
    <s v="ORD-00163"/>
    <x v="655"/>
    <s v="Polo Shirt"/>
    <s v="Clothing"/>
    <s v="Website"/>
    <s v="Rivers"/>
    <s v="New"/>
    <s v="None"/>
    <n v="4"/>
    <n v="25711"/>
    <n v="102844"/>
    <n v="0"/>
    <n v="0"/>
    <n v="102844"/>
    <n v="55439.12"/>
    <n v="47404.88"/>
    <x v="8"/>
    <x v="2"/>
    <n v="9"/>
  </r>
  <r>
    <s v="ORD-01105"/>
    <x v="656"/>
    <s v="Polo Shirt"/>
    <s v="Clothing"/>
    <s v="Physical Store"/>
    <s v="Oyo"/>
    <s v="New"/>
    <s v="None"/>
    <n v="2"/>
    <n v="24925"/>
    <n v="49850"/>
    <n v="4985"/>
    <n v="0.1"/>
    <n v="44865"/>
    <n v="28154.28"/>
    <n v="16710.72"/>
    <x v="8"/>
    <x v="2"/>
    <n v="9"/>
  </r>
  <r>
    <s v="ORD-00860"/>
    <x v="656"/>
    <s v="Belt"/>
    <s v="Accessories"/>
    <s v="WhatsApp"/>
    <s v="Abuja"/>
    <s v="New"/>
    <s v="None"/>
    <n v="2"/>
    <n v="14414"/>
    <n v="28828"/>
    <n v="0"/>
    <n v="0"/>
    <n v="28828"/>
    <n v="14405.57"/>
    <n v="14422.43"/>
    <x v="8"/>
    <x v="2"/>
    <n v="9"/>
  </r>
  <r>
    <s v="ORD-00611"/>
    <x v="657"/>
    <s v="Dress"/>
    <s v="Clothing"/>
    <s v="Website"/>
    <s v="Lagos"/>
    <s v="Returning"/>
    <s v="None"/>
    <n v="1"/>
    <n v="47218"/>
    <n v="47218"/>
    <n v="0"/>
    <n v="0"/>
    <n v="47218"/>
    <n v="26701.85"/>
    <n v="20516.150000000001"/>
    <x v="8"/>
    <x v="2"/>
    <n v="9"/>
  </r>
  <r>
    <s v="ORD-00600"/>
    <x v="657"/>
    <s v="Sandals"/>
    <s v="Footwear"/>
    <s v="Website"/>
    <s v="Delta"/>
    <s v="New"/>
    <s v="None"/>
    <n v="2"/>
    <n v="30531"/>
    <n v="61062"/>
    <n v="0"/>
    <n v="0"/>
    <n v="61062"/>
    <n v="32817.67"/>
    <n v="28244.33"/>
    <x v="8"/>
    <x v="2"/>
    <n v="9"/>
  </r>
  <r>
    <s v="ORD-01193"/>
    <x v="657"/>
    <s v="Hoodie"/>
    <s v="Clothing"/>
    <s v="Website"/>
    <s v="Rivers"/>
    <s v="New"/>
    <s v="None"/>
    <n v="3"/>
    <n v="36671"/>
    <n v="110013"/>
    <n v="0"/>
    <n v="0"/>
    <n v="110013"/>
    <n v="53909.54"/>
    <n v="56103.46"/>
    <x v="8"/>
    <x v="2"/>
    <n v="9"/>
  </r>
  <r>
    <s v="ORD-00843"/>
    <x v="658"/>
    <s v="Belt"/>
    <s v="Accessories"/>
    <s v="Instagram"/>
    <s v="Lagos"/>
    <s v="New"/>
    <s v="None"/>
    <n v="1"/>
    <n v="15927"/>
    <n v="15927"/>
    <n v="0"/>
    <n v="0"/>
    <n v="15927"/>
    <n v="8991.9699999999993"/>
    <n v="6935.0300000000007"/>
    <x v="8"/>
    <x v="2"/>
    <n v="9"/>
  </r>
  <r>
    <s v="ORD-01103"/>
    <x v="659"/>
    <s v="Handbag"/>
    <s v="Accessories"/>
    <s v="WhatsApp"/>
    <s v="Abuja"/>
    <s v="Returning"/>
    <s v="None"/>
    <n v="2"/>
    <n v="46530"/>
    <n v="93060"/>
    <n v="0"/>
    <n v="0"/>
    <n v="93060"/>
    <n v="50934.97"/>
    <n v="42125.03"/>
    <x v="8"/>
    <x v="2"/>
    <n v="9"/>
  </r>
  <r>
    <s v="ORD-01186"/>
    <x v="660"/>
    <s v="Jeans"/>
    <s v="Clothing"/>
    <s v="Website"/>
    <s v="Abuja"/>
    <s v="Returning"/>
    <s v="None"/>
    <n v="2"/>
    <n v="42844"/>
    <n v="85688"/>
    <n v="0"/>
    <n v="0"/>
    <n v="85688"/>
    <n v="45825.78"/>
    <n v="39862.22"/>
    <x v="8"/>
    <x v="2"/>
    <n v="9"/>
  </r>
  <r>
    <s v="ORD-00922"/>
    <x v="660"/>
    <s v="Dress"/>
    <s v="Clothing"/>
    <s v="Physical Store"/>
    <s v="Lagos"/>
    <s v="New"/>
    <s v="None"/>
    <n v="2"/>
    <n v="48347"/>
    <n v="96694"/>
    <n v="14504.1"/>
    <n v="0.15"/>
    <n v="82189.899999999994"/>
    <n v="61205.1"/>
    <n v="20984.799999999996"/>
    <x v="8"/>
    <x v="2"/>
    <n v="9"/>
  </r>
  <r>
    <s v="ORD-00905"/>
    <x v="661"/>
    <s v="Dress"/>
    <s v="Clothing"/>
    <s v="Physical Store"/>
    <s v="Delta"/>
    <s v="New"/>
    <s v="None"/>
    <n v="4"/>
    <n v="53445"/>
    <n v="213780"/>
    <n v="0"/>
    <n v="0"/>
    <n v="213780"/>
    <n v="119732"/>
    <n v="94048"/>
    <x v="8"/>
    <x v="2"/>
    <n v="9"/>
  </r>
  <r>
    <s v="ORD-00579"/>
    <x v="661"/>
    <s v="T-Shirt"/>
    <s v="Clothing"/>
    <s v="Website"/>
    <s v="Oyo"/>
    <s v="Returning"/>
    <s v="None"/>
    <n v="1"/>
    <n v="17089"/>
    <n v="17089"/>
    <n v="0"/>
    <n v="0"/>
    <n v="17089"/>
    <n v="8731.94"/>
    <n v="8357.06"/>
    <x v="8"/>
    <x v="2"/>
    <n v="9"/>
  </r>
  <r>
    <s v="ORD-01091"/>
    <x v="661"/>
    <s v="Handbag"/>
    <s v="Accessories"/>
    <s v="WhatsApp"/>
    <s v="Lagos"/>
    <s v="Returning"/>
    <s v="None"/>
    <n v="1"/>
    <n v="46263"/>
    <n v="46263"/>
    <n v="0"/>
    <n v="0"/>
    <n v="46263"/>
    <n v="28526.51"/>
    <n v="17736.490000000002"/>
    <x v="8"/>
    <x v="2"/>
    <n v="9"/>
  </r>
  <r>
    <s v="ORD-00311"/>
    <x v="662"/>
    <s v="Dress"/>
    <s v="Clothing"/>
    <s v="Instagram"/>
    <s v="Abuja"/>
    <s v="New"/>
    <s v="None"/>
    <n v="1"/>
    <n v="52093"/>
    <n v="52093"/>
    <n v="0"/>
    <n v="0"/>
    <n v="52093"/>
    <n v="31650.68"/>
    <n v="20442.32"/>
    <x v="8"/>
    <x v="2"/>
    <n v="9"/>
  </r>
  <r>
    <s v="ORD-00304"/>
    <x v="663"/>
    <s v="Hoodie"/>
    <s v="Clothing"/>
    <s v="WhatsApp"/>
    <s v="Abuja"/>
    <s v="New"/>
    <s v="None"/>
    <n v="3"/>
    <n v="40457"/>
    <n v="121371"/>
    <n v="0"/>
    <n v="0"/>
    <n v="121371"/>
    <n v="71605.7"/>
    <n v="49765.3"/>
    <x v="8"/>
    <x v="2"/>
    <n v="9"/>
  </r>
  <r>
    <s v="ORD-00255"/>
    <x v="663"/>
    <s v="T-Shirt"/>
    <s v="Clothing"/>
    <s v="Physical Store"/>
    <s v="Delta"/>
    <s v="New"/>
    <s v="None"/>
    <n v="2"/>
    <n v="17758"/>
    <n v="35516"/>
    <n v="0"/>
    <n v="0"/>
    <n v="35516"/>
    <n v="20421.349999999999"/>
    <n v="15094.650000000001"/>
    <x v="8"/>
    <x v="2"/>
    <n v="9"/>
  </r>
  <r>
    <s v="ORD-00844"/>
    <x v="663"/>
    <s v="Sandals"/>
    <s v="Footwear"/>
    <s v="Physical Store"/>
    <s v="Oyo"/>
    <s v="Returning"/>
    <s v="None"/>
    <n v="2"/>
    <n v="28581"/>
    <n v="57162"/>
    <n v="2858.1"/>
    <n v="0.05"/>
    <n v="54303.9"/>
    <n v="32809.22"/>
    <n v="21494.68"/>
    <x v="8"/>
    <x v="2"/>
    <n v="9"/>
  </r>
  <r>
    <s v="ORD-00789"/>
    <x v="663"/>
    <s v="Dress"/>
    <s v="Clothing"/>
    <s v="Physical Store"/>
    <s v="Oyo"/>
    <s v="Returning"/>
    <s v="None"/>
    <n v="1"/>
    <n v="51249"/>
    <n v="51249"/>
    <n v="0"/>
    <n v="0"/>
    <n v="51249"/>
    <n v="29573.55"/>
    <n v="21675.45"/>
    <x v="8"/>
    <x v="2"/>
    <n v="9"/>
  </r>
  <r>
    <s v="ORD-01094"/>
    <x v="664"/>
    <s v="T-Shirt"/>
    <s v="Clothing"/>
    <s v="Physical Store"/>
    <s v="Abuja"/>
    <s v="Returning"/>
    <s v="None"/>
    <n v="4"/>
    <n v="17413"/>
    <n v="69652"/>
    <n v="0"/>
    <n v="0"/>
    <n v="69652"/>
    <n v="36551.94"/>
    <n v="33100.06"/>
    <x v="8"/>
    <x v="2"/>
    <n v="9"/>
  </r>
  <r>
    <s v="ORD-01097"/>
    <x v="664"/>
    <s v="Cap"/>
    <s v="Accessories"/>
    <s v="Instagram"/>
    <s v="Lagos"/>
    <s v="Returning"/>
    <s v="None"/>
    <n v="3"/>
    <n v="12278"/>
    <n v="36834"/>
    <n v="0"/>
    <n v="0"/>
    <n v="36834"/>
    <n v="20639.05"/>
    <n v="16194.95"/>
    <x v="8"/>
    <x v="2"/>
    <n v="9"/>
  </r>
  <r>
    <s v="ORD-00058"/>
    <x v="665"/>
    <s v="Belt"/>
    <s v="Accessories"/>
    <s v="Physical Store"/>
    <s v="Oyo"/>
    <s v="New"/>
    <s v="None"/>
    <n v="1"/>
    <n v="14574"/>
    <n v="14574"/>
    <n v="0"/>
    <n v="0"/>
    <n v="14574"/>
    <n v="7443.79"/>
    <n v="7130.21"/>
    <x v="8"/>
    <x v="2"/>
    <n v="9"/>
  </r>
  <r>
    <s v="ORD-00554"/>
    <x v="666"/>
    <s v="Sandals"/>
    <s v="Footwear"/>
    <s v="Physical Store"/>
    <s v="Abuja"/>
    <s v="New"/>
    <s v="None"/>
    <n v="1"/>
    <n v="30809"/>
    <n v="30809"/>
    <n v="3080.9"/>
    <n v="0.1"/>
    <n v="27728.1"/>
    <n v="18994.36"/>
    <n v="8733.739999999998"/>
    <x v="8"/>
    <x v="2"/>
    <n v="9"/>
  </r>
  <r>
    <s v="ORD-00808"/>
    <x v="666"/>
    <s v="Polo Shirt"/>
    <s v="Clothing"/>
    <s v="Website"/>
    <s v="Lagos"/>
    <s v="Returning"/>
    <s v="None"/>
    <n v="2"/>
    <n v="24727"/>
    <n v="49454"/>
    <n v="0"/>
    <n v="0"/>
    <n v="49454"/>
    <n v="28846.98"/>
    <n v="20607.02"/>
    <x v="8"/>
    <x v="2"/>
    <n v="9"/>
  </r>
  <r>
    <s v="ORD-00342"/>
    <x v="666"/>
    <s v="Handbag"/>
    <s v="Accessories"/>
    <s v="WhatsApp"/>
    <s v="Lagos"/>
    <s v="Returning"/>
    <s v="None"/>
    <n v="1"/>
    <n v="44566"/>
    <n v="44566"/>
    <n v="0"/>
    <n v="0"/>
    <n v="44566"/>
    <n v="24787.18"/>
    <n v="19778.82"/>
    <x v="8"/>
    <x v="2"/>
    <n v="9"/>
  </r>
  <r>
    <s v="ORD-01004"/>
    <x v="667"/>
    <s v="Polo Shirt"/>
    <s v="Clothing"/>
    <s v="Physical Store"/>
    <s v="Abuja"/>
    <s v="New"/>
    <s v="None"/>
    <n v="1"/>
    <n v="26210"/>
    <n v="26210"/>
    <n v="0"/>
    <n v="0"/>
    <n v="26210"/>
    <n v="16652.62"/>
    <n v="9557.380000000001"/>
    <x v="8"/>
    <x v="2"/>
    <n v="9"/>
  </r>
  <r>
    <s v="ORD-00301"/>
    <x v="668"/>
    <s v="Dress"/>
    <s v="Clothing"/>
    <s v="Website"/>
    <s v="Abuja"/>
    <s v="New"/>
    <s v="None"/>
    <n v="1"/>
    <n v="50819"/>
    <n v="50819"/>
    <n v="0"/>
    <n v="0"/>
    <n v="50819"/>
    <n v="26769.55"/>
    <n v="24049.45"/>
    <x v="8"/>
    <x v="2"/>
    <n v="9"/>
  </r>
  <r>
    <s v="ORD-00891"/>
    <x v="668"/>
    <s v="T-Shirt"/>
    <s v="Clothing"/>
    <s v="Website"/>
    <s v="Lagos"/>
    <s v="New"/>
    <s v="None"/>
    <n v="5"/>
    <n v="17379"/>
    <n v="86895"/>
    <n v="0"/>
    <n v="0"/>
    <n v="86895"/>
    <n v="49782.36"/>
    <n v="37112.639999999999"/>
    <x v="8"/>
    <x v="2"/>
    <n v="9"/>
  </r>
  <r>
    <s v="ORD-00847"/>
    <x v="669"/>
    <s v="Jeans"/>
    <s v="Clothing"/>
    <s v="Website"/>
    <s v="Lagos"/>
    <s v="New"/>
    <s v="None"/>
    <n v="4"/>
    <n v="41548"/>
    <n v="166192"/>
    <n v="0"/>
    <n v="0"/>
    <n v="166192"/>
    <n v="88600.59"/>
    <n v="77591.41"/>
    <x v="8"/>
    <x v="2"/>
    <n v="9"/>
  </r>
  <r>
    <s v="ORD-00307"/>
    <x v="669"/>
    <s v="Jeans"/>
    <s v="Clothing"/>
    <s v="Physical Store"/>
    <s v="Rivers"/>
    <s v="New"/>
    <s v="None"/>
    <n v="1"/>
    <n v="40631"/>
    <n v="40631"/>
    <n v="0"/>
    <n v="0"/>
    <n v="40631"/>
    <n v="23951.279999999999"/>
    <n v="16679.72"/>
    <x v="8"/>
    <x v="2"/>
    <n v="9"/>
  </r>
  <r>
    <s v="ORD-00792"/>
    <x v="670"/>
    <s v="Hoodie"/>
    <s v="Clothing"/>
    <s v="Website"/>
    <s v="Abuja"/>
    <s v="New"/>
    <s v="None"/>
    <n v="4"/>
    <n v="38079"/>
    <n v="152316"/>
    <n v="0"/>
    <n v="0"/>
    <n v="152316"/>
    <n v="98924.83"/>
    <n v="53391.17"/>
    <x v="9"/>
    <x v="2"/>
    <n v="10"/>
  </r>
  <r>
    <s v="ORD-00943"/>
    <x v="670"/>
    <s v="Jeans"/>
    <s v="Clothing"/>
    <s v="Physical Store"/>
    <s v="Oyo"/>
    <s v="Returning"/>
    <s v="None"/>
    <n v="3"/>
    <n v="40875"/>
    <n v="122625"/>
    <n v="0"/>
    <n v="0"/>
    <n v="122625"/>
    <n v="59205.3"/>
    <n v="63419.7"/>
    <x v="9"/>
    <x v="2"/>
    <n v="10"/>
  </r>
  <r>
    <s v="ORD-00849"/>
    <x v="671"/>
    <s v="Polo Shirt"/>
    <s v="Clothing"/>
    <s v="Instagram"/>
    <s v="Abuja"/>
    <s v="Returning"/>
    <s v="None"/>
    <n v="5"/>
    <n v="25876"/>
    <n v="129380"/>
    <n v="0"/>
    <n v="0"/>
    <n v="129380"/>
    <n v="79937.73"/>
    <n v="49442.270000000004"/>
    <x v="9"/>
    <x v="2"/>
    <n v="10"/>
  </r>
  <r>
    <s v="ORD-00346"/>
    <x v="672"/>
    <s v="Dress"/>
    <s v="Clothing"/>
    <s v="Physical Store"/>
    <s v="Lagos"/>
    <s v="Returning"/>
    <s v="None"/>
    <n v="1"/>
    <n v="51938"/>
    <n v="51938"/>
    <n v="0"/>
    <n v="0"/>
    <n v="51938"/>
    <n v="31142.12"/>
    <n v="20795.88"/>
    <x v="9"/>
    <x v="2"/>
    <n v="10"/>
  </r>
  <r>
    <s v="ORD-00852"/>
    <x v="672"/>
    <s v="Sneakers"/>
    <s v="Footwear"/>
    <s v="Instagram"/>
    <s v="Abuja"/>
    <s v="New"/>
    <s v="None"/>
    <n v="2"/>
    <n v="64959"/>
    <n v="129918"/>
    <n v="0"/>
    <n v="0"/>
    <n v="129918"/>
    <n v="65638.100000000006"/>
    <n v="64279.899999999994"/>
    <x v="9"/>
    <x v="2"/>
    <n v="10"/>
  </r>
  <r>
    <s v="ORD-00406"/>
    <x v="672"/>
    <s v="Cap"/>
    <s v="Accessories"/>
    <s v="Instagram"/>
    <s v="Abuja"/>
    <s v="New"/>
    <s v="None"/>
    <n v="4"/>
    <n v="11853"/>
    <n v="47412"/>
    <n v="4741.2"/>
    <n v="0.1"/>
    <n v="42670.8"/>
    <n v="31875.57"/>
    <n v="10795.230000000003"/>
    <x v="9"/>
    <x v="2"/>
    <n v="10"/>
  </r>
  <r>
    <s v="ORD-00919"/>
    <x v="673"/>
    <s v="Hoodie"/>
    <s v="Clothing"/>
    <s v="Instagram"/>
    <s v="Abuja"/>
    <s v="Returning"/>
    <s v="None"/>
    <n v="4"/>
    <n v="39631"/>
    <n v="158524"/>
    <n v="0"/>
    <n v="0"/>
    <n v="158524"/>
    <n v="82786.240000000005"/>
    <n v="75737.759999999995"/>
    <x v="9"/>
    <x v="2"/>
    <n v="10"/>
  </r>
  <r>
    <s v="ORD-00349"/>
    <x v="674"/>
    <s v="T-Shirt"/>
    <s v="Clothing"/>
    <s v="Instagram"/>
    <s v="Rivers"/>
    <s v="New"/>
    <s v="None"/>
    <n v="2"/>
    <n v="19394"/>
    <n v="38788"/>
    <n v="0"/>
    <n v="0"/>
    <n v="38788"/>
    <n v="24488.87"/>
    <n v="14299.130000000001"/>
    <x v="9"/>
    <x v="2"/>
    <n v="10"/>
  </r>
  <r>
    <s v="ORD-00128"/>
    <x v="675"/>
    <s v="Handbag"/>
    <s v="Accessories"/>
    <s v="Website"/>
    <s v="Oyo"/>
    <s v="New"/>
    <s v="None"/>
    <n v="2"/>
    <n v="46171"/>
    <n v="92342"/>
    <n v="0"/>
    <n v="0"/>
    <n v="92342"/>
    <n v="55337.26"/>
    <n v="37004.74"/>
    <x v="9"/>
    <x v="2"/>
    <n v="10"/>
  </r>
  <r>
    <s v="ORD-00328"/>
    <x v="675"/>
    <s v="Cap"/>
    <s v="Accessories"/>
    <s v="Instagram"/>
    <s v="Abuja"/>
    <s v="Returning"/>
    <s v="None"/>
    <n v="3"/>
    <n v="11281"/>
    <n v="33843"/>
    <n v="0"/>
    <n v="0"/>
    <n v="33843"/>
    <n v="16975.95"/>
    <n v="16867.05"/>
    <x v="9"/>
    <x v="2"/>
    <n v="10"/>
  </r>
  <r>
    <s v="ORD-00854"/>
    <x v="676"/>
    <s v="Dress"/>
    <s v="Clothing"/>
    <s v="WhatsApp"/>
    <s v="Lagos"/>
    <s v="New"/>
    <s v="None"/>
    <n v="1"/>
    <n v="52843"/>
    <n v="52843"/>
    <n v="0"/>
    <n v="0"/>
    <n v="52843"/>
    <n v="26168.91"/>
    <n v="26674.09"/>
    <x v="9"/>
    <x v="2"/>
    <n v="10"/>
  </r>
  <r>
    <s v="ORD-00194"/>
    <x v="677"/>
    <s v="Cap"/>
    <s v="Accessories"/>
    <s v="Instagram"/>
    <s v="Delta"/>
    <s v="Returning"/>
    <s v="None"/>
    <n v="1"/>
    <n v="12539"/>
    <n v="12539"/>
    <n v="0"/>
    <n v="0"/>
    <n v="12539"/>
    <n v="6450.29"/>
    <n v="6088.71"/>
    <x v="9"/>
    <x v="2"/>
    <n v="10"/>
  </r>
  <r>
    <s v="ORD-00364"/>
    <x v="678"/>
    <s v="Cap"/>
    <s v="Accessories"/>
    <s v="Physical Store"/>
    <s v="Rivers"/>
    <s v="New"/>
    <s v="None"/>
    <n v="2"/>
    <n v="12428"/>
    <n v="24856"/>
    <n v="3728.4"/>
    <n v="0.15"/>
    <n v="21127.599999999999"/>
    <n v="15484.79"/>
    <n v="5642.8099999999977"/>
    <x v="9"/>
    <x v="2"/>
    <n v="10"/>
  </r>
  <r>
    <s v="ORD-00533"/>
    <x v="678"/>
    <s v="Sandals"/>
    <s v="Footwear"/>
    <s v="Website"/>
    <s v="Lagos"/>
    <s v="New"/>
    <s v="None"/>
    <n v="5"/>
    <n v="31376"/>
    <n v="156880"/>
    <n v="0"/>
    <n v="0"/>
    <n v="156880"/>
    <n v="84717.3"/>
    <n v="72162.7"/>
    <x v="9"/>
    <x v="2"/>
    <n v="10"/>
  </r>
  <r>
    <s v="ORD-00187"/>
    <x v="679"/>
    <s v="Polo Shirt"/>
    <s v="Clothing"/>
    <s v="Website"/>
    <s v="Rivers"/>
    <s v="New"/>
    <s v="None"/>
    <n v="1"/>
    <n v="23828"/>
    <n v="23828"/>
    <n v="0"/>
    <n v="0"/>
    <n v="23828"/>
    <n v="11766.3"/>
    <n v="12061.7"/>
    <x v="9"/>
    <x v="2"/>
    <n v="10"/>
  </r>
  <r>
    <s v="ORD-00062"/>
    <x v="679"/>
    <s v="Dress"/>
    <s v="Clothing"/>
    <s v="Website"/>
    <s v="Abuja"/>
    <s v="Returning"/>
    <s v="None"/>
    <n v="2"/>
    <n v="49442"/>
    <n v="98884"/>
    <n v="0"/>
    <n v="0"/>
    <n v="98884"/>
    <n v="48940.26"/>
    <n v="49943.74"/>
    <x v="9"/>
    <x v="2"/>
    <n v="10"/>
  </r>
  <r>
    <s v="ORD-00086"/>
    <x v="680"/>
    <s v="Jeans"/>
    <s v="Clothing"/>
    <s v="Website"/>
    <s v="Oyo"/>
    <s v="New"/>
    <s v="None"/>
    <n v="1"/>
    <n v="43652"/>
    <n v="43652"/>
    <n v="2182.6"/>
    <n v="0.05"/>
    <n v="41469.4"/>
    <n v="22784.959999999999"/>
    <n v="18684.440000000002"/>
    <x v="9"/>
    <x v="2"/>
    <n v="10"/>
  </r>
  <r>
    <s v="ORD-00237"/>
    <x v="681"/>
    <s v="Dress"/>
    <s v="Clothing"/>
    <s v="Instagram"/>
    <s v="Rivers"/>
    <s v="New"/>
    <s v="None"/>
    <n v="2"/>
    <n v="50798"/>
    <n v="101596"/>
    <n v="0"/>
    <n v="0"/>
    <n v="101596"/>
    <n v="66416.14"/>
    <n v="35179.86"/>
    <x v="9"/>
    <x v="2"/>
    <n v="10"/>
  </r>
  <r>
    <s v="ORD-01021"/>
    <x v="681"/>
    <s v="Hoodie"/>
    <s v="Clothing"/>
    <s v="Website"/>
    <s v="Oyo"/>
    <s v="New"/>
    <s v="None"/>
    <n v="2"/>
    <n v="36022"/>
    <n v="72044"/>
    <n v="10806.6"/>
    <n v="0.15"/>
    <n v="61237.4"/>
    <n v="38348.92"/>
    <n v="22888.480000000003"/>
    <x v="9"/>
    <x v="2"/>
    <n v="10"/>
  </r>
  <r>
    <s v="ORD-00601"/>
    <x v="681"/>
    <s v="Sneakers"/>
    <s v="Footwear"/>
    <s v="WhatsApp"/>
    <s v="Rivers"/>
    <s v="New"/>
    <s v="None"/>
    <n v="2"/>
    <n v="67462"/>
    <n v="134924"/>
    <n v="0"/>
    <n v="0"/>
    <n v="134924"/>
    <n v="91459.04"/>
    <n v="43464.960000000006"/>
    <x v="9"/>
    <x v="2"/>
    <n v="10"/>
  </r>
  <r>
    <s v="ORD-00398"/>
    <x v="682"/>
    <s v="Handbag"/>
    <s v="Accessories"/>
    <s v="Physical Store"/>
    <s v="Abuja"/>
    <s v="New"/>
    <s v="None"/>
    <n v="3"/>
    <n v="45959"/>
    <n v="137877"/>
    <n v="0"/>
    <n v="0"/>
    <n v="137877"/>
    <n v="80826.52"/>
    <n v="57050.479999999996"/>
    <x v="9"/>
    <x v="2"/>
    <n v="10"/>
  </r>
  <r>
    <s v="ORD-00807"/>
    <x v="682"/>
    <s v="Belt"/>
    <s v="Accessories"/>
    <s v="Instagram"/>
    <s v="Lagos"/>
    <s v="New"/>
    <s v="None"/>
    <n v="3"/>
    <n v="14890"/>
    <n v="44670"/>
    <n v="0"/>
    <n v="0"/>
    <n v="44670"/>
    <n v="30215.48"/>
    <n v="14454.52"/>
    <x v="9"/>
    <x v="2"/>
    <n v="10"/>
  </r>
  <r>
    <s v="ORD-00117"/>
    <x v="682"/>
    <s v="T-Shirt"/>
    <s v="Clothing"/>
    <s v="Instagram"/>
    <s v="Lagos"/>
    <s v="Returning"/>
    <s v="None"/>
    <n v="1"/>
    <n v="18700"/>
    <n v="18700"/>
    <n v="0"/>
    <n v="0"/>
    <n v="18700"/>
    <n v="12352.83"/>
    <n v="6347.17"/>
    <x v="9"/>
    <x v="2"/>
    <n v="10"/>
  </r>
  <r>
    <s v="ORD-00051"/>
    <x v="683"/>
    <s v="Cap"/>
    <s v="Accessories"/>
    <s v="Physical Store"/>
    <s v="Abuja"/>
    <s v="Returning"/>
    <s v="None"/>
    <n v="2"/>
    <n v="11560"/>
    <n v="23120"/>
    <n v="1156"/>
    <n v="0.05"/>
    <n v="21964"/>
    <n v="14242.53"/>
    <n v="7721.4699999999993"/>
    <x v="9"/>
    <x v="2"/>
    <n v="10"/>
  </r>
  <r>
    <s v="ORD-00391"/>
    <x v="683"/>
    <s v="Jeans"/>
    <s v="Clothing"/>
    <s v="Instagram"/>
    <s v="Abuja"/>
    <s v="Returning"/>
    <s v="None"/>
    <n v="3"/>
    <n v="42248"/>
    <n v="126744"/>
    <n v="0"/>
    <n v="0"/>
    <n v="126744"/>
    <n v="69438.55"/>
    <n v="57305.45"/>
    <x v="9"/>
    <x v="2"/>
    <n v="10"/>
  </r>
  <r>
    <s v="ORD-00967"/>
    <x v="684"/>
    <s v="Jeans"/>
    <s v="Clothing"/>
    <s v="Physical Store"/>
    <s v="Rivers"/>
    <s v="Returning"/>
    <s v="None"/>
    <n v="1"/>
    <n v="40485"/>
    <n v="40485"/>
    <n v="0"/>
    <n v="0"/>
    <n v="40485"/>
    <n v="21165.62"/>
    <n v="19319.38"/>
    <x v="9"/>
    <x v="2"/>
    <n v="10"/>
  </r>
  <r>
    <s v="ORD-00476"/>
    <x v="685"/>
    <s v="Jeans"/>
    <s v="Clothing"/>
    <s v="Website"/>
    <s v="Lagos"/>
    <s v="New"/>
    <s v="None"/>
    <n v="2"/>
    <n v="44407"/>
    <n v="88814"/>
    <n v="0"/>
    <n v="0"/>
    <n v="88814"/>
    <n v="56561.57"/>
    <n v="32252.43"/>
    <x v="9"/>
    <x v="2"/>
    <n v="10"/>
  </r>
  <r>
    <s v="ORD-00862"/>
    <x v="685"/>
    <s v="Sandals"/>
    <s v="Footwear"/>
    <s v="Physical Store"/>
    <s v="Rivers"/>
    <s v="New"/>
    <s v="None"/>
    <n v="4"/>
    <n v="29761"/>
    <n v="119044"/>
    <n v="0"/>
    <n v="0"/>
    <n v="119044"/>
    <n v="64466.02"/>
    <n v="54577.98"/>
    <x v="9"/>
    <x v="2"/>
    <n v="10"/>
  </r>
  <r>
    <s v="ORD-00050"/>
    <x v="686"/>
    <s v="Sandals"/>
    <s v="Footwear"/>
    <s v="Physical Store"/>
    <s v="Lagos"/>
    <s v="New"/>
    <s v="None"/>
    <n v="1"/>
    <n v="28520"/>
    <n v="28520"/>
    <n v="0"/>
    <n v="0"/>
    <n v="28520"/>
    <n v="14982.45"/>
    <n v="13537.55"/>
    <x v="9"/>
    <x v="2"/>
    <n v="10"/>
  </r>
  <r>
    <s v="ORD-00673"/>
    <x v="687"/>
    <s v="T-Shirt"/>
    <s v="Clothing"/>
    <s v="Instagram"/>
    <s v="Oyo"/>
    <s v="Returning"/>
    <s v="None"/>
    <n v="2"/>
    <n v="18915"/>
    <n v="37830"/>
    <n v="0"/>
    <n v="0"/>
    <n v="37830"/>
    <n v="24746.85"/>
    <n v="13083.150000000001"/>
    <x v="9"/>
    <x v="2"/>
    <n v="10"/>
  </r>
  <r>
    <s v="ORD-00104"/>
    <x v="688"/>
    <s v="Polo Shirt"/>
    <s v="Clothing"/>
    <s v="Instagram"/>
    <s v="Oyo"/>
    <s v="Returning"/>
    <s v="None"/>
    <n v="1"/>
    <n v="23562"/>
    <n v="23562"/>
    <n v="0"/>
    <n v="0"/>
    <n v="23562"/>
    <n v="12177.9"/>
    <n v="11384.1"/>
    <x v="9"/>
    <x v="2"/>
    <n v="10"/>
  </r>
  <r>
    <s v="ORD-00532"/>
    <x v="688"/>
    <s v="Cap"/>
    <s v="Accessories"/>
    <s v="Instagram"/>
    <s v="Lagos"/>
    <s v="New"/>
    <s v="None"/>
    <n v="4"/>
    <n v="11910"/>
    <n v="47640"/>
    <n v="0"/>
    <n v="0"/>
    <n v="47640"/>
    <n v="29809.65"/>
    <n v="17830.349999999999"/>
    <x v="9"/>
    <x v="2"/>
    <n v="10"/>
  </r>
  <r>
    <s v="ORD-00632"/>
    <x v="688"/>
    <s v="Jeans"/>
    <s v="Clothing"/>
    <s v="Instagram"/>
    <s v="Lagos"/>
    <s v="Returning"/>
    <s v="None"/>
    <n v="2"/>
    <n v="42827"/>
    <n v="85654"/>
    <n v="12848.1"/>
    <n v="0.15"/>
    <n v="72805.899999999994"/>
    <n v="49742.559999999998"/>
    <n v="23063.339999999997"/>
    <x v="9"/>
    <x v="2"/>
    <n v="10"/>
  </r>
  <r>
    <s v="ORD-00672"/>
    <x v="689"/>
    <s v="Handbag"/>
    <s v="Accessories"/>
    <s v="Physical Store"/>
    <s v="Abuja"/>
    <s v="New"/>
    <s v="None"/>
    <n v="1"/>
    <n v="44044"/>
    <n v="44044"/>
    <n v="0"/>
    <n v="0"/>
    <n v="44044"/>
    <n v="24385.360000000001"/>
    <n v="19658.64"/>
    <x v="9"/>
    <x v="2"/>
    <n v="10"/>
  </r>
  <r>
    <s v="ORD-00933"/>
    <x v="690"/>
    <s v="Cap"/>
    <s v="Accessories"/>
    <s v="Website"/>
    <s v="Lagos"/>
    <s v="Returning"/>
    <s v="None"/>
    <n v="1"/>
    <n v="11624"/>
    <n v="11624"/>
    <n v="0"/>
    <n v="0"/>
    <n v="11624"/>
    <n v="5627.13"/>
    <n v="5996.87"/>
    <x v="9"/>
    <x v="2"/>
    <n v="10"/>
  </r>
  <r>
    <s v="ORD-00506"/>
    <x v="690"/>
    <s v="T-Shirt"/>
    <s v="Clothing"/>
    <s v="Instagram"/>
    <s v="Oyo"/>
    <s v="New"/>
    <s v="None"/>
    <n v="3"/>
    <n v="17166"/>
    <n v="51498"/>
    <n v="0"/>
    <n v="0"/>
    <n v="51498"/>
    <n v="31187.5"/>
    <n v="20310.5"/>
    <x v="9"/>
    <x v="2"/>
    <n v="10"/>
  </r>
  <r>
    <s v="ORD-00448"/>
    <x v="691"/>
    <s v="Handbag"/>
    <s v="Accessories"/>
    <s v="Website"/>
    <s v="Abuja"/>
    <s v="Returning"/>
    <s v="None"/>
    <n v="1"/>
    <n v="43735"/>
    <n v="43735"/>
    <n v="0"/>
    <n v="0"/>
    <n v="43735"/>
    <n v="28197.23"/>
    <n v="15537.77"/>
    <x v="9"/>
    <x v="2"/>
    <n v="10"/>
  </r>
  <r>
    <s v="ORD-00498"/>
    <x v="692"/>
    <s v="Cap"/>
    <s v="Accessories"/>
    <s v="WhatsApp"/>
    <s v="Lagos"/>
    <s v="New"/>
    <s v="Black Friday"/>
    <n v="1"/>
    <n v="12518"/>
    <n v="12518"/>
    <n v="625.9"/>
    <n v="0.05"/>
    <n v="11892.1"/>
    <n v="8483.42"/>
    <n v="3408.6800000000003"/>
    <x v="10"/>
    <x v="2"/>
    <n v="11"/>
  </r>
  <r>
    <s v="ORD-00112"/>
    <x v="693"/>
    <s v="Dress"/>
    <s v="Clothing"/>
    <s v="Physical Store"/>
    <s v="Lagos"/>
    <s v="New"/>
    <s v="Black Friday"/>
    <n v="1"/>
    <n v="53506"/>
    <n v="53506"/>
    <n v="8025.9"/>
    <n v="0.15"/>
    <n v="45480.1"/>
    <n v="33880.69"/>
    <n v="11599.409999999996"/>
    <x v="10"/>
    <x v="2"/>
    <n v="11"/>
  </r>
  <r>
    <s v="ORD-00801"/>
    <x v="693"/>
    <s v="Handbag"/>
    <s v="Accessories"/>
    <s v="Website"/>
    <s v="Oyo"/>
    <s v="Returning"/>
    <s v="Black Friday"/>
    <n v="2"/>
    <n v="41832"/>
    <n v="83664"/>
    <n v="8366.4"/>
    <n v="0.1"/>
    <n v="75297.600000000006"/>
    <n v="42563.02"/>
    <n v="32734.580000000009"/>
    <x v="10"/>
    <x v="2"/>
    <n v="11"/>
  </r>
  <r>
    <s v="ORD-00679"/>
    <x v="693"/>
    <s v="Cap"/>
    <s v="Accessories"/>
    <s v="Website"/>
    <s v="Lagos"/>
    <s v="New"/>
    <s v="Black Friday"/>
    <n v="3"/>
    <n v="12216"/>
    <n v="36648"/>
    <n v="3664.8"/>
    <n v="0.1"/>
    <n v="32983.199999999997"/>
    <n v="21604.85"/>
    <n v="11378.349999999999"/>
    <x v="10"/>
    <x v="2"/>
    <n v="11"/>
  </r>
  <r>
    <s v="ORD-00366"/>
    <x v="694"/>
    <s v="Jeans"/>
    <s v="Clothing"/>
    <s v="Physical Store"/>
    <s v="Rivers"/>
    <s v="Returning"/>
    <s v="None"/>
    <n v="4"/>
    <n v="38767"/>
    <n v="155068"/>
    <n v="0"/>
    <n v="0"/>
    <n v="155068"/>
    <n v="80895.86"/>
    <n v="74172.14"/>
    <x v="10"/>
    <x v="2"/>
    <n v="11"/>
  </r>
  <r>
    <s v="ORD-01077"/>
    <x v="694"/>
    <s v="Handbag"/>
    <s v="Accessories"/>
    <s v="WhatsApp"/>
    <s v="Abuja"/>
    <s v="New"/>
    <s v="Black Friday"/>
    <n v="3"/>
    <n v="42461"/>
    <n v="127383"/>
    <n v="6369.15"/>
    <n v="0.05"/>
    <n v="121013.85"/>
    <n v="83884.27"/>
    <n v="37129.58"/>
    <x v="10"/>
    <x v="2"/>
    <n v="11"/>
  </r>
  <r>
    <s v="ORD-01048"/>
    <x v="695"/>
    <s v="Sandals"/>
    <s v="Footwear"/>
    <s v="Physical Store"/>
    <s v="Delta"/>
    <s v="New"/>
    <s v="Black Friday"/>
    <n v="1"/>
    <n v="28274"/>
    <n v="28274"/>
    <n v="2827.4"/>
    <n v="0.1"/>
    <n v="25446.6"/>
    <n v="17393.55"/>
    <n v="8053.0499999999993"/>
    <x v="10"/>
    <x v="2"/>
    <n v="11"/>
  </r>
  <r>
    <s v="ORD-01003"/>
    <x v="695"/>
    <s v="Belt"/>
    <s v="Accessories"/>
    <s v="Website"/>
    <s v="Lagos"/>
    <s v="New"/>
    <s v="Black Friday"/>
    <n v="3"/>
    <n v="14240"/>
    <n v="42720"/>
    <n v="4272"/>
    <n v="0.1"/>
    <n v="38448"/>
    <n v="28147.21"/>
    <n v="10300.790000000001"/>
    <x v="10"/>
    <x v="2"/>
    <n v="11"/>
  </r>
  <r>
    <s v="ORD-01064"/>
    <x v="695"/>
    <s v="Hoodie"/>
    <s v="Clothing"/>
    <s v="Physical Store"/>
    <s v="Abuja"/>
    <s v="New"/>
    <s v="Black Friday"/>
    <n v="1"/>
    <n v="35249"/>
    <n v="35249"/>
    <n v="5287.35"/>
    <n v="0.15"/>
    <n v="29961.65"/>
    <n v="17426.23"/>
    <n v="12535.420000000002"/>
    <x v="10"/>
    <x v="2"/>
    <n v="11"/>
  </r>
  <r>
    <s v="ORD-00419"/>
    <x v="696"/>
    <s v="Jeans"/>
    <s v="Clothing"/>
    <s v="Physical Store"/>
    <s v="Lagos"/>
    <s v="New"/>
    <s v="Black Friday"/>
    <n v="1"/>
    <n v="43532"/>
    <n v="43532"/>
    <n v="2176.6"/>
    <n v="0.05"/>
    <n v="41355.4"/>
    <n v="23137.07"/>
    <n v="18218.330000000002"/>
    <x v="10"/>
    <x v="2"/>
    <n v="11"/>
  </r>
  <r>
    <s v="ORD-00915"/>
    <x v="696"/>
    <s v="Cap"/>
    <s v="Accessories"/>
    <s v="WhatsApp"/>
    <s v="Rivers"/>
    <s v="New"/>
    <s v="Black Friday"/>
    <n v="2"/>
    <n v="12655"/>
    <n v="25310"/>
    <n v="5062"/>
    <n v="0.2"/>
    <n v="20248"/>
    <n v="13877.51"/>
    <n v="6370.49"/>
    <x v="10"/>
    <x v="2"/>
    <n v="11"/>
  </r>
  <r>
    <s v="ORD-01172"/>
    <x v="697"/>
    <s v="Sandals"/>
    <s v="Footwear"/>
    <s v="Physical Store"/>
    <s v="Abuja"/>
    <s v="New"/>
    <s v="Black Friday"/>
    <n v="4"/>
    <n v="32342"/>
    <n v="129368"/>
    <n v="6468.4"/>
    <n v="0.05"/>
    <n v="122899.6"/>
    <n v="79720.12"/>
    <n v="43179.48000000001"/>
    <x v="10"/>
    <x v="2"/>
    <n v="11"/>
  </r>
  <r>
    <s v="ORD-00003"/>
    <x v="698"/>
    <s v="Sandals"/>
    <s v="Footwear"/>
    <s v="Website"/>
    <s v="Delta"/>
    <s v="Returning"/>
    <s v="Black Friday"/>
    <n v="4"/>
    <n v="31535"/>
    <n v="126140"/>
    <n v="6307"/>
    <n v="0.05"/>
    <n v="119833"/>
    <n v="83471.92"/>
    <n v="36361.08"/>
    <x v="10"/>
    <x v="2"/>
    <n v="11"/>
  </r>
  <r>
    <s v="ORD-00224"/>
    <x v="699"/>
    <s v="T-Shirt"/>
    <s v="Clothing"/>
    <s v="Instagram"/>
    <s v="Oyo"/>
    <s v="Returning"/>
    <s v="Black Friday"/>
    <n v="2"/>
    <n v="16901"/>
    <n v="33802"/>
    <n v="3380.2"/>
    <n v="0.1"/>
    <n v="30421.8"/>
    <n v="18327.46"/>
    <n v="12094.34"/>
    <x v="10"/>
    <x v="2"/>
    <n v="11"/>
  </r>
  <r>
    <s v="ORD-00786"/>
    <x v="700"/>
    <s v="Sneakers"/>
    <s v="Footwear"/>
    <s v="Physical Store"/>
    <s v="Delta"/>
    <s v="New"/>
    <s v="Black Friday"/>
    <n v="3"/>
    <n v="63168"/>
    <n v="189504"/>
    <n v="18950.400000000001"/>
    <n v="0.1"/>
    <n v="170553.60000000001"/>
    <n v="124601.27"/>
    <n v="45952.33"/>
    <x v="10"/>
    <x v="2"/>
    <n v="11"/>
  </r>
  <r>
    <s v="ORD-00553"/>
    <x v="700"/>
    <s v="T-Shirt"/>
    <s v="Clothing"/>
    <s v="WhatsApp"/>
    <s v="Abuja"/>
    <s v="Returning"/>
    <s v="Black Friday"/>
    <n v="1"/>
    <n v="18178"/>
    <n v="18178"/>
    <n v="908.9"/>
    <n v="0.05"/>
    <n v="17269.099999999999"/>
    <n v="9032.18"/>
    <n v="8236.9199999999983"/>
    <x v="10"/>
    <x v="2"/>
    <n v="11"/>
  </r>
  <r>
    <s v="ORD-00433"/>
    <x v="701"/>
    <s v="Dress"/>
    <s v="Clothing"/>
    <s v="WhatsApp"/>
    <s v="Delta"/>
    <s v="New"/>
    <s v="Black Friday"/>
    <n v="4"/>
    <n v="52636"/>
    <n v="210544"/>
    <n v="21054.400000000001"/>
    <n v="0.1"/>
    <n v="189489.6"/>
    <n v="140449.46"/>
    <n v="49040.140000000014"/>
    <x v="10"/>
    <x v="2"/>
    <n v="11"/>
  </r>
  <r>
    <s v="ORD-00733"/>
    <x v="702"/>
    <s v="Polo Shirt"/>
    <s v="Clothing"/>
    <s v="WhatsApp"/>
    <s v="Lagos"/>
    <s v="New"/>
    <s v="None"/>
    <n v="1"/>
    <n v="23982"/>
    <n v="23982"/>
    <n v="0"/>
    <n v="0"/>
    <n v="23982"/>
    <n v="15321.54"/>
    <n v="8660.4599999999991"/>
    <x v="10"/>
    <x v="2"/>
    <n v="11"/>
  </r>
  <r>
    <s v="ORD-00654"/>
    <x v="702"/>
    <s v="Cap"/>
    <s v="Accessories"/>
    <s v="Website"/>
    <s v="Lagos"/>
    <s v="Returning"/>
    <s v="Black Friday"/>
    <n v="2"/>
    <n v="11584"/>
    <n v="23168"/>
    <n v="2316.8000000000002"/>
    <n v="0.1"/>
    <n v="20851.2"/>
    <n v="15024.28"/>
    <n v="5826.92"/>
    <x v="10"/>
    <x v="2"/>
    <n v="11"/>
  </r>
  <r>
    <s v="ORD-00088"/>
    <x v="703"/>
    <s v="Cap"/>
    <s v="Accessories"/>
    <s v="WhatsApp"/>
    <s v="Rivers"/>
    <s v="New"/>
    <s v="Black Friday"/>
    <n v="3"/>
    <n v="11827"/>
    <n v="35481"/>
    <n v="1774.05"/>
    <n v="0.05"/>
    <n v="33706.949999999997"/>
    <n v="19754.64"/>
    <n v="13952.309999999998"/>
    <x v="10"/>
    <x v="2"/>
    <n v="11"/>
  </r>
  <r>
    <s v="ORD-00131"/>
    <x v="703"/>
    <s v="Belt"/>
    <s v="Accessories"/>
    <s v="WhatsApp"/>
    <s v="Rivers"/>
    <s v="New"/>
    <s v="Black Friday"/>
    <n v="1"/>
    <n v="15984"/>
    <n v="15984"/>
    <n v="1598.4"/>
    <n v="0.1"/>
    <n v="14385.6"/>
    <n v="8362.99"/>
    <n v="6022.6100000000006"/>
    <x v="10"/>
    <x v="2"/>
    <n v="11"/>
  </r>
  <r>
    <s v="ORD-00856"/>
    <x v="704"/>
    <s v="Polo Shirt"/>
    <s v="Clothing"/>
    <s v="Instagram"/>
    <s v="Delta"/>
    <s v="New"/>
    <s v="Black Friday"/>
    <n v="5"/>
    <n v="24879"/>
    <n v="124395"/>
    <n v="18659.25"/>
    <n v="0.15"/>
    <n v="105735.75"/>
    <n v="80687.02"/>
    <n v="25048.729999999996"/>
    <x v="10"/>
    <x v="2"/>
    <n v="11"/>
  </r>
  <r>
    <s v="ORD-00219"/>
    <x v="705"/>
    <s v="Sneakers"/>
    <s v="Footwear"/>
    <s v="Physical Store"/>
    <s v="Oyo"/>
    <s v="Returning"/>
    <s v="Black Friday"/>
    <n v="3"/>
    <n v="69415"/>
    <n v="208245"/>
    <n v="10412.25"/>
    <n v="0.05"/>
    <n v="197832.75"/>
    <n v="123005.33"/>
    <n v="74827.42"/>
    <x v="10"/>
    <x v="2"/>
    <n v="11"/>
  </r>
  <r>
    <s v="ORD-00093"/>
    <x v="705"/>
    <s v="Belt"/>
    <s v="Accessories"/>
    <s v="WhatsApp"/>
    <s v="Lagos"/>
    <s v="New"/>
    <s v="None"/>
    <n v="1"/>
    <n v="15847"/>
    <n v="15847"/>
    <n v="0"/>
    <n v="0"/>
    <n v="15847"/>
    <n v="9570.64"/>
    <n v="6276.3600000000006"/>
    <x v="10"/>
    <x v="2"/>
    <n v="11"/>
  </r>
  <r>
    <s v="ORD-00123"/>
    <x v="706"/>
    <s v="Cap"/>
    <s v="Accessories"/>
    <s v="Website"/>
    <s v="Lagos"/>
    <s v="Returning"/>
    <s v="None"/>
    <n v="1"/>
    <n v="11904"/>
    <n v="11904"/>
    <n v="0"/>
    <n v="0"/>
    <n v="11904"/>
    <n v="7196.01"/>
    <n v="4707.99"/>
    <x v="10"/>
    <x v="2"/>
    <n v="11"/>
  </r>
  <r>
    <s v="ORD-00193"/>
    <x v="707"/>
    <s v="Belt"/>
    <s v="Accessories"/>
    <s v="Physical Store"/>
    <s v="Lagos"/>
    <s v="New"/>
    <s v="Black Friday"/>
    <n v="1"/>
    <n v="15201"/>
    <n v="15201"/>
    <n v="2280.15"/>
    <n v="0.15"/>
    <n v="12920.85"/>
    <n v="7425.45"/>
    <n v="5495.4000000000005"/>
    <x v="10"/>
    <x v="2"/>
    <n v="11"/>
  </r>
  <r>
    <s v="ORD-00248"/>
    <x v="707"/>
    <s v="Dress"/>
    <s v="Clothing"/>
    <s v="Physical Store"/>
    <s v="Rivers"/>
    <s v="New"/>
    <s v="Black Friday"/>
    <n v="2"/>
    <n v="48984"/>
    <n v="97968"/>
    <n v="14695.2"/>
    <n v="0.15"/>
    <n v="83272.800000000003"/>
    <n v="50303.77"/>
    <n v="32969.030000000006"/>
    <x v="10"/>
    <x v="2"/>
    <n v="11"/>
  </r>
  <r>
    <s v="ORD-00683"/>
    <x v="708"/>
    <s v="T-Shirt"/>
    <s v="Clothing"/>
    <s v="Physical Store"/>
    <s v="Lagos"/>
    <s v="New"/>
    <s v="None"/>
    <n v="1"/>
    <n v="17566"/>
    <n v="17566"/>
    <n v="0"/>
    <n v="0"/>
    <n v="17566"/>
    <n v="9810.92"/>
    <n v="7755.08"/>
    <x v="10"/>
    <x v="2"/>
    <n v="11"/>
  </r>
  <r>
    <s v="ORD-00796"/>
    <x v="708"/>
    <s v="Sneakers"/>
    <s v="Footwear"/>
    <s v="Website"/>
    <s v="Oyo"/>
    <s v="Returning"/>
    <s v="None"/>
    <n v="2"/>
    <n v="68117"/>
    <n v="136234"/>
    <n v="0"/>
    <n v="0"/>
    <n v="136234"/>
    <n v="72465.88"/>
    <n v="63768.119999999995"/>
    <x v="10"/>
    <x v="2"/>
    <n v="11"/>
  </r>
  <r>
    <s v="ORD-00272"/>
    <x v="708"/>
    <s v="Polo Shirt"/>
    <s v="Clothing"/>
    <s v="Website"/>
    <s v="Lagos"/>
    <s v="New"/>
    <s v="None"/>
    <n v="4"/>
    <n v="26689"/>
    <n v="106756"/>
    <n v="0"/>
    <n v="0"/>
    <n v="106756"/>
    <n v="64283.57"/>
    <n v="42472.43"/>
    <x v="10"/>
    <x v="2"/>
    <n v="11"/>
  </r>
  <r>
    <s v="ORD-01121"/>
    <x v="708"/>
    <s v="Cap"/>
    <s v="Accessories"/>
    <s v="Website"/>
    <s v="Oyo"/>
    <s v="New"/>
    <s v="Black Friday"/>
    <n v="3"/>
    <n v="11588"/>
    <n v="34764"/>
    <n v="1738.2"/>
    <n v="0.05"/>
    <n v="33025.800000000003"/>
    <n v="22840.78"/>
    <n v="10185.020000000004"/>
    <x v="10"/>
    <x v="2"/>
    <n v="11"/>
  </r>
  <r>
    <s v="ORD-01053"/>
    <x v="708"/>
    <s v="Sneakers"/>
    <s v="Footwear"/>
    <s v="Instagram"/>
    <s v="Abuja"/>
    <s v="New"/>
    <s v="Black Friday"/>
    <n v="1"/>
    <n v="68143"/>
    <n v="68143"/>
    <n v="10221.450000000001"/>
    <n v="0.15"/>
    <n v="57921.55"/>
    <n v="37429.089999999997"/>
    <n v="20492.460000000006"/>
    <x v="10"/>
    <x v="2"/>
    <n v="11"/>
  </r>
  <r>
    <s v="ORD-00437"/>
    <x v="708"/>
    <s v="Polo Shirt"/>
    <s v="Clothing"/>
    <s v="Physical Store"/>
    <s v="Abuja"/>
    <s v="Returning"/>
    <s v="Black Friday"/>
    <n v="3"/>
    <n v="23233"/>
    <n v="69699"/>
    <n v="6969.9"/>
    <n v="0.1"/>
    <n v="62729.1"/>
    <n v="40067.29"/>
    <n v="22661.809999999998"/>
    <x v="10"/>
    <x v="2"/>
    <n v="11"/>
  </r>
  <r>
    <s v="ORD-00716"/>
    <x v="709"/>
    <s v="Dress"/>
    <s v="Clothing"/>
    <s v="Instagram"/>
    <s v="Delta"/>
    <s v="New"/>
    <s v="Black Friday"/>
    <n v="3"/>
    <n v="48630"/>
    <n v="145890"/>
    <n v="21883.5"/>
    <n v="0.15"/>
    <n v="124006.5"/>
    <n v="95448.960000000006"/>
    <n v="28557.539999999994"/>
    <x v="10"/>
    <x v="2"/>
    <n v="11"/>
  </r>
  <r>
    <s v="ORD-00074"/>
    <x v="710"/>
    <s v="Dress"/>
    <s v="Clothing"/>
    <s v="Instagram"/>
    <s v="Delta"/>
    <s v="New"/>
    <s v="Black Friday"/>
    <n v="2"/>
    <n v="49888"/>
    <n v="99776"/>
    <n v="4988.8"/>
    <n v="0.05"/>
    <n v="94787.199999999997"/>
    <n v="58284.51"/>
    <n v="36502.689999999995"/>
    <x v="10"/>
    <x v="2"/>
    <n v="11"/>
  </r>
  <r>
    <s v="ORD-00779"/>
    <x v="711"/>
    <s v="Sandals"/>
    <s v="Footwear"/>
    <s v="WhatsApp"/>
    <s v="Delta"/>
    <s v="New"/>
    <s v="Christmas Promo"/>
    <n v="2"/>
    <n v="27673"/>
    <n v="55346"/>
    <n v="5534.6"/>
    <n v="0.1"/>
    <n v="49811.4"/>
    <n v="29686.9"/>
    <n v="20124.5"/>
    <x v="11"/>
    <x v="2"/>
    <n v="12"/>
  </r>
  <r>
    <s v="ORD-00439"/>
    <x v="711"/>
    <s v="Hoodie"/>
    <s v="Clothing"/>
    <s v="Physical Store"/>
    <s v="Abuja"/>
    <s v="New"/>
    <s v="Christmas Promo"/>
    <n v="3"/>
    <n v="35193"/>
    <n v="105579"/>
    <n v="15836.85"/>
    <n v="0.15"/>
    <n v="89742.15"/>
    <n v="71350.960000000006"/>
    <n v="18391.189999999988"/>
    <x v="11"/>
    <x v="2"/>
    <n v="12"/>
  </r>
  <r>
    <s v="ORD-00378"/>
    <x v="712"/>
    <s v="Jeans"/>
    <s v="Clothing"/>
    <s v="Physical Store"/>
    <s v="Lagos"/>
    <s v="Returning"/>
    <s v="Christmas Promo"/>
    <n v="3"/>
    <n v="44548"/>
    <n v="133644"/>
    <n v="13364.4"/>
    <n v="0.1"/>
    <n v="120279.6"/>
    <n v="67158.53"/>
    <n v="53121.070000000007"/>
    <x v="11"/>
    <x v="2"/>
    <n v="12"/>
  </r>
  <r>
    <s v="ORD-01061"/>
    <x v="713"/>
    <s v="Sneakers"/>
    <s v="Footwear"/>
    <s v="Physical Store"/>
    <s v="Lagos"/>
    <s v="Returning"/>
    <s v="None"/>
    <n v="2"/>
    <n v="68653"/>
    <n v="137306"/>
    <n v="0"/>
    <n v="0"/>
    <n v="137306"/>
    <n v="73819.81"/>
    <n v="63486.19"/>
    <x v="11"/>
    <x v="2"/>
    <n v="12"/>
  </r>
  <r>
    <s v="ORD-00245"/>
    <x v="714"/>
    <s v="Sneakers"/>
    <s v="Footwear"/>
    <s v="Website"/>
    <s v="Lagos"/>
    <s v="Returning"/>
    <s v="Christmas Promo"/>
    <n v="3"/>
    <n v="68506"/>
    <n v="205518"/>
    <n v="10275.9"/>
    <n v="0.05"/>
    <n v="195242.1"/>
    <n v="121806.22"/>
    <n v="73435.88"/>
    <x v="11"/>
    <x v="2"/>
    <n v="12"/>
  </r>
  <r>
    <s v="ORD-00641"/>
    <x v="714"/>
    <s v="Jeans"/>
    <s v="Clothing"/>
    <s v="Physical Store"/>
    <s v="Abuja"/>
    <s v="New"/>
    <s v="Christmas Promo"/>
    <n v="3"/>
    <n v="42868"/>
    <n v="128604"/>
    <n v="12860.4"/>
    <n v="0.1"/>
    <n v="115743.6"/>
    <n v="80020.539999999994"/>
    <n v="35723.060000000012"/>
    <x v="11"/>
    <x v="2"/>
    <n v="12"/>
  </r>
  <r>
    <s v="ORD-01169"/>
    <x v="715"/>
    <s v="T-Shirt"/>
    <s v="Clothing"/>
    <s v="Physical Store"/>
    <s v="Lagos"/>
    <s v="Returning"/>
    <s v="Christmas Promo"/>
    <n v="3"/>
    <n v="17865"/>
    <n v="53595"/>
    <n v="5359.5"/>
    <n v="0.1"/>
    <n v="48235.5"/>
    <n v="35989.33"/>
    <n v="12246.169999999998"/>
    <x v="11"/>
    <x v="2"/>
    <n v="12"/>
  </r>
  <r>
    <s v="ORD-00345"/>
    <x v="715"/>
    <s v="Handbag"/>
    <s v="Accessories"/>
    <s v="Physical Store"/>
    <s v="Lagos"/>
    <s v="Returning"/>
    <s v="Christmas Promo"/>
    <n v="1"/>
    <n v="45751"/>
    <n v="45751"/>
    <n v="2287.5500000000002"/>
    <n v="0.05"/>
    <n v="43463.45"/>
    <n v="26749.71"/>
    <n v="16713.739999999998"/>
    <x v="11"/>
    <x v="2"/>
    <n v="12"/>
  </r>
  <r>
    <s v="ORD-00094"/>
    <x v="716"/>
    <s v="Cap"/>
    <s v="Accessories"/>
    <s v="Instagram"/>
    <s v="Lagos"/>
    <s v="Returning"/>
    <s v="Christmas Promo"/>
    <n v="1"/>
    <n v="12092"/>
    <n v="12092"/>
    <n v="1813.8"/>
    <n v="0.15"/>
    <n v="10278.200000000001"/>
    <n v="7937.52"/>
    <n v="2340.6800000000003"/>
    <x v="11"/>
    <x v="2"/>
    <n v="12"/>
  </r>
  <r>
    <s v="ORD-00895"/>
    <x v="717"/>
    <s v="T-Shirt"/>
    <s v="Clothing"/>
    <s v="Website"/>
    <s v="Abuja"/>
    <s v="Returning"/>
    <s v="Christmas Promo"/>
    <n v="3"/>
    <n v="18549"/>
    <n v="55647"/>
    <n v="2782.35"/>
    <n v="0.05"/>
    <n v="52864.65"/>
    <n v="30930.39"/>
    <n v="21934.260000000002"/>
    <x v="11"/>
    <x v="2"/>
    <n v="12"/>
  </r>
  <r>
    <s v="ORD-00241"/>
    <x v="717"/>
    <s v="T-Shirt"/>
    <s v="Clothing"/>
    <s v="Instagram"/>
    <s v="Lagos"/>
    <s v="New"/>
    <s v="Christmas Promo"/>
    <n v="4"/>
    <n v="18165"/>
    <n v="72660"/>
    <n v="7266"/>
    <n v="0.1"/>
    <n v="65394"/>
    <n v="44567.43"/>
    <n v="20826.57"/>
    <x v="11"/>
    <x v="2"/>
    <n v="12"/>
  </r>
  <r>
    <s v="ORD-00631"/>
    <x v="718"/>
    <s v="Polo Shirt"/>
    <s v="Clothing"/>
    <s v="Website"/>
    <s v="Delta"/>
    <s v="Returning"/>
    <s v="None"/>
    <n v="2"/>
    <n v="26114"/>
    <n v="52228"/>
    <n v="0"/>
    <n v="0"/>
    <n v="52228"/>
    <n v="31346.799999999999"/>
    <n v="20881.2"/>
    <x v="11"/>
    <x v="2"/>
    <n v="12"/>
  </r>
  <r>
    <s v="ORD-00942"/>
    <x v="718"/>
    <s v="Sneakers"/>
    <s v="Footwear"/>
    <s v="Website"/>
    <s v="Rivers"/>
    <s v="Returning"/>
    <s v="Christmas Promo"/>
    <n v="4"/>
    <n v="69507"/>
    <n v="278028"/>
    <n v="41704.199999999997"/>
    <n v="0.15"/>
    <n v="236323.8"/>
    <n v="185685.73"/>
    <n v="50638.069999999978"/>
    <x v="11"/>
    <x v="2"/>
    <n v="12"/>
  </r>
  <r>
    <s v="ORD-00067"/>
    <x v="719"/>
    <s v="Sneakers"/>
    <s v="Footwear"/>
    <s v="WhatsApp"/>
    <s v="Lagos"/>
    <s v="New"/>
    <s v="Christmas Promo"/>
    <n v="1"/>
    <n v="64750"/>
    <n v="64750"/>
    <n v="9712.5"/>
    <n v="0.15"/>
    <n v="55037.5"/>
    <n v="36188.47"/>
    <n v="18849.03"/>
    <x v="11"/>
    <x v="2"/>
    <n v="12"/>
  </r>
  <r>
    <s v="ORD-00306"/>
    <x v="719"/>
    <s v="Hoodie"/>
    <s v="Clothing"/>
    <s v="Instagram"/>
    <s v="Lagos"/>
    <s v="Returning"/>
    <s v="Christmas Promo"/>
    <n v="1"/>
    <n v="35271"/>
    <n v="35271"/>
    <n v="5290.65"/>
    <n v="0.15"/>
    <n v="29980.35"/>
    <n v="20048.79"/>
    <n v="9931.5599999999977"/>
    <x v="11"/>
    <x v="2"/>
    <n v="12"/>
  </r>
  <r>
    <s v="ORD-00975"/>
    <x v="719"/>
    <s v="Cap"/>
    <s v="Accessories"/>
    <s v="WhatsApp"/>
    <s v="Lagos"/>
    <s v="New"/>
    <s v="None"/>
    <n v="2"/>
    <n v="11194"/>
    <n v="22388"/>
    <n v="0"/>
    <n v="0"/>
    <n v="22388"/>
    <n v="12639.18"/>
    <n v="9748.82"/>
    <x v="11"/>
    <x v="2"/>
    <n v="12"/>
  </r>
  <r>
    <s v="ORD-00151"/>
    <x v="719"/>
    <s v="Polo Shirt"/>
    <s v="Clothing"/>
    <s v="Website"/>
    <s v="Abuja"/>
    <s v="Returning"/>
    <s v="Christmas Promo"/>
    <n v="3"/>
    <n v="24224"/>
    <n v="72672"/>
    <n v="3633.6"/>
    <n v="0.05"/>
    <n v="69038.399999999994"/>
    <n v="44069.61"/>
    <n v="24968.789999999994"/>
    <x v="11"/>
    <x v="2"/>
    <n v="12"/>
  </r>
  <r>
    <s v="ORD-00300"/>
    <x v="720"/>
    <s v="Jeans"/>
    <s v="Clothing"/>
    <s v="WhatsApp"/>
    <s v="Abuja"/>
    <s v="New"/>
    <s v="None"/>
    <n v="3"/>
    <n v="42439"/>
    <n v="127317"/>
    <n v="0"/>
    <n v="0"/>
    <n v="127317"/>
    <n v="81411.86"/>
    <n v="45905.14"/>
    <x v="11"/>
    <x v="2"/>
    <n v="12"/>
  </r>
  <r>
    <s v="ORD-00939"/>
    <x v="720"/>
    <s v="Dress"/>
    <s v="Clothing"/>
    <s v="WhatsApp"/>
    <s v="Delta"/>
    <s v="New"/>
    <s v="Christmas Promo"/>
    <n v="1"/>
    <n v="52641"/>
    <n v="52641"/>
    <n v="5264.1"/>
    <n v="0.1"/>
    <n v="47376.9"/>
    <n v="31945.22"/>
    <n v="15431.68"/>
    <x v="11"/>
    <x v="2"/>
    <n v="12"/>
  </r>
  <r>
    <s v="ORD-00576"/>
    <x v="720"/>
    <s v="Belt"/>
    <s v="Accessories"/>
    <s v="WhatsApp"/>
    <s v="Abuja"/>
    <s v="Returning"/>
    <s v="None"/>
    <n v="1"/>
    <n v="15883"/>
    <n v="15883"/>
    <n v="2382.4499999999998"/>
    <n v="0.15"/>
    <n v="13500.55"/>
    <n v="7818.7"/>
    <n v="5681.8499999999995"/>
    <x v="11"/>
    <x v="2"/>
    <n v="12"/>
  </r>
  <r>
    <s v="ORD-00648"/>
    <x v="721"/>
    <s v="Dress"/>
    <s v="Clothing"/>
    <s v="WhatsApp"/>
    <s v="Delta"/>
    <s v="Returning"/>
    <s v="Christmas Promo"/>
    <n v="4"/>
    <n v="46074"/>
    <n v="184296"/>
    <n v="18429.599999999999"/>
    <n v="0.1"/>
    <n v="165866.4"/>
    <n v="90160.15"/>
    <n v="75706.25"/>
    <x v="11"/>
    <x v="2"/>
    <n v="12"/>
  </r>
  <r>
    <s v="ORD-00471"/>
    <x v="722"/>
    <s v="Dress"/>
    <s v="Clothing"/>
    <s v="Website"/>
    <s v="Abuja"/>
    <s v="Returning"/>
    <s v="Christmas Promo"/>
    <n v="1"/>
    <n v="49908"/>
    <n v="49908"/>
    <n v="4990.8"/>
    <n v="0.1"/>
    <n v="44917.2"/>
    <n v="30612.92"/>
    <n v="14304.279999999999"/>
    <x v="11"/>
    <x v="2"/>
    <n v="12"/>
  </r>
  <r>
    <s v="ORD-00324"/>
    <x v="722"/>
    <s v="Handbag"/>
    <s v="Accessories"/>
    <s v="WhatsApp"/>
    <s v="Delta"/>
    <s v="Returning"/>
    <s v="None"/>
    <n v="2"/>
    <n v="44165"/>
    <n v="88330"/>
    <n v="0"/>
    <n v="0"/>
    <n v="88330"/>
    <n v="59867.17"/>
    <n v="28462.83"/>
    <x v="11"/>
    <x v="2"/>
    <n v="12"/>
  </r>
  <r>
    <s v="ORD-00329"/>
    <x v="722"/>
    <s v="Dress"/>
    <s v="Clothing"/>
    <s v="Instagram"/>
    <s v="Lagos"/>
    <s v="Returning"/>
    <s v="Christmas Promo"/>
    <n v="3"/>
    <n v="49793"/>
    <n v="149379"/>
    <n v="29875.8"/>
    <n v="0.2"/>
    <n v="119503.2"/>
    <n v="73138.720000000001"/>
    <n v="46364.479999999996"/>
    <x v="11"/>
    <x v="2"/>
    <n v="12"/>
  </r>
  <r>
    <s v="ORD-00022"/>
    <x v="723"/>
    <s v="Jeans"/>
    <s v="Clothing"/>
    <s v="Website"/>
    <s v="Abuja"/>
    <s v="New"/>
    <s v="Christmas Promo"/>
    <n v="1"/>
    <n v="39810"/>
    <n v="39810"/>
    <n v="5971.5"/>
    <n v="0.15"/>
    <n v="33838.5"/>
    <n v="22420.25"/>
    <n v="11418.25"/>
    <x v="11"/>
    <x v="2"/>
    <n v="12"/>
  </r>
  <r>
    <s v="ORD-01156"/>
    <x v="724"/>
    <s v="Cap"/>
    <s v="Accessories"/>
    <s v="Website"/>
    <s v="Lagos"/>
    <s v="New"/>
    <s v="None"/>
    <n v="4"/>
    <n v="12394"/>
    <n v="49576"/>
    <n v="0"/>
    <n v="0"/>
    <n v="49576"/>
    <n v="31793.71"/>
    <n v="17782.29"/>
    <x v="11"/>
    <x v="2"/>
    <n v="12"/>
  </r>
  <r>
    <s v="ORD-00079"/>
    <x v="725"/>
    <s v="Jeans"/>
    <s v="Clothing"/>
    <s v="Website"/>
    <s v="Lagos"/>
    <s v="New"/>
    <s v="None"/>
    <n v="3"/>
    <n v="39351"/>
    <n v="118053"/>
    <n v="0"/>
    <n v="0"/>
    <n v="118053"/>
    <n v="58879.1"/>
    <n v="59173.9"/>
    <x v="11"/>
    <x v="2"/>
    <n v="12"/>
  </r>
  <r>
    <s v="ORD-00902"/>
    <x v="725"/>
    <s v="Cap"/>
    <s v="Accessories"/>
    <s v="Physical Store"/>
    <s v="Abuja"/>
    <s v="New"/>
    <s v="Christmas Promo"/>
    <n v="4"/>
    <n v="11780"/>
    <n v="47120"/>
    <n v="2356"/>
    <n v="0.05"/>
    <n v="44764"/>
    <n v="29170.62"/>
    <n v="15593.380000000001"/>
    <x v="11"/>
    <x v="2"/>
    <n v="12"/>
  </r>
  <r>
    <s v="ORD-00535"/>
    <x v="726"/>
    <s v="Dress"/>
    <s v="Clothing"/>
    <s v="Physical Store"/>
    <s v="Abuja"/>
    <s v="Returning"/>
    <s v="None"/>
    <n v="1"/>
    <n v="46761"/>
    <n v="46761"/>
    <n v="0"/>
    <n v="0"/>
    <n v="46761"/>
    <n v="26220.07"/>
    <n v="20540.93"/>
    <x v="11"/>
    <x v="2"/>
    <n v="12"/>
  </r>
  <r>
    <s v="ORD-00344"/>
    <x v="727"/>
    <s v="Hoodie"/>
    <s v="Clothing"/>
    <s v="Instagram"/>
    <s v="Oyo"/>
    <s v="New"/>
    <s v="None"/>
    <n v="2"/>
    <n v="38599"/>
    <n v="77198"/>
    <n v="0"/>
    <n v="0"/>
    <n v="77198"/>
    <n v="51845.34"/>
    <n v="25352.660000000003"/>
    <x v="11"/>
    <x v="2"/>
    <n v="12"/>
  </r>
  <r>
    <s v="ORD-00431"/>
    <x v="727"/>
    <s v="Hoodie"/>
    <s v="Clothing"/>
    <s v="Physical Store"/>
    <s v="Abuja"/>
    <s v="New"/>
    <s v="Christmas Promo"/>
    <n v="1"/>
    <n v="37808"/>
    <n v="37808"/>
    <n v="3780.8"/>
    <n v="0.1"/>
    <n v="34027.199999999997"/>
    <n v="25593.4"/>
    <n v="8433.7999999999956"/>
    <x v="11"/>
    <x v="2"/>
    <n v="12"/>
  </r>
  <r>
    <s v="ORD-00461"/>
    <x v="728"/>
    <s v="Jeans"/>
    <s v="Clothing"/>
    <s v="Website"/>
    <s v="Oyo"/>
    <s v="New"/>
    <s v="None"/>
    <n v="2"/>
    <n v="39538"/>
    <n v="79076"/>
    <n v="0"/>
    <n v="0"/>
    <n v="79076"/>
    <n v="39105.699999999997"/>
    <n v="39970.300000000003"/>
    <x v="11"/>
    <x v="2"/>
    <n v="12"/>
  </r>
  <r>
    <s v="ORD-00568"/>
    <x v="729"/>
    <s v="Handbag"/>
    <s v="Accessories"/>
    <s v="WhatsApp"/>
    <s v="Lagos"/>
    <s v="Returning"/>
    <s v="Christmas Promo"/>
    <n v="1"/>
    <n v="43309"/>
    <n v="43309"/>
    <n v="4330.8999999999996"/>
    <n v="0.1"/>
    <n v="38978.1"/>
    <n v="29006.55"/>
    <n v="9971.5499999999993"/>
    <x v="11"/>
    <x v="2"/>
    <n v="12"/>
  </r>
  <r>
    <s v="ORD-00002"/>
    <x v="729"/>
    <s v="T-Shirt"/>
    <s v="Clothing"/>
    <s v="WhatsApp"/>
    <s v="Oyo"/>
    <s v="Returning"/>
    <s v="None"/>
    <n v="4"/>
    <n v="18970"/>
    <n v="75880"/>
    <n v="0"/>
    <n v="0"/>
    <n v="75880"/>
    <n v="46744.22"/>
    <n v="29135.78"/>
    <x v="11"/>
    <x v="2"/>
    <n v="1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559"/>
    <d v="2024-01-01T00:00:00"/>
    <s v="Belt"/>
    <s v="Accessories"/>
    <s v="Physical Store"/>
    <x v="0"/>
    <s v="Returning"/>
    <s v="None"/>
    <n v="1"/>
    <n v="15989"/>
    <n v="15989"/>
    <n v="0"/>
    <n v="0"/>
    <n v="15989"/>
    <n v="7800.77"/>
    <n v="8188.23"/>
  </r>
  <r>
    <s v="ORD-00743"/>
    <d v="2024-01-01T00:00:00"/>
    <s v="Sneakers"/>
    <s v="Footwear"/>
    <s v="Physical Store"/>
    <x v="1"/>
    <s v="New"/>
    <s v="None"/>
    <n v="1"/>
    <n v="69509"/>
    <n v="69509"/>
    <n v="10426.35"/>
    <n v="0.15"/>
    <n v="59082.65"/>
    <n v="36611.910000000003"/>
    <n v="22470.739999999998"/>
  </r>
  <r>
    <s v="ORD-00146"/>
    <d v="2024-01-02T00:00:00"/>
    <s v="Jeans"/>
    <s v="Clothing"/>
    <s v="Physical Store"/>
    <x v="2"/>
    <s v="Returning"/>
    <s v="None"/>
    <n v="2"/>
    <n v="39039"/>
    <n v="78078"/>
    <n v="0"/>
    <n v="0"/>
    <n v="78078"/>
    <n v="47474.52"/>
    <n v="30603.480000000003"/>
  </r>
  <r>
    <s v="ORD-00189"/>
    <d v="2024-01-02T00:00:00"/>
    <s v="Jeans"/>
    <s v="Clothing"/>
    <s v="Physical Store"/>
    <x v="3"/>
    <s v="New"/>
    <s v="None"/>
    <n v="1"/>
    <n v="41273"/>
    <n v="41273"/>
    <n v="0"/>
    <n v="0"/>
    <n v="41273"/>
    <n v="24202.67"/>
    <n v="17070.330000000002"/>
  </r>
  <r>
    <s v="ORD-01178"/>
    <d v="2024-01-03T00:00:00"/>
    <s v="Belt"/>
    <s v="Accessories"/>
    <s v="Physical Store"/>
    <x v="3"/>
    <s v="New"/>
    <s v="None"/>
    <n v="1"/>
    <n v="14451"/>
    <n v="14451"/>
    <n v="0"/>
    <n v="0"/>
    <n v="14451"/>
    <n v="9760.75"/>
    <n v="4690.25"/>
  </r>
  <r>
    <s v="ORD-01138"/>
    <d v="2024-01-03T00:00:00"/>
    <s v="Belt"/>
    <s v="Accessories"/>
    <s v="Physical Store"/>
    <x v="4"/>
    <s v="Returning"/>
    <s v="None"/>
    <n v="4"/>
    <n v="14676"/>
    <n v="58704"/>
    <n v="0"/>
    <n v="0"/>
    <n v="58704"/>
    <n v="39380.18"/>
    <n v="19323.82"/>
  </r>
  <r>
    <s v="ORD-00723"/>
    <d v="2024-01-04T00:00:00"/>
    <s v="Belt"/>
    <s v="Accessories"/>
    <s v="Website"/>
    <x v="3"/>
    <s v="New"/>
    <s v="None"/>
    <n v="1"/>
    <n v="15933"/>
    <n v="15933"/>
    <n v="0"/>
    <n v="0"/>
    <n v="15933"/>
    <n v="9442.7099999999991"/>
    <n v="6490.2900000000009"/>
  </r>
  <r>
    <s v="ORD-00990"/>
    <d v="2024-01-04T00:00:00"/>
    <s v="Jeans"/>
    <s v="Clothing"/>
    <s v="WhatsApp"/>
    <x v="1"/>
    <s v="Returning"/>
    <s v="None"/>
    <n v="2"/>
    <n v="41128"/>
    <n v="82256"/>
    <n v="0"/>
    <n v="0"/>
    <n v="82256"/>
    <n v="48103.199999999997"/>
    <n v="34152.800000000003"/>
  </r>
  <r>
    <s v="ORD-00308"/>
    <d v="2024-01-05T00:00:00"/>
    <s v="Cap"/>
    <s v="Accessories"/>
    <s v="Website"/>
    <x v="4"/>
    <s v="New"/>
    <s v="None"/>
    <n v="2"/>
    <n v="11792"/>
    <n v="23584"/>
    <n v="2358.4"/>
    <n v="0.1"/>
    <n v="21225.599999999999"/>
    <n v="12232.72"/>
    <n v="8992.8799999999992"/>
  </r>
  <r>
    <s v="ORD-00773"/>
    <d v="2024-01-05T00:00:00"/>
    <s v="Polo Shirt"/>
    <s v="Clothing"/>
    <s v="Physical Store"/>
    <x v="4"/>
    <s v="New"/>
    <s v="None"/>
    <n v="5"/>
    <n v="24808"/>
    <n v="124040"/>
    <n v="0"/>
    <n v="0"/>
    <n v="124040"/>
    <n v="60728.94"/>
    <n v="63311.06"/>
  </r>
  <r>
    <s v="ORD-00720"/>
    <d v="2024-01-06T00:00:00"/>
    <s v="T-Shirt"/>
    <s v="Clothing"/>
    <s v="WhatsApp"/>
    <x v="4"/>
    <s v="Returning"/>
    <s v="None"/>
    <n v="2"/>
    <n v="19096"/>
    <n v="38192"/>
    <n v="0"/>
    <n v="0"/>
    <n v="38192"/>
    <n v="22437.75"/>
    <n v="15754.25"/>
  </r>
  <r>
    <s v="ORD-00955"/>
    <d v="2024-01-07T00:00:00"/>
    <s v="Polo Shirt"/>
    <s v="Clothing"/>
    <s v="Website"/>
    <x v="1"/>
    <s v="Returning"/>
    <s v="None"/>
    <n v="1"/>
    <n v="24972"/>
    <n v="24972"/>
    <n v="0"/>
    <n v="0"/>
    <n v="24972"/>
    <n v="14986.89"/>
    <n v="9985.11"/>
  </r>
  <r>
    <s v="ORD-00656"/>
    <d v="2024-01-08T00:00:00"/>
    <s v="Cap"/>
    <s v="Accessories"/>
    <s v="Website"/>
    <x v="3"/>
    <s v="New"/>
    <s v="None"/>
    <n v="4"/>
    <n v="12639"/>
    <n v="50556"/>
    <n v="5055.6000000000004"/>
    <n v="0.1"/>
    <n v="45500.4"/>
    <n v="32247.56"/>
    <n v="13252.84"/>
  </r>
  <r>
    <s v="ORD-00195"/>
    <d v="2024-01-09T00:00:00"/>
    <s v="T-Shirt"/>
    <s v="Clothing"/>
    <s v="WhatsApp"/>
    <x v="0"/>
    <s v="Returning"/>
    <s v="None"/>
    <n v="3"/>
    <n v="19212"/>
    <n v="57636"/>
    <n v="0"/>
    <n v="0"/>
    <n v="57636"/>
    <n v="36068.39"/>
    <n v="21567.61"/>
  </r>
  <r>
    <s v="ORD-00528"/>
    <d v="2024-01-10T00:00:00"/>
    <s v="T-Shirt"/>
    <s v="Clothing"/>
    <s v="Website"/>
    <x v="4"/>
    <s v="New"/>
    <s v="None"/>
    <n v="2"/>
    <n v="17848"/>
    <n v="35696"/>
    <n v="0"/>
    <n v="0"/>
    <n v="35696"/>
    <n v="19828.05"/>
    <n v="15867.95"/>
  </r>
  <r>
    <s v="ORD-00752"/>
    <d v="2024-01-10T00:00:00"/>
    <s v="Cap"/>
    <s v="Accessories"/>
    <s v="Instagram"/>
    <x v="4"/>
    <s v="New"/>
    <s v="None"/>
    <n v="3"/>
    <n v="11744"/>
    <n v="35232"/>
    <n v="1761.6"/>
    <n v="0.05"/>
    <n v="33470.400000000001"/>
    <n v="21763.83"/>
    <n v="11706.57"/>
  </r>
  <r>
    <s v="ORD-00830"/>
    <d v="2024-01-11T00:00:00"/>
    <s v="Belt"/>
    <s v="Accessories"/>
    <s v="Website"/>
    <x v="4"/>
    <s v="Returning"/>
    <s v="None"/>
    <n v="5"/>
    <n v="14467"/>
    <n v="72335"/>
    <n v="0"/>
    <n v="0"/>
    <n v="72335"/>
    <n v="37182.080000000002"/>
    <n v="35152.92"/>
  </r>
  <r>
    <s v="ORD-01155"/>
    <d v="2024-01-11T00:00:00"/>
    <s v="Cap"/>
    <s v="Accessories"/>
    <s v="Instagram"/>
    <x v="0"/>
    <s v="New"/>
    <s v="None"/>
    <n v="5"/>
    <n v="11671"/>
    <n v="58355"/>
    <n v="0"/>
    <n v="0"/>
    <n v="58355"/>
    <n v="37902.870000000003"/>
    <n v="20452.129999999997"/>
  </r>
  <r>
    <s v="ORD-01027"/>
    <d v="2024-01-11T00:00:00"/>
    <s v="T-Shirt"/>
    <s v="Clothing"/>
    <s v="Physical Store"/>
    <x v="3"/>
    <s v="New"/>
    <s v="None"/>
    <n v="4"/>
    <n v="18454"/>
    <n v="73816"/>
    <n v="0"/>
    <n v="0"/>
    <n v="73816"/>
    <n v="37882.29"/>
    <n v="35933.71"/>
  </r>
  <r>
    <s v="ORD-00381"/>
    <d v="2024-01-12T00:00:00"/>
    <s v="Cap"/>
    <s v="Accessories"/>
    <s v="Website"/>
    <x v="4"/>
    <s v="New"/>
    <s v="None"/>
    <n v="1"/>
    <n v="11838"/>
    <n v="11838"/>
    <n v="0"/>
    <n v="0"/>
    <n v="11838"/>
    <n v="6621.6"/>
    <n v="5216.3999999999996"/>
  </r>
  <r>
    <s v="ORD-01066"/>
    <d v="2024-01-12T00:00:00"/>
    <s v="T-Shirt"/>
    <s v="Clothing"/>
    <s v="Physical Store"/>
    <x v="1"/>
    <s v="Returning"/>
    <s v="None"/>
    <n v="4"/>
    <n v="18288"/>
    <n v="73152"/>
    <n v="0"/>
    <n v="0"/>
    <n v="73152"/>
    <n v="44507.57"/>
    <n v="28644.43"/>
  </r>
  <r>
    <s v="ORD-00756"/>
    <d v="2024-01-13T00:00:00"/>
    <s v="Jeans"/>
    <s v="Clothing"/>
    <s v="Physical Store"/>
    <x v="1"/>
    <s v="Returning"/>
    <s v="None"/>
    <n v="1"/>
    <n v="41414"/>
    <n v="41414"/>
    <n v="0"/>
    <n v="0"/>
    <n v="41414"/>
    <n v="21964.45"/>
    <n v="19449.55"/>
  </r>
  <r>
    <s v="ORD-00039"/>
    <d v="2024-01-14T00:00:00"/>
    <s v="Sandals"/>
    <s v="Footwear"/>
    <s v="Website"/>
    <x v="2"/>
    <s v="Returning"/>
    <s v="None"/>
    <n v="2"/>
    <n v="29422"/>
    <n v="58844"/>
    <n v="0"/>
    <n v="0"/>
    <n v="58844"/>
    <n v="34354.089999999997"/>
    <n v="24489.910000000003"/>
  </r>
  <r>
    <s v="ORD-00820"/>
    <d v="2024-01-15T00:00:00"/>
    <s v="Sneakers"/>
    <s v="Footwear"/>
    <s v="WhatsApp"/>
    <x v="2"/>
    <s v="New"/>
    <s v="None"/>
    <n v="1"/>
    <n v="64691"/>
    <n v="64691"/>
    <n v="0"/>
    <n v="0"/>
    <n v="64691"/>
    <n v="39976.720000000001"/>
    <n v="24714.28"/>
  </r>
  <r>
    <s v="ORD-00075"/>
    <d v="2024-01-15T00:00:00"/>
    <s v="Polo Shirt"/>
    <s v="Clothing"/>
    <s v="Website"/>
    <x v="4"/>
    <s v="Returning"/>
    <s v="None"/>
    <n v="1"/>
    <n v="24728"/>
    <n v="24728"/>
    <n v="0"/>
    <n v="0"/>
    <n v="24728"/>
    <n v="14900.79"/>
    <n v="9827.2099999999991"/>
  </r>
  <r>
    <s v="ORD-01112"/>
    <d v="2024-01-16T00:00:00"/>
    <s v="Cap"/>
    <s v="Accessories"/>
    <s v="WhatsApp"/>
    <x v="0"/>
    <s v="New"/>
    <s v="None"/>
    <n v="3"/>
    <n v="11360"/>
    <n v="34080"/>
    <n v="0"/>
    <n v="0"/>
    <n v="34080"/>
    <n v="18987.45"/>
    <n v="15092.55"/>
  </r>
  <r>
    <s v="ORD-00242"/>
    <d v="2024-01-17T00:00:00"/>
    <s v="Sandals"/>
    <s v="Footwear"/>
    <s v="Instagram"/>
    <x v="4"/>
    <s v="New"/>
    <s v="None"/>
    <n v="3"/>
    <n v="30800"/>
    <n v="92400"/>
    <n v="0"/>
    <n v="0"/>
    <n v="92400"/>
    <n v="58175.13"/>
    <n v="34224.870000000003"/>
  </r>
  <r>
    <s v="ORD-00261"/>
    <d v="2024-01-18T00:00:00"/>
    <s v="Jeans"/>
    <s v="Clothing"/>
    <s v="WhatsApp"/>
    <x v="2"/>
    <s v="New"/>
    <s v="None"/>
    <n v="1"/>
    <n v="42420"/>
    <n v="42420"/>
    <n v="0"/>
    <n v="0"/>
    <n v="42420"/>
    <n v="28340.12"/>
    <n v="14079.880000000001"/>
  </r>
  <r>
    <s v="ORD-00916"/>
    <d v="2024-01-18T00:00:00"/>
    <s v="Dress"/>
    <s v="Clothing"/>
    <s v="Physical Store"/>
    <x v="4"/>
    <s v="New"/>
    <s v="None"/>
    <n v="1"/>
    <n v="47579"/>
    <n v="47579"/>
    <n v="0"/>
    <n v="0"/>
    <n v="47579"/>
    <n v="31642.55"/>
    <n v="15936.45"/>
  </r>
  <r>
    <s v="ORD-00282"/>
    <d v="2024-01-20T00:00:00"/>
    <s v="Dress"/>
    <s v="Clothing"/>
    <s v="Instagram"/>
    <x v="2"/>
    <s v="New"/>
    <s v="None"/>
    <n v="1"/>
    <n v="48841"/>
    <n v="48841"/>
    <n v="2442.0500000000002"/>
    <n v="0.05"/>
    <n v="46398.95"/>
    <n v="25572.26"/>
    <n v="20826.689999999999"/>
  </r>
  <r>
    <s v="ORD-00033"/>
    <d v="2024-01-21T00:00:00"/>
    <s v="Polo Shirt"/>
    <s v="Clothing"/>
    <s v="Website"/>
    <x v="2"/>
    <s v="Returning"/>
    <s v="None"/>
    <n v="1"/>
    <n v="24775"/>
    <n v="24775"/>
    <n v="0"/>
    <n v="0"/>
    <n v="24775"/>
    <n v="12769.78"/>
    <n v="12005.22"/>
  </r>
  <r>
    <s v="ORD-00017"/>
    <d v="2024-01-22T00:00:00"/>
    <s v="Hoodie"/>
    <s v="Clothing"/>
    <s v="Instagram"/>
    <x v="4"/>
    <s v="Returning"/>
    <s v="None"/>
    <n v="1"/>
    <n v="39954"/>
    <n v="39954"/>
    <n v="0"/>
    <n v="0"/>
    <n v="39954"/>
    <n v="24534.84"/>
    <n v="15419.16"/>
  </r>
  <r>
    <s v="ORD-00358"/>
    <d v="2024-01-23T00:00:00"/>
    <s v="Polo Shirt"/>
    <s v="Clothing"/>
    <s v="Physical Store"/>
    <x v="4"/>
    <s v="New"/>
    <s v="None"/>
    <n v="2"/>
    <n v="23840"/>
    <n v="47680"/>
    <n v="0"/>
    <n v="0"/>
    <n v="47680"/>
    <n v="23126.7"/>
    <n v="24553.3"/>
  </r>
  <r>
    <s v="ORD-00834"/>
    <d v="2024-01-23T00:00:00"/>
    <s v="Belt"/>
    <s v="Accessories"/>
    <s v="Physical Store"/>
    <x v="3"/>
    <s v="New"/>
    <s v="None"/>
    <n v="3"/>
    <n v="16062"/>
    <n v="48186"/>
    <n v="0"/>
    <n v="0"/>
    <n v="48186"/>
    <n v="28793.01"/>
    <n v="19392.990000000002"/>
  </r>
  <r>
    <s v="ORD-00689"/>
    <d v="2024-01-25T00:00:00"/>
    <s v="Cap"/>
    <s v="Accessories"/>
    <s v="WhatsApp"/>
    <x v="3"/>
    <s v="New"/>
    <s v="None"/>
    <n v="2"/>
    <n v="12904"/>
    <n v="25808"/>
    <n v="1290.4000000000001"/>
    <n v="0.05"/>
    <n v="24517.599999999999"/>
    <n v="16832.150000000001"/>
    <n v="7685.4499999999971"/>
  </r>
  <r>
    <s v="ORD-00886"/>
    <d v="2024-01-25T00:00:00"/>
    <s v="T-Shirt"/>
    <s v="Clothing"/>
    <s v="Website"/>
    <x v="1"/>
    <s v="Returning"/>
    <s v="None"/>
    <n v="5"/>
    <n v="17366"/>
    <n v="86830"/>
    <n v="0"/>
    <n v="0"/>
    <n v="86830"/>
    <n v="43627.58"/>
    <n v="43202.42"/>
  </r>
  <r>
    <s v="ORD-01052"/>
    <d v="2024-01-25T00:00:00"/>
    <s v="Hoodie"/>
    <s v="Clothing"/>
    <s v="Website"/>
    <x v="1"/>
    <s v="Returning"/>
    <s v="None"/>
    <n v="1"/>
    <n v="40689"/>
    <n v="40689"/>
    <n v="0"/>
    <n v="0"/>
    <n v="40689"/>
    <n v="22062.93"/>
    <n v="18626.07"/>
  </r>
  <r>
    <s v="ORD-01007"/>
    <d v="2024-01-27T00:00:00"/>
    <s v="Handbag"/>
    <s v="Accessories"/>
    <s v="Physical Store"/>
    <x v="0"/>
    <s v="New"/>
    <s v="None"/>
    <n v="1"/>
    <n v="45081"/>
    <n v="45081"/>
    <n v="0"/>
    <n v="0"/>
    <n v="45081"/>
    <n v="29521.71"/>
    <n v="15559.29"/>
  </r>
  <r>
    <s v="ORD-00230"/>
    <d v="2024-01-27T00:00:00"/>
    <s v="Jeans"/>
    <s v="Clothing"/>
    <s v="WhatsApp"/>
    <x v="3"/>
    <s v="New"/>
    <s v="None"/>
    <n v="1"/>
    <n v="42993"/>
    <n v="42993"/>
    <n v="0"/>
    <n v="0"/>
    <n v="42993"/>
    <n v="23051.83"/>
    <n v="19941.169999999998"/>
  </r>
  <r>
    <s v="ORD-00665"/>
    <d v="2024-01-28T00:00:00"/>
    <s v="Handbag"/>
    <s v="Accessories"/>
    <s v="Physical Store"/>
    <x v="4"/>
    <s v="Returning"/>
    <s v="None"/>
    <n v="2"/>
    <n v="41843"/>
    <n v="83686"/>
    <n v="0"/>
    <n v="0"/>
    <n v="83686"/>
    <n v="55149.64"/>
    <n v="28536.36"/>
  </r>
  <r>
    <s v="ORD-00681"/>
    <d v="2024-01-28T00:00:00"/>
    <s v="Dress"/>
    <s v="Clothing"/>
    <s v="WhatsApp"/>
    <x v="4"/>
    <s v="Returning"/>
    <s v="None"/>
    <n v="3"/>
    <n v="51987"/>
    <n v="155961"/>
    <n v="0"/>
    <n v="0"/>
    <n v="155961"/>
    <n v="89177.56"/>
    <n v="66783.44"/>
  </r>
  <r>
    <s v="ORD-01123"/>
    <d v="2024-01-29T00:00:00"/>
    <s v="Polo Shirt"/>
    <s v="Clothing"/>
    <s v="Instagram"/>
    <x v="2"/>
    <s v="New"/>
    <s v="None"/>
    <n v="1"/>
    <n v="23063"/>
    <n v="23063"/>
    <n v="0"/>
    <n v="0"/>
    <n v="23063"/>
    <n v="13658.15"/>
    <n v="9404.85"/>
  </r>
  <r>
    <s v="ORD-00456"/>
    <d v="2024-01-29T00:00:00"/>
    <s v="Polo Shirt"/>
    <s v="Clothing"/>
    <s v="Physical Store"/>
    <x v="0"/>
    <s v="New"/>
    <s v="None"/>
    <n v="2"/>
    <n v="25639"/>
    <n v="51278"/>
    <n v="0"/>
    <n v="0"/>
    <n v="51278"/>
    <n v="25961.15"/>
    <n v="25316.85"/>
  </r>
  <r>
    <s v="ORD-00993"/>
    <d v="2024-01-29T00:00:00"/>
    <s v="Hoodie"/>
    <s v="Clothing"/>
    <s v="Physical Store"/>
    <x v="0"/>
    <s v="New"/>
    <s v="None"/>
    <n v="2"/>
    <n v="40120"/>
    <n v="80240"/>
    <n v="4012"/>
    <n v="0.05"/>
    <n v="76228"/>
    <n v="53553.98"/>
    <n v="22674.019999999997"/>
  </r>
  <r>
    <s v="ORD-01025"/>
    <d v="2024-01-29T00:00:00"/>
    <s v="Polo Shirt"/>
    <s v="Clothing"/>
    <s v="Physical Store"/>
    <x v="1"/>
    <s v="Returning"/>
    <s v="None"/>
    <n v="3"/>
    <n v="23929"/>
    <n v="71787"/>
    <n v="7178.7"/>
    <n v="0.1"/>
    <n v="64608.3"/>
    <n v="46845.16"/>
    <n v="17763.14"/>
  </r>
  <r>
    <s v="ORD-00910"/>
    <d v="2024-02-01T00:00:00"/>
    <s v="T-Shirt"/>
    <s v="Clothing"/>
    <s v="WhatsApp"/>
    <x v="0"/>
    <s v="New"/>
    <s v="None"/>
    <n v="3"/>
    <n v="17057"/>
    <n v="51171"/>
    <n v="0"/>
    <n v="0"/>
    <n v="51171"/>
    <n v="29176.720000000001"/>
    <n v="21994.28"/>
  </r>
  <r>
    <s v="ORD-00696"/>
    <d v="2024-02-03T00:00:00"/>
    <s v="T-Shirt"/>
    <s v="Clothing"/>
    <s v="WhatsApp"/>
    <x v="4"/>
    <s v="New"/>
    <s v="None"/>
    <n v="2"/>
    <n v="17949"/>
    <n v="35898"/>
    <n v="0"/>
    <n v="0"/>
    <n v="35898"/>
    <n v="22745.61"/>
    <n v="13152.39"/>
  </r>
  <r>
    <s v="ORD-00566"/>
    <d v="2024-02-03T00:00:00"/>
    <s v="Sandals"/>
    <s v="Footwear"/>
    <s v="Physical Store"/>
    <x v="3"/>
    <s v="New"/>
    <s v="Valentine Promo"/>
    <n v="2"/>
    <n v="27700"/>
    <n v="55400"/>
    <n v="5540"/>
    <n v="0.1"/>
    <n v="49860"/>
    <n v="26951.95"/>
    <n v="22908.05"/>
  </r>
  <r>
    <s v="ORD-01002"/>
    <d v="2024-02-03T00:00:00"/>
    <s v="Sandals"/>
    <s v="Footwear"/>
    <s v="Website"/>
    <x v="2"/>
    <s v="Returning"/>
    <s v="Valentine Promo"/>
    <n v="4"/>
    <n v="30624"/>
    <n v="122496"/>
    <n v="12249.6"/>
    <n v="0.1"/>
    <n v="110246.39999999999"/>
    <n v="66069.45"/>
    <n v="44176.95"/>
  </r>
  <r>
    <s v="ORD-00048"/>
    <d v="2024-02-04T00:00:00"/>
    <s v="T-Shirt"/>
    <s v="Clothing"/>
    <s v="Website"/>
    <x v="4"/>
    <s v="New"/>
    <s v="Valentine Promo"/>
    <n v="2"/>
    <n v="18380"/>
    <n v="36760"/>
    <n v="3676"/>
    <n v="0.1"/>
    <n v="33084"/>
    <n v="18687.13"/>
    <n v="14396.869999999999"/>
  </r>
  <r>
    <s v="ORD-00384"/>
    <d v="2024-02-04T00:00:00"/>
    <s v="Cap"/>
    <s v="Accessories"/>
    <s v="Instagram"/>
    <x v="1"/>
    <s v="New"/>
    <s v="Valentine Promo"/>
    <n v="1"/>
    <n v="11461"/>
    <n v="11461"/>
    <n v="1146.0999999999999"/>
    <n v="0.1"/>
    <n v="10314.9"/>
    <n v="7598.65"/>
    <n v="2716.25"/>
  </r>
  <r>
    <s v="ORD-00280"/>
    <d v="2024-02-05T00:00:00"/>
    <s v="Cap"/>
    <s v="Accessories"/>
    <s v="Physical Store"/>
    <x v="3"/>
    <s v="New"/>
    <s v="None"/>
    <n v="4"/>
    <n v="11642"/>
    <n v="46568"/>
    <n v="0"/>
    <n v="0"/>
    <n v="46568"/>
    <n v="24882.52"/>
    <n v="21685.48"/>
  </r>
  <r>
    <s v="ORD-01199"/>
    <d v="2024-02-06T00:00:00"/>
    <s v="Cap"/>
    <s v="Accessories"/>
    <s v="Physical Store"/>
    <x v="1"/>
    <s v="Returning"/>
    <s v="Valentine Promo"/>
    <n v="2"/>
    <n v="12108"/>
    <n v="24216"/>
    <n v="2421.6"/>
    <n v="0.1"/>
    <n v="21794.400000000001"/>
    <n v="15782.9"/>
    <n v="6011.5000000000018"/>
  </r>
  <r>
    <s v="ORD-00409"/>
    <d v="2024-02-06T00:00:00"/>
    <s v="T-Shirt"/>
    <s v="Clothing"/>
    <s v="Website"/>
    <x v="4"/>
    <s v="New"/>
    <s v="Valentine Promo"/>
    <n v="2"/>
    <n v="17943"/>
    <n v="35886"/>
    <n v="5382.9"/>
    <n v="0.15"/>
    <n v="30503.1"/>
    <n v="18797.990000000002"/>
    <n v="11705.109999999997"/>
  </r>
  <r>
    <s v="ORD-00226"/>
    <d v="2024-02-07T00:00:00"/>
    <s v="T-Shirt"/>
    <s v="Clothing"/>
    <s v="Physical Store"/>
    <x v="2"/>
    <s v="Returning"/>
    <s v="Valentine Promo"/>
    <n v="2"/>
    <n v="19067"/>
    <n v="38134"/>
    <n v="3813.4"/>
    <n v="0.1"/>
    <n v="34320.6"/>
    <n v="22365.62"/>
    <n v="11954.98"/>
  </r>
  <r>
    <s v="ORD-01195"/>
    <d v="2024-02-07T00:00:00"/>
    <s v="Polo Shirt"/>
    <s v="Clothing"/>
    <s v="Physical Store"/>
    <x v="3"/>
    <s v="New"/>
    <s v="Valentine Promo"/>
    <n v="1"/>
    <n v="24805"/>
    <n v="24805"/>
    <n v="3720.75"/>
    <n v="0.15"/>
    <n v="21084.25"/>
    <n v="13200.27"/>
    <n v="7883.98"/>
  </r>
  <r>
    <s v="ORD-01107"/>
    <d v="2024-02-08T00:00:00"/>
    <s v="Polo Shirt"/>
    <s v="Clothing"/>
    <s v="Instagram"/>
    <x v="3"/>
    <s v="New"/>
    <s v="Valentine Promo"/>
    <n v="1"/>
    <n v="23338"/>
    <n v="23338"/>
    <n v="1166.9000000000001"/>
    <n v="0.05"/>
    <n v="22171.1"/>
    <n v="11720.14"/>
    <n v="10450.959999999999"/>
  </r>
  <r>
    <s v="ORD-00467"/>
    <d v="2024-02-08T00:00:00"/>
    <s v="Jeans"/>
    <s v="Clothing"/>
    <s v="Instagram"/>
    <x v="4"/>
    <s v="New"/>
    <s v="None"/>
    <n v="2"/>
    <n v="42125"/>
    <n v="84250"/>
    <n v="0"/>
    <n v="0"/>
    <n v="84250"/>
    <n v="44363.67"/>
    <n v="39886.33"/>
  </r>
  <r>
    <s v="ORD-01191"/>
    <d v="2024-02-09T00:00:00"/>
    <s v="Polo Shirt"/>
    <s v="Clothing"/>
    <s v="WhatsApp"/>
    <x v="4"/>
    <s v="Returning"/>
    <s v="Valentine Promo"/>
    <n v="1"/>
    <n v="26419"/>
    <n v="26419"/>
    <n v="3962.85"/>
    <n v="0.15"/>
    <n v="22456.15"/>
    <n v="14409.94"/>
    <n v="8046.2100000000009"/>
  </r>
  <r>
    <s v="ORD-00087"/>
    <d v="2024-02-10T00:00:00"/>
    <s v="Hoodie"/>
    <s v="Clothing"/>
    <s v="Physical Store"/>
    <x v="3"/>
    <s v="New"/>
    <s v="Valentine Promo"/>
    <n v="2"/>
    <n v="36301"/>
    <n v="72602"/>
    <n v="3630.1"/>
    <n v="0.05"/>
    <n v="68971.899999999994"/>
    <n v="45531.08"/>
    <n v="23440.819999999992"/>
  </r>
  <r>
    <s v="ORD-00513"/>
    <d v="2024-02-10T00:00:00"/>
    <s v="Cap"/>
    <s v="Accessories"/>
    <s v="Instagram"/>
    <x v="4"/>
    <s v="Returning"/>
    <s v="Valentine Promo"/>
    <n v="3"/>
    <n v="11447"/>
    <n v="34341"/>
    <n v="5151.1499999999996"/>
    <n v="0.15"/>
    <n v="29189.85"/>
    <n v="18415.599999999999"/>
    <n v="10774.25"/>
  </r>
  <r>
    <s v="ORD-01000"/>
    <d v="2024-02-10T00:00:00"/>
    <s v="T-Shirt"/>
    <s v="Clothing"/>
    <s v="Instagram"/>
    <x v="2"/>
    <s v="Returning"/>
    <s v="Valentine Promo"/>
    <n v="1"/>
    <n v="18125"/>
    <n v="18125"/>
    <n v="1812.5"/>
    <n v="0.1"/>
    <n v="16312.5"/>
    <n v="9161.44"/>
    <n v="7151.0599999999995"/>
  </r>
  <r>
    <s v="ORD-00999"/>
    <d v="2024-02-11T00:00:00"/>
    <s v="Sandals"/>
    <s v="Footwear"/>
    <s v="Instagram"/>
    <x v="4"/>
    <s v="New"/>
    <s v="Valentine Promo"/>
    <n v="2"/>
    <n v="30539"/>
    <n v="61078"/>
    <n v="3053.9"/>
    <n v="0.05"/>
    <n v="58024.1"/>
    <n v="38690.199999999997"/>
    <n v="19333.900000000001"/>
  </r>
  <r>
    <s v="ORD-01051"/>
    <d v="2024-02-11T00:00:00"/>
    <s v="T-Shirt"/>
    <s v="Clothing"/>
    <s v="WhatsApp"/>
    <x v="4"/>
    <s v="New"/>
    <s v="Valentine Promo"/>
    <n v="2"/>
    <n v="18860"/>
    <n v="37720"/>
    <n v="5658"/>
    <n v="0.15"/>
    <n v="32062"/>
    <n v="22696.16"/>
    <n v="9365.84"/>
  </r>
  <r>
    <s v="ORD-00617"/>
    <d v="2024-02-12T00:00:00"/>
    <s v="Sneakers"/>
    <s v="Footwear"/>
    <s v="WhatsApp"/>
    <x v="0"/>
    <s v="New"/>
    <s v="None"/>
    <n v="2"/>
    <n v="67308"/>
    <n v="134616"/>
    <n v="0"/>
    <n v="0"/>
    <n v="134616"/>
    <n v="82225.539999999994"/>
    <n v="52390.460000000006"/>
  </r>
  <r>
    <s v="ORD-01075"/>
    <d v="2024-02-16T00:00:00"/>
    <s v="Handbag"/>
    <s v="Accessories"/>
    <s v="WhatsApp"/>
    <x v="2"/>
    <s v="New"/>
    <s v="None"/>
    <n v="2"/>
    <n v="45330"/>
    <n v="90660"/>
    <n v="4533"/>
    <n v="0.05"/>
    <n v="86127"/>
    <n v="48065.98"/>
    <n v="38061.019999999997"/>
  </r>
  <r>
    <s v="ORD-00645"/>
    <d v="2024-02-16T00:00:00"/>
    <s v="Handbag"/>
    <s v="Accessories"/>
    <s v="WhatsApp"/>
    <x v="4"/>
    <s v="New"/>
    <s v="Valentine Promo"/>
    <n v="1"/>
    <n v="45978"/>
    <n v="45978"/>
    <n v="6896.7"/>
    <n v="0.15"/>
    <n v="39081.300000000003"/>
    <n v="22830.27"/>
    <n v="16251.030000000002"/>
  </r>
  <r>
    <s v="ORD-00494"/>
    <d v="2024-02-16T00:00:00"/>
    <s v="Hoodie"/>
    <s v="Clothing"/>
    <s v="Website"/>
    <x v="4"/>
    <s v="Returning"/>
    <s v="None"/>
    <n v="2"/>
    <n v="36283"/>
    <n v="72566"/>
    <n v="0"/>
    <n v="0"/>
    <n v="72566"/>
    <n v="43154.01"/>
    <n v="29411.989999999998"/>
  </r>
  <r>
    <s v="ORD-00821"/>
    <d v="2024-02-16T00:00:00"/>
    <s v="Belt"/>
    <s v="Accessories"/>
    <s v="Website"/>
    <x v="4"/>
    <s v="New"/>
    <s v="Valentine Promo"/>
    <n v="2"/>
    <n v="15866"/>
    <n v="31732"/>
    <n v="4759.8"/>
    <n v="0.15"/>
    <n v="26972.2"/>
    <n v="15312.32"/>
    <n v="11659.880000000001"/>
  </r>
  <r>
    <s v="ORD-00313"/>
    <d v="2024-02-16T00:00:00"/>
    <s v="Belt"/>
    <s v="Accessories"/>
    <s v="WhatsApp"/>
    <x v="3"/>
    <s v="Returning"/>
    <s v="Valentine Promo"/>
    <n v="3"/>
    <n v="15935"/>
    <n v="47805"/>
    <n v="2390.25"/>
    <n v="0.05"/>
    <n v="45414.75"/>
    <n v="25757.98"/>
    <n v="19656.77"/>
  </r>
  <r>
    <s v="ORD-00652"/>
    <d v="2024-02-17T00:00:00"/>
    <s v="T-Shirt"/>
    <s v="Clothing"/>
    <s v="Physical Store"/>
    <x v="4"/>
    <s v="Returning"/>
    <s v="Valentine Promo"/>
    <n v="1"/>
    <n v="17956"/>
    <n v="17956"/>
    <n v="1795.6"/>
    <n v="0.1"/>
    <n v="16160.4"/>
    <n v="9770.6200000000008"/>
    <n v="6389.7799999999988"/>
  </r>
  <r>
    <s v="ORD-00292"/>
    <d v="2024-02-20T00:00:00"/>
    <s v="Jeans"/>
    <s v="Clothing"/>
    <s v="Website"/>
    <x v="2"/>
    <s v="Returning"/>
    <s v="Valentine Promo"/>
    <n v="1"/>
    <n v="44683"/>
    <n v="44683"/>
    <n v="4468.3"/>
    <n v="0.1"/>
    <n v="40214.699999999997"/>
    <n v="25416.720000000001"/>
    <n v="14797.979999999996"/>
  </r>
  <r>
    <s v="ORD-00855"/>
    <d v="2024-02-20T00:00:00"/>
    <s v="Sneakers"/>
    <s v="Footwear"/>
    <s v="Physical Store"/>
    <x v="3"/>
    <s v="Returning"/>
    <s v="None"/>
    <n v="1"/>
    <n v="64042"/>
    <n v="64042"/>
    <n v="3202.1"/>
    <n v="0.05"/>
    <n v="60839.9"/>
    <n v="39400.449999999997"/>
    <n v="21439.450000000004"/>
  </r>
  <r>
    <s v="ORD-00560"/>
    <d v="2024-02-20T00:00:00"/>
    <s v="Sneakers"/>
    <s v="Footwear"/>
    <s v="Physical Store"/>
    <x v="1"/>
    <s v="New"/>
    <s v="Valentine Promo"/>
    <n v="1"/>
    <n v="66514"/>
    <n v="66514"/>
    <n v="9977.1"/>
    <n v="0.15"/>
    <n v="56536.9"/>
    <n v="41676.04"/>
    <n v="14860.86"/>
  </r>
  <r>
    <s v="ORD-00614"/>
    <d v="2024-02-22T00:00:00"/>
    <s v="Jeans"/>
    <s v="Clothing"/>
    <s v="Instagram"/>
    <x v="0"/>
    <s v="Returning"/>
    <s v="Valentine Promo"/>
    <n v="1"/>
    <n v="44026"/>
    <n v="44026"/>
    <n v="2201.3000000000002"/>
    <n v="0.05"/>
    <n v="41824.699999999997"/>
    <n v="25372.97"/>
    <n v="16451.729999999996"/>
  </r>
  <r>
    <s v="ORD-01168"/>
    <d v="2024-02-23T00:00:00"/>
    <s v="Sneakers"/>
    <s v="Footwear"/>
    <s v="Website"/>
    <x v="0"/>
    <s v="Returning"/>
    <s v="Valentine Promo"/>
    <n v="1"/>
    <n v="68491"/>
    <n v="68491"/>
    <n v="10273.65"/>
    <n v="0.15"/>
    <n v="58217.35"/>
    <n v="33363.410000000003"/>
    <n v="24853.939999999995"/>
  </r>
  <r>
    <s v="ORD-00200"/>
    <d v="2024-02-23T00:00:00"/>
    <s v="Hoodie"/>
    <s v="Clothing"/>
    <s v="Physical Store"/>
    <x v="2"/>
    <s v="New"/>
    <s v="None"/>
    <n v="2"/>
    <n v="38759"/>
    <n v="77518"/>
    <n v="7751.8"/>
    <n v="0.1"/>
    <n v="69766.2"/>
    <n v="50120.51"/>
    <n v="19645.689999999995"/>
  </r>
  <r>
    <s v="ORD-00932"/>
    <d v="2024-02-24T00:00:00"/>
    <s v="Cap"/>
    <s v="Accessories"/>
    <s v="Instagram"/>
    <x v="1"/>
    <s v="Returning"/>
    <s v="Valentine Promo"/>
    <n v="2"/>
    <n v="11075"/>
    <n v="22150"/>
    <n v="2215"/>
    <n v="0.1"/>
    <n v="19935"/>
    <n v="13973.24"/>
    <n v="5961.76"/>
  </r>
  <r>
    <s v="ORD-01033"/>
    <d v="2024-02-24T00:00:00"/>
    <s v="Sneakers"/>
    <s v="Footwear"/>
    <s v="Physical Store"/>
    <x v="4"/>
    <s v="Returning"/>
    <s v="Valentine Promo"/>
    <n v="4"/>
    <n v="60924"/>
    <n v="243696"/>
    <n v="24369.599999999999"/>
    <n v="0.1"/>
    <n v="219326.4"/>
    <n v="121156.43"/>
    <n v="98169.97"/>
  </r>
  <r>
    <s v="ORD-00927"/>
    <d v="2024-02-24T00:00:00"/>
    <s v="Sandals"/>
    <s v="Footwear"/>
    <s v="WhatsApp"/>
    <x v="3"/>
    <s v="New"/>
    <s v="Valentine Promo"/>
    <n v="2"/>
    <n v="30285"/>
    <n v="60570"/>
    <n v="6057"/>
    <n v="0.1"/>
    <n v="54513"/>
    <n v="40925.03"/>
    <n v="13587.970000000001"/>
  </r>
  <r>
    <s v="ORD-00661"/>
    <d v="2024-02-25T00:00:00"/>
    <s v="Jeans"/>
    <s v="Clothing"/>
    <s v="Physical Store"/>
    <x v="2"/>
    <s v="New"/>
    <s v="Valentine Promo"/>
    <n v="5"/>
    <n v="43201"/>
    <n v="216005"/>
    <n v="10800.25"/>
    <n v="0.05"/>
    <n v="205204.75"/>
    <n v="134645.35999999999"/>
    <n v="70559.390000000014"/>
  </r>
  <r>
    <s v="ORD-00485"/>
    <d v="2024-02-27T00:00:00"/>
    <s v="Sandals"/>
    <s v="Footwear"/>
    <s v="Physical Store"/>
    <x v="4"/>
    <s v="Returning"/>
    <s v="None"/>
    <n v="2"/>
    <n v="32161"/>
    <n v="64322"/>
    <n v="0"/>
    <n v="0"/>
    <n v="64322"/>
    <n v="31121.14"/>
    <n v="33200.86"/>
  </r>
  <r>
    <s v="ORD-00981"/>
    <d v="2024-02-28T00:00:00"/>
    <s v="Hoodie"/>
    <s v="Clothing"/>
    <s v="Physical Store"/>
    <x v="2"/>
    <s v="New"/>
    <s v="None"/>
    <n v="2"/>
    <n v="41024"/>
    <n v="82048"/>
    <n v="0"/>
    <n v="0"/>
    <n v="82048"/>
    <n v="42310.48"/>
    <n v="39737.519999999997"/>
  </r>
  <r>
    <s v="ORD-00629"/>
    <d v="2024-03-01T00:00:00"/>
    <s v="Sneakers"/>
    <s v="Footwear"/>
    <s v="WhatsApp"/>
    <x v="4"/>
    <s v="Returning"/>
    <s v="None"/>
    <n v="1"/>
    <n v="60614"/>
    <n v="60614"/>
    <n v="0"/>
    <n v="0"/>
    <n v="60614"/>
    <n v="38611.199999999997"/>
    <n v="22002.800000000003"/>
  </r>
  <r>
    <s v="ORD-01151"/>
    <d v="2024-03-01T00:00:00"/>
    <s v="Belt"/>
    <s v="Accessories"/>
    <s v="Website"/>
    <x v="0"/>
    <s v="New"/>
    <s v="Easter Sale"/>
    <n v="2"/>
    <n v="14179"/>
    <n v="28358"/>
    <n v="4253.7"/>
    <n v="0.15"/>
    <n v="24104.3"/>
    <n v="16150.12"/>
    <n v="7954.1799999999985"/>
  </r>
  <r>
    <s v="ORD-01049"/>
    <d v="2024-03-01T00:00:00"/>
    <s v="Polo Shirt"/>
    <s v="Clothing"/>
    <s v="Instagram"/>
    <x v="3"/>
    <s v="Returning"/>
    <s v="None"/>
    <n v="1"/>
    <n v="26696"/>
    <n v="26696"/>
    <n v="0"/>
    <n v="0"/>
    <n v="26696"/>
    <n v="17786.3"/>
    <n v="8909.7000000000007"/>
  </r>
  <r>
    <s v="ORD-00414"/>
    <d v="2024-03-02T00:00:00"/>
    <s v="Sandals"/>
    <s v="Footwear"/>
    <s v="Website"/>
    <x v="0"/>
    <s v="Returning"/>
    <s v="Easter Sale"/>
    <n v="1"/>
    <n v="30402"/>
    <n v="30402"/>
    <n v="3040.2"/>
    <n v="0.1"/>
    <n v="27361.8"/>
    <n v="19769.849999999999"/>
    <n v="7591.9500000000007"/>
  </r>
  <r>
    <s v="ORD-01176"/>
    <d v="2024-03-02T00:00:00"/>
    <s v="Handbag"/>
    <s v="Accessories"/>
    <s v="WhatsApp"/>
    <x v="1"/>
    <s v="Returning"/>
    <s v="None"/>
    <n v="3"/>
    <n v="45873"/>
    <n v="137619"/>
    <n v="0"/>
    <n v="0"/>
    <n v="137619"/>
    <n v="89781.1"/>
    <n v="47837.899999999994"/>
  </r>
  <r>
    <s v="ORD-00890"/>
    <d v="2024-03-03T00:00:00"/>
    <s v="Jeans"/>
    <s v="Clothing"/>
    <s v="Website"/>
    <x v="3"/>
    <s v="New"/>
    <s v="Easter Sale"/>
    <n v="3"/>
    <n v="39910"/>
    <n v="119730"/>
    <n v="17959.5"/>
    <n v="0.15"/>
    <n v="101770.5"/>
    <n v="74719.25"/>
    <n v="27051.25"/>
  </r>
  <r>
    <s v="ORD-00540"/>
    <d v="2024-03-03T00:00:00"/>
    <s v="T-Shirt"/>
    <s v="Clothing"/>
    <s v="Website"/>
    <x v="4"/>
    <s v="New"/>
    <s v="Easter Sale"/>
    <n v="1"/>
    <n v="17133"/>
    <n v="17133"/>
    <n v="856.65"/>
    <n v="0.05"/>
    <n v="16276.35"/>
    <n v="8231.32"/>
    <n v="8045.0300000000007"/>
  </r>
  <r>
    <s v="ORD-00076"/>
    <d v="2024-03-05T00:00:00"/>
    <s v="Sandals"/>
    <s v="Footwear"/>
    <s v="Website"/>
    <x v="1"/>
    <s v="Returning"/>
    <s v="None"/>
    <n v="1"/>
    <n v="30822"/>
    <n v="30822"/>
    <n v="0"/>
    <n v="0"/>
    <n v="30822"/>
    <n v="20214.72"/>
    <n v="10607.279999999999"/>
  </r>
  <r>
    <s v="ORD-00690"/>
    <d v="2024-03-07T00:00:00"/>
    <s v="Sneakers"/>
    <s v="Footwear"/>
    <s v="Website"/>
    <x v="0"/>
    <s v="New"/>
    <s v="None"/>
    <n v="1"/>
    <n v="64023"/>
    <n v="64023"/>
    <n v="0"/>
    <n v="0"/>
    <n v="64023"/>
    <n v="38117.800000000003"/>
    <n v="25905.199999999997"/>
  </r>
  <r>
    <s v="ORD-00612"/>
    <d v="2024-03-09T00:00:00"/>
    <s v="Sneakers"/>
    <s v="Footwear"/>
    <s v="Instagram"/>
    <x v="4"/>
    <s v="New"/>
    <s v="None"/>
    <n v="1"/>
    <n v="67123"/>
    <n v="67123"/>
    <n v="0"/>
    <n v="0"/>
    <n v="67123"/>
    <n v="32350.32"/>
    <n v="34772.68"/>
  </r>
  <r>
    <s v="ORD-01038"/>
    <d v="2024-03-09T00:00:00"/>
    <s v="Handbag"/>
    <s v="Accessories"/>
    <s v="Physical Store"/>
    <x v="3"/>
    <s v="New"/>
    <s v="Easter Sale"/>
    <n v="2"/>
    <n v="42506"/>
    <n v="85012"/>
    <n v="17002.400000000001"/>
    <n v="0.2"/>
    <n v="68009.600000000006"/>
    <n v="48178.1"/>
    <n v="19831.500000000007"/>
  </r>
  <r>
    <s v="ORD-00829"/>
    <d v="2024-03-09T00:00:00"/>
    <s v="Polo Shirt"/>
    <s v="Clothing"/>
    <s v="Physical Store"/>
    <x v="4"/>
    <s v="Returning"/>
    <s v="Easter Sale"/>
    <n v="1"/>
    <n v="24560"/>
    <n v="24560"/>
    <n v="2456"/>
    <n v="0.1"/>
    <n v="22104"/>
    <n v="16353.33"/>
    <n v="5750.67"/>
  </r>
  <r>
    <s v="ORD-01045"/>
    <d v="2024-03-13T00:00:00"/>
    <s v="Sandals"/>
    <s v="Footwear"/>
    <s v="Instagram"/>
    <x v="4"/>
    <s v="Returning"/>
    <s v="Easter Sale"/>
    <n v="4"/>
    <n v="29121"/>
    <n v="116484"/>
    <n v="17472.599999999999"/>
    <n v="0.15"/>
    <n v="99011.4"/>
    <n v="61801.96"/>
    <n v="37209.439999999995"/>
  </r>
  <r>
    <s v="ORD-00996"/>
    <d v="2024-03-15T00:00:00"/>
    <s v="Cap"/>
    <s v="Accessories"/>
    <s v="WhatsApp"/>
    <x v="2"/>
    <s v="New"/>
    <s v="Easter Sale"/>
    <n v="3"/>
    <n v="12381"/>
    <n v="37143"/>
    <n v="1857.15"/>
    <n v="0.05"/>
    <n v="35285.85"/>
    <n v="20280.91"/>
    <n v="15004.939999999999"/>
  </r>
  <r>
    <s v="ORD-00722"/>
    <d v="2024-03-15T00:00:00"/>
    <s v="Sandals"/>
    <s v="Footwear"/>
    <s v="Website"/>
    <x v="1"/>
    <s v="New"/>
    <s v="None"/>
    <n v="4"/>
    <n v="28410"/>
    <n v="113640"/>
    <n v="0"/>
    <n v="0"/>
    <n v="113640"/>
    <n v="72030.73"/>
    <n v="41609.270000000004"/>
  </r>
  <r>
    <s v="ORD-00587"/>
    <d v="2024-03-15T00:00:00"/>
    <s v="Cap"/>
    <s v="Accessories"/>
    <s v="Instagram"/>
    <x v="2"/>
    <s v="New"/>
    <s v="None"/>
    <n v="3"/>
    <n v="11828"/>
    <n v="35484"/>
    <n v="5322.6"/>
    <n v="0.15"/>
    <n v="30161.4"/>
    <n v="23392.87"/>
    <n v="6768.5300000000025"/>
  </r>
  <r>
    <s v="ORD-00875"/>
    <d v="2024-03-15T00:00:00"/>
    <s v="Jeans"/>
    <s v="Clothing"/>
    <s v="WhatsApp"/>
    <x v="0"/>
    <s v="New"/>
    <s v="None"/>
    <n v="2"/>
    <n v="44438"/>
    <n v="88876"/>
    <n v="0"/>
    <n v="0"/>
    <n v="88876"/>
    <n v="56489.31"/>
    <n v="32386.690000000002"/>
  </r>
  <r>
    <s v="ORD-00423"/>
    <d v="2024-03-16T00:00:00"/>
    <s v="Belt"/>
    <s v="Accessories"/>
    <s v="Physical Store"/>
    <x v="3"/>
    <s v="Returning"/>
    <s v="Easter Sale"/>
    <n v="1"/>
    <n v="14707"/>
    <n v="14707"/>
    <n v="2206.0500000000002"/>
    <n v="0.15"/>
    <n v="12500.95"/>
    <n v="8430.7999999999993"/>
    <n v="4070.1500000000015"/>
  </r>
  <r>
    <s v="ORD-00775"/>
    <d v="2024-03-18T00:00:00"/>
    <s v="Jeans"/>
    <s v="Clothing"/>
    <s v="Physical Store"/>
    <x v="4"/>
    <s v="Returning"/>
    <s v="Easter Sale"/>
    <n v="3"/>
    <n v="40429"/>
    <n v="121287"/>
    <n v="6064.35"/>
    <n v="0.05"/>
    <n v="115222.65"/>
    <n v="68404.38"/>
    <n v="46818.26999999999"/>
  </r>
  <r>
    <s v="ORD-00666"/>
    <d v="2024-03-18T00:00:00"/>
    <s v="Sandals"/>
    <s v="Footwear"/>
    <s v="Physical Store"/>
    <x v="4"/>
    <s v="Returning"/>
    <s v="Easter Sale"/>
    <n v="2"/>
    <n v="30408"/>
    <n v="60816"/>
    <n v="6081.6"/>
    <n v="0.1"/>
    <n v="54734.400000000001"/>
    <n v="35220.870000000003"/>
    <n v="19513.53"/>
  </r>
  <r>
    <s v="ORD-00490"/>
    <d v="2024-03-20T00:00:00"/>
    <s v="Hoodie"/>
    <s v="Clothing"/>
    <s v="Website"/>
    <x v="3"/>
    <s v="New"/>
    <s v="Easter Sale"/>
    <n v="3"/>
    <n v="38453"/>
    <n v="115359"/>
    <n v="11535.9"/>
    <n v="0.1"/>
    <n v="103823.1"/>
    <n v="67214.16"/>
    <n v="36608.94"/>
  </r>
  <r>
    <s v="ORD-00604"/>
    <d v="2024-03-21T00:00:00"/>
    <s v="T-Shirt"/>
    <s v="Clothing"/>
    <s v="Physical Store"/>
    <x v="4"/>
    <s v="New"/>
    <s v="Easter Sale"/>
    <n v="2"/>
    <n v="18863"/>
    <n v="37726"/>
    <n v="3772.6"/>
    <n v="0.1"/>
    <n v="33953.4"/>
    <n v="21325.14"/>
    <n v="12628.260000000002"/>
  </r>
  <r>
    <s v="ORD-00962"/>
    <d v="2024-03-22T00:00:00"/>
    <s v="Jeans"/>
    <s v="Clothing"/>
    <s v="WhatsApp"/>
    <x v="0"/>
    <s v="New"/>
    <s v="Easter Sale"/>
    <n v="2"/>
    <n v="38764"/>
    <n v="77528"/>
    <n v="7752.8"/>
    <n v="0.1"/>
    <n v="69775.199999999997"/>
    <n v="40731.67"/>
    <n v="29043.53"/>
  </r>
  <r>
    <s v="ORD-00557"/>
    <d v="2024-03-23T00:00:00"/>
    <s v="Belt"/>
    <s v="Accessories"/>
    <s v="Physical Store"/>
    <x v="2"/>
    <s v="New"/>
    <s v="None"/>
    <n v="1"/>
    <n v="16009"/>
    <n v="16009"/>
    <n v="0"/>
    <n v="0"/>
    <n v="16009"/>
    <n v="9415.06"/>
    <n v="6593.9400000000005"/>
  </r>
  <r>
    <s v="ORD-00684"/>
    <d v="2024-03-26T00:00:00"/>
    <s v="Belt"/>
    <s v="Accessories"/>
    <s v="WhatsApp"/>
    <x v="4"/>
    <s v="Returning"/>
    <s v="Easter Sale"/>
    <n v="5"/>
    <n v="15496"/>
    <n v="77480"/>
    <n v="11622"/>
    <n v="0.15"/>
    <n v="65858"/>
    <n v="43576.25"/>
    <n v="22281.75"/>
  </r>
  <r>
    <s v="ORD-00931"/>
    <d v="2024-03-27T00:00:00"/>
    <s v="Polo Shirt"/>
    <s v="Clothing"/>
    <s v="Physical Store"/>
    <x v="4"/>
    <s v="Returning"/>
    <s v="None"/>
    <n v="3"/>
    <n v="24492"/>
    <n v="73476"/>
    <n v="3673.8"/>
    <n v="0.05"/>
    <n v="69802.2"/>
    <n v="43474.05"/>
    <n v="26328.149999999994"/>
  </r>
  <r>
    <s v="ORD-00007"/>
    <d v="2024-03-28T00:00:00"/>
    <s v="Dress"/>
    <s v="Clothing"/>
    <s v="Website"/>
    <x v="0"/>
    <s v="Returning"/>
    <s v="None"/>
    <n v="2"/>
    <n v="50755"/>
    <n v="101510"/>
    <n v="0"/>
    <n v="0"/>
    <n v="101510"/>
    <n v="50057.14"/>
    <n v="51452.86"/>
  </r>
  <r>
    <s v="ORD-00780"/>
    <d v="2024-03-29T00:00:00"/>
    <s v="Hoodie"/>
    <s v="Clothing"/>
    <s v="Website"/>
    <x v="0"/>
    <s v="Returning"/>
    <s v="Easter Sale"/>
    <n v="2"/>
    <n v="40773"/>
    <n v="81546"/>
    <n v="12231.9"/>
    <n v="0.15"/>
    <n v="69314.100000000006"/>
    <n v="43185.66"/>
    <n v="26128.440000000002"/>
  </r>
  <r>
    <s v="ORD-00508"/>
    <d v="2024-03-30T00:00:00"/>
    <s v="Handbag"/>
    <s v="Accessories"/>
    <s v="Physical Store"/>
    <x v="3"/>
    <s v="New"/>
    <s v="Easter Sale"/>
    <n v="4"/>
    <n v="41405"/>
    <n v="165620"/>
    <n v="33124"/>
    <n v="0.2"/>
    <n v="132496"/>
    <n v="103323.71"/>
    <n v="29172.289999999994"/>
  </r>
  <r>
    <s v="ORD-00744"/>
    <d v="2024-03-30T00:00:00"/>
    <s v="Cap"/>
    <s v="Accessories"/>
    <s v="Physical Store"/>
    <x v="2"/>
    <s v="New"/>
    <s v="None"/>
    <n v="1"/>
    <n v="12222"/>
    <n v="12222"/>
    <n v="0"/>
    <n v="0"/>
    <n v="12222"/>
    <n v="6854.46"/>
    <n v="5367.54"/>
  </r>
  <r>
    <s v="ORD-00387"/>
    <d v="2024-03-30T00:00:00"/>
    <s v="Belt"/>
    <s v="Accessories"/>
    <s v="Website"/>
    <x v="3"/>
    <s v="Returning"/>
    <s v="Easter Sale"/>
    <n v="2"/>
    <n v="15021"/>
    <n v="30042"/>
    <n v="4506.3"/>
    <n v="0.15"/>
    <n v="25535.7"/>
    <n v="19623.650000000001"/>
    <n v="5912.0499999999993"/>
  </r>
  <r>
    <s v="ORD-00465"/>
    <d v="2024-03-31T00:00:00"/>
    <s v="Cap"/>
    <s v="Accessories"/>
    <s v="Physical Store"/>
    <x v="4"/>
    <s v="New"/>
    <s v="None"/>
    <n v="2"/>
    <n v="12695"/>
    <n v="25390"/>
    <n v="0"/>
    <n v="0"/>
    <n v="25390"/>
    <n v="17183.48"/>
    <n v="8206.52"/>
  </r>
  <r>
    <s v="ORD-00044"/>
    <d v="2024-04-01T00:00:00"/>
    <s v="Handbag"/>
    <s v="Accessories"/>
    <s v="Physical Store"/>
    <x v="2"/>
    <s v="New"/>
    <s v="None"/>
    <n v="1"/>
    <n v="44881"/>
    <n v="44881"/>
    <n v="0"/>
    <n v="0"/>
    <n v="44881"/>
    <n v="26481.82"/>
    <n v="18399.18"/>
  </r>
  <r>
    <s v="ORD-00627"/>
    <d v="2024-04-02T00:00:00"/>
    <s v="Cap"/>
    <s v="Accessories"/>
    <s v="WhatsApp"/>
    <x v="4"/>
    <s v="Returning"/>
    <s v="Easter Sale"/>
    <n v="3"/>
    <n v="12688"/>
    <n v="38064"/>
    <n v="3806.4"/>
    <n v="0.1"/>
    <n v="34257.599999999999"/>
    <n v="21329.65"/>
    <n v="12927.949999999997"/>
  </r>
  <r>
    <s v="ORD-00347"/>
    <d v="2024-04-03T00:00:00"/>
    <s v="Sandals"/>
    <s v="Footwear"/>
    <s v="Physical Store"/>
    <x v="3"/>
    <s v="New"/>
    <s v="None"/>
    <n v="1"/>
    <n v="27897"/>
    <n v="27897"/>
    <n v="0"/>
    <n v="0"/>
    <n v="27897"/>
    <n v="16592.39"/>
    <n v="11304.61"/>
  </r>
  <r>
    <s v="ORD-00825"/>
    <d v="2024-04-04T00:00:00"/>
    <s v="Cap"/>
    <s v="Accessories"/>
    <s v="Physical Store"/>
    <x v="4"/>
    <s v="Returning"/>
    <s v="None"/>
    <n v="1"/>
    <n v="11689"/>
    <n v="11689"/>
    <n v="0"/>
    <n v="0"/>
    <n v="11689"/>
    <n v="6460.65"/>
    <n v="5228.3500000000004"/>
  </r>
  <r>
    <s v="ORD-00621"/>
    <d v="2024-04-04T00:00:00"/>
    <s v="T-Shirt"/>
    <s v="Clothing"/>
    <s v="Physical Store"/>
    <x v="3"/>
    <s v="Returning"/>
    <s v="None"/>
    <n v="1"/>
    <n v="18986"/>
    <n v="18986"/>
    <n v="0"/>
    <n v="0"/>
    <n v="18986"/>
    <n v="11621.22"/>
    <n v="7364.7800000000007"/>
  </r>
  <r>
    <s v="ORD-00567"/>
    <d v="2024-04-04T00:00:00"/>
    <s v="Handbag"/>
    <s v="Accessories"/>
    <s v="Website"/>
    <x v="1"/>
    <s v="Returning"/>
    <s v="Easter Sale"/>
    <n v="1"/>
    <n v="41757"/>
    <n v="41757"/>
    <n v="6263.55"/>
    <n v="0.15"/>
    <n v="35493.449999999997"/>
    <n v="20317.759999999998"/>
    <n v="15175.689999999999"/>
  </r>
  <r>
    <s v="ORD-00407"/>
    <d v="2024-04-05T00:00:00"/>
    <s v="Polo Shirt"/>
    <s v="Clothing"/>
    <s v="WhatsApp"/>
    <x v="4"/>
    <s v="Returning"/>
    <s v="None"/>
    <n v="1"/>
    <n v="24248"/>
    <n v="24248"/>
    <n v="0"/>
    <n v="0"/>
    <n v="24248"/>
    <n v="15500.78"/>
    <n v="8747.2199999999993"/>
  </r>
  <r>
    <s v="ORD-00118"/>
    <d v="2024-04-05T00:00:00"/>
    <s v="Belt"/>
    <s v="Accessories"/>
    <s v="WhatsApp"/>
    <x v="4"/>
    <s v="New"/>
    <s v="None"/>
    <n v="2"/>
    <n v="15811"/>
    <n v="31622"/>
    <n v="0"/>
    <n v="0"/>
    <n v="31622"/>
    <n v="17892.88"/>
    <n v="13729.119999999999"/>
  </r>
  <r>
    <s v="ORD-00944"/>
    <d v="2024-04-05T00:00:00"/>
    <s v="Sandals"/>
    <s v="Footwear"/>
    <s v="Physical Store"/>
    <x v="3"/>
    <s v="Returning"/>
    <s v="None"/>
    <n v="3"/>
    <n v="30439"/>
    <n v="91317"/>
    <n v="0"/>
    <n v="0"/>
    <n v="91317"/>
    <n v="44458.44"/>
    <n v="46858.559999999998"/>
  </r>
  <r>
    <s v="ORD-01032"/>
    <d v="2024-04-07T00:00:00"/>
    <s v="Handbag"/>
    <s v="Accessories"/>
    <s v="Physical Store"/>
    <x v="2"/>
    <s v="Returning"/>
    <s v="None"/>
    <n v="2"/>
    <n v="42152"/>
    <n v="84304"/>
    <n v="0"/>
    <n v="0"/>
    <n v="84304"/>
    <n v="45306.81"/>
    <n v="38997.19"/>
  </r>
  <r>
    <s v="ORD-00593"/>
    <d v="2024-04-07T00:00:00"/>
    <s v="Dress"/>
    <s v="Clothing"/>
    <s v="Physical Store"/>
    <x v="4"/>
    <s v="Returning"/>
    <s v="Easter Sale"/>
    <n v="2"/>
    <n v="49031"/>
    <n v="98062"/>
    <n v="14709.3"/>
    <n v="0.15"/>
    <n v="83352.7"/>
    <n v="56078.64"/>
    <n v="27274.059999999998"/>
  </r>
  <r>
    <s v="ORD-00098"/>
    <d v="2024-04-08T00:00:00"/>
    <s v="Polo Shirt"/>
    <s v="Clothing"/>
    <s v="Physical Store"/>
    <x v="4"/>
    <s v="Returning"/>
    <s v="None"/>
    <n v="2"/>
    <n v="24647"/>
    <n v="49294"/>
    <n v="0"/>
    <n v="0"/>
    <n v="49294"/>
    <n v="29038.42"/>
    <n v="20255.580000000002"/>
  </r>
  <r>
    <s v="ORD-00206"/>
    <d v="2024-04-08T00:00:00"/>
    <s v="Polo Shirt"/>
    <s v="Clothing"/>
    <s v="Instagram"/>
    <x v="2"/>
    <s v="Returning"/>
    <s v="None"/>
    <n v="1"/>
    <n v="23273"/>
    <n v="23273"/>
    <n v="2327.3000000000002"/>
    <n v="0.1"/>
    <n v="20945.7"/>
    <n v="14409.7"/>
    <n v="6536"/>
  </r>
  <r>
    <s v="ORD-00247"/>
    <d v="2024-04-08T00:00:00"/>
    <s v="Jeans"/>
    <s v="Clothing"/>
    <s v="WhatsApp"/>
    <x v="4"/>
    <s v="New"/>
    <s v="None"/>
    <n v="2"/>
    <n v="41617"/>
    <n v="83234"/>
    <n v="0"/>
    <n v="0"/>
    <n v="83234"/>
    <n v="54285.97"/>
    <n v="28948.03"/>
  </r>
  <r>
    <s v="ORD-01057"/>
    <d v="2024-04-11T00:00:00"/>
    <s v="Sandals"/>
    <s v="Footwear"/>
    <s v="Instagram"/>
    <x v="1"/>
    <s v="New"/>
    <s v="None"/>
    <n v="2"/>
    <n v="31413"/>
    <n v="62826"/>
    <n v="0"/>
    <n v="0"/>
    <n v="62826"/>
    <n v="34332.019999999997"/>
    <n v="28493.980000000003"/>
  </r>
  <r>
    <s v="ORD-00589"/>
    <d v="2024-04-12T00:00:00"/>
    <s v="Dress"/>
    <s v="Clothing"/>
    <s v="Physical Store"/>
    <x v="3"/>
    <s v="New"/>
    <s v="None"/>
    <n v="2"/>
    <n v="48446"/>
    <n v="96892"/>
    <n v="0"/>
    <n v="0"/>
    <n v="96892"/>
    <n v="64581.23"/>
    <n v="32310.769999999997"/>
  </r>
  <r>
    <s v="ORD-00203"/>
    <d v="2024-04-13T00:00:00"/>
    <s v="Polo Shirt"/>
    <s v="Clothing"/>
    <s v="Website"/>
    <x v="3"/>
    <s v="Returning"/>
    <s v="None"/>
    <n v="3"/>
    <n v="24673"/>
    <n v="74019"/>
    <n v="11102.85"/>
    <n v="0.15"/>
    <n v="62916.15"/>
    <n v="37029.82"/>
    <n v="25886.33"/>
  </r>
  <r>
    <s v="ORD-00795"/>
    <d v="2024-04-13T00:00:00"/>
    <s v="Cap"/>
    <s v="Accessories"/>
    <s v="Instagram"/>
    <x v="1"/>
    <s v="Returning"/>
    <s v="Easter Sale"/>
    <n v="1"/>
    <n v="12879"/>
    <n v="12879"/>
    <n v="2575.8000000000002"/>
    <n v="0.2"/>
    <n v="10303.200000000001"/>
    <n v="6220.55"/>
    <n v="4082.6500000000005"/>
  </r>
  <r>
    <s v="ORD-00544"/>
    <d v="2024-04-14T00:00:00"/>
    <s v="Handbag"/>
    <s v="Accessories"/>
    <s v="Website"/>
    <x v="2"/>
    <s v="New"/>
    <s v="None"/>
    <n v="3"/>
    <n v="45565"/>
    <n v="136695"/>
    <n v="0"/>
    <n v="0"/>
    <n v="136695"/>
    <n v="80762.12"/>
    <n v="55932.880000000005"/>
  </r>
  <r>
    <s v="ORD-00650"/>
    <d v="2024-04-16T00:00:00"/>
    <s v="Hoodie"/>
    <s v="Clothing"/>
    <s v="Physical Store"/>
    <x v="4"/>
    <s v="New"/>
    <s v="None"/>
    <n v="4"/>
    <n v="39899"/>
    <n v="159596"/>
    <n v="0"/>
    <n v="0"/>
    <n v="159596"/>
    <n v="105791.1"/>
    <n v="53804.899999999994"/>
  </r>
  <r>
    <s v="ORD-01055"/>
    <d v="2024-04-17T00:00:00"/>
    <s v="Polo Shirt"/>
    <s v="Clothing"/>
    <s v="Website"/>
    <x v="4"/>
    <s v="New"/>
    <s v="Easter Sale"/>
    <n v="2"/>
    <n v="26863"/>
    <n v="53726"/>
    <n v="5372.6"/>
    <n v="0.1"/>
    <n v="48353.4"/>
    <n v="30556.29"/>
    <n v="17797.11"/>
  </r>
  <r>
    <s v="ORD-00692"/>
    <d v="2024-04-18T00:00:00"/>
    <s v="Dress"/>
    <s v="Clothing"/>
    <s v="Instagram"/>
    <x v="4"/>
    <s v="New"/>
    <s v="Easter Sale"/>
    <n v="1"/>
    <n v="50116"/>
    <n v="50116"/>
    <n v="7517.4"/>
    <n v="0.15"/>
    <n v="42598.6"/>
    <n v="27258.99"/>
    <n v="15339.609999999997"/>
  </r>
  <r>
    <s v="ORD-00438"/>
    <d v="2024-04-18T00:00:00"/>
    <s v="Handbag"/>
    <s v="Accessories"/>
    <s v="Physical Store"/>
    <x v="4"/>
    <s v="Returning"/>
    <s v="None"/>
    <n v="2"/>
    <n v="41519"/>
    <n v="83038"/>
    <n v="0"/>
    <n v="0"/>
    <n v="83038"/>
    <n v="53072.25"/>
    <n v="29965.75"/>
  </r>
  <r>
    <s v="ORD-00693"/>
    <d v="2024-04-20T00:00:00"/>
    <s v="Polo Shirt"/>
    <s v="Clothing"/>
    <s v="Physical Store"/>
    <x v="4"/>
    <s v="Returning"/>
    <s v="None"/>
    <n v="3"/>
    <n v="23759"/>
    <n v="71277"/>
    <n v="0"/>
    <n v="0"/>
    <n v="71277"/>
    <n v="44495.199999999997"/>
    <n v="26781.800000000003"/>
  </r>
  <r>
    <s v="ORD-00618"/>
    <d v="2024-04-20T00:00:00"/>
    <s v="Handbag"/>
    <s v="Accessories"/>
    <s v="Instagram"/>
    <x v="4"/>
    <s v="Returning"/>
    <s v="None"/>
    <n v="1"/>
    <n v="44985"/>
    <n v="44985"/>
    <n v="0"/>
    <n v="0"/>
    <n v="44985"/>
    <n v="28898.07"/>
    <n v="16086.93"/>
  </r>
  <r>
    <s v="ORD-00695"/>
    <d v="2024-04-20T00:00:00"/>
    <s v="Polo Shirt"/>
    <s v="Clothing"/>
    <s v="WhatsApp"/>
    <x v="3"/>
    <s v="Returning"/>
    <s v="Easter Sale"/>
    <n v="1"/>
    <n v="26945"/>
    <n v="26945"/>
    <n v="5389"/>
    <n v="0.2"/>
    <n v="21556"/>
    <n v="17968.38"/>
    <n v="3587.619999999999"/>
  </r>
  <r>
    <s v="ORD-00740"/>
    <d v="2024-04-22T00:00:00"/>
    <s v="Sandals"/>
    <s v="Footwear"/>
    <s v="Website"/>
    <x v="4"/>
    <s v="Returning"/>
    <s v="Easter Sale"/>
    <n v="3"/>
    <n v="28788"/>
    <n v="86364"/>
    <n v="4318.2"/>
    <n v="0.05"/>
    <n v="82045.8"/>
    <n v="54633.74"/>
    <n v="27412.060000000005"/>
  </r>
  <r>
    <s v="ORD-00145"/>
    <d v="2024-04-22T00:00:00"/>
    <s v="Sandals"/>
    <s v="Footwear"/>
    <s v="Physical Store"/>
    <x v="2"/>
    <s v="New"/>
    <s v="None"/>
    <n v="4"/>
    <n v="31083"/>
    <n v="124332"/>
    <n v="0"/>
    <n v="0"/>
    <n v="124332"/>
    <n v="71017.919999999998"/>
    <n v="53314.080000000002"/>
  </r>
  <r>
    <s v="ORD-00923"/>
    <d v="2024-04-23T00:00:00"/>
    <s v="Cap"/>
    <s v="Accessories"/>
    <s v="Instagram"/>
    <x v="4"/>
    <s v="New"/>
    <s v="None"/>
    <n v="3"/>
    <n v="11420"/>
    <n v="34260"/>
    <n v="0"/>
    <n v="0"/>
    <n v="34260"/>
    <n v="21869.119999999999"/>
    <n v="12390.880000000001"/>
  </r>
  <r>
    <s v="ORD-00393"/>
    <d v="2024-04-24T00:00:00"/>
    <s v="Jeans"/>
    <s v="Clothing"/>
    <s v="Physical Store"/>
    <x v="4"/>
    <s v="Returning"/>
    <s v="Easter Sale"/>
    <n v="1"/>
    <n v="43598"/>
    <n v="43598"/>
    <n v="4359.8"/>
    <n v="0.1"/>
    <n v="39238.199999999997"/>
    <n v="24764.28"/>
    <n v="14473.919999999998"/>
  </r>
  <r>
    <s v="ORD-00326"/>
    <d v="2024-04-26T00:00:00"/>
    <s v="Jeans"/>
    <s v="Clothing"/>
    <s v="WhatsApp"/>
    <x v="3"/>
    <s v="New"/>
    <s v="None"/>
    <n v="1"/>
    <n v="44416"/>
    <n v="44416"/>
    <n v="0"/>
    <n v="0"/>
    <n v="44416"/>
    <n v="27490.43"/>
    <n v="16925.57"/>
  </r>
  <r>
    <s v="ORD-00870"/>
    <d v="2024-04-26T00:00:00"/>
    <s v="Belt"/>
    <s v="Accessories"/>
    <s v="Physical Store"/>
    <x v="1"/>
    <s v="New"/>
    <s v="Easter Sale"/>
    <n v="2"/>
    <n v="16174"/>
    <n v="32348"/>
    <n v="3234.8"/>
    <n v="0.1"/>
    <n v="29113.200000000001"/>
    <n v="16007.94"/>
    <n v="13105.26"/>
  </r>
  <r>
    <s v="ORD-00573"/>
    <d v="2024-04-27T00:00:00"/>
    <s v="Handbag"/>
    <s v="Accessories"/>
    <s v="Website"/>
    <x v="3"/>
    <s v="New"/>
    <s v="Easter Sale"/>
    <n v="3"/>
    <n v="47988"/>
    <n v="143964"/>
    <n v="21594.6"/>
    <n v="0.15"/>
    <n v="122369.4"/>
    <n v="88773.26"/>
    <n v="33596.14"/>
  </r>
  <r>
    <s v="ORD-00725"/>
    <d v="2024-04-27T00:00:00"/>
    <s v="Hoodie"/>
    <s v="Clothing"/>
    <s v="Website"/>
    <x v="4"/>
    <s v="Returning"/>
    <s v="None"/>
    <n v="3"/>
    <n v="40309"/>
    <n v="120927"/>
    <n v="0"/>
    <n v="0"/>
    <n v="120927"/>
    <n v="63947.75"/>
    <n v="56979.25"/>
  </r>
  <r>
    <s v="ORD-00322"/>
    <d v="2024-04-29T00:00:00"/>
    <s v="Sandals"/>
    <s v="Footwear"/>
    <s v="Physical Store"/>
    <x v="1"/>
    <s v="Returning"/>
    <s v="Easter Sale"/>
    <n v="1"/>
    <n v="32036"/>
    <n v="32036"/>
    <n v="4805.3999999999996"/>
    <n v="0.15"/>
    <n v="27230.6"/>
    <n v="18574.29"/>
    <n v="8656.3099999999977"/>
  </r>
  <r>
    <s v="ORD-00004"/>
    <d v="2024-05-01T00:00:00"/>
    <s v="Polo Shirt"/>
    <s v="Clothing"/>
    <s v="WhatsApp"/>
    <x v="0"/>
    <s v="New"/>
    <s v="None"/>
    <n v="1"/>
    <n v="25467"/>
    <n v="25467"/>
    <n v="0"/>
    <n v="0"/>
    <n v="25467"/>
    <n v="15442.24"/>
    <n v="10024.76"/>
  </r>
  <r>
    <s v="ORD-00156"/>
    <d v="2024-05-02T00:00:00"/>
    <s v="Sandals"/>
    <s v="Footwear"/>
    <s v="Physical Store"/>
    <x v="4"/>
    <s v="Returning"/>
    <s v="None"/>
    <n v="3"/>
    <n v="28361"/>
    <n v="85083"/>
    <n v="0"/>
    <n v="0"/>
    <n v="85083"/>
    <n v="54857.74"/>
    <n v="30225.260000000002"/>
  </r>
  <r>
    <s v="ORD-00685"/>
    <d v="2024-05-05T00:00:00"/>
    <s v="Hoodie"/>
    <s v="Clothing"/>
    <s v="Physical Store"/>
    <x v="2"/>
    <s v="Returning"/>
    <s v="None"/>
    <n v="3"/>
    <n v="37357"/>
    <n v="112071"/>
    <n v="0"/>
    <n v="0"/>
    <n v="112071"/>
    <n v="56487.35"/>
    <n v="55583.65"/>
  </r>
  <r>
    <s v="ORD-00616"/>
    <d v="2024-05-05T00:00:00"/>
    <s v="Sneakers"/>
    <s v="Footwear"/>
    <s v="Website"/>
    <x v="1"/>
    <s v="Returning"/>
    <s v="None"/>
    <n v="1"/>
    <n v="66792"/>
    <n v="66792"/>
    <n v="0"/>
    <n v="0"/>
    <n v="66792"/>
    <n v="33380.949999999997"/>
    <n v="33411.050000000003"/>
  </r>
  <r>
    <s v="ORD-00851"/>
    <d v="2024-05-06T00:00:00"/>
    <s v="Polo Shirt"/>
    <s v="Clothing"/>
    <s v="WhatsApp"/>
    <x v="3"/>
    <s v="Returning"/>
    <s v="None"/>
    <n v="1"/>
    <n v="25531"/>
    <n v="25531"/>
    <n v="0"/>
    <n v="0"/>
    <n v="25531"/>
    <n v="14849.67"/>
    <n v="10681.33"/>
  </r>
  <r>
    <s v="ORD-00260"/>
    <d v="2024-05-07T00:00:00"/>
    <s v="Handbag"/>
    <s v="Accessories"/>
    <s v="Website"/>
    <x v="3"/>
    <s v="New"/>
    <s v="None"/>
    <n v="3"/>
    <n v="44700"/>
    <n v="134100"/>
    <n v="13410"/>
    <n v="0.1"/>
    <n v="120690"/>
    <n v="79770.39"/>
    <n v="40919.61"/>
  </r>
  <r>
    <s v="ORD-00982"/>
    <d v="2024-05-07T00:00:00"/>
    <s v="Hoodie"/>
    <s v="Clothing"/>
    <s v="WhatsApp"/>
    <x v="0"/>
    <s v="Returning"/>
    <s v="None"/>
    <n v="3"/>
    <n v="40201"/>
    <n v="120603"/>
    <n v="0"/>
    <n v="0"/>
    <n v="120603"/>
    <n v="62572.52"/>
    <n v="58030.48"/>
  </r>
  <r>
    <s v="ORD-00998"/>
    <d v="2024-05-07T00:00:00"/>
    <s v="Polo Shirt"/>
    <s v="Clothing"/>
    <s v="WhatsApp"/>
    <x v="3"/>
    <s v="Returning"/>
    <s v="None"/>
    <n v="4"/>
    <n v="26413"/>
    <n v="105652"/>
    <n v="10565.2"/>
    <n v="0.1"/>
    <n v="95086.8"/>
    <n v="57102.45"/>
    <n v="37984.350000000006"/>
  </r>
  <r>
    <s v="ORD-00824"/>
    <d v="2024-05-09T00:00:00"/>
    <s v="Sandals"/>
    <s v="Footwear"/>
    <s v="Physical Store"/>
    <x v="4"/>
    <s v="New"/>
    <s v="None"/>
    <n v="1"/>
    <n v="32306"/>
    <n v="32306"/>
    <n v="0"/>
    <n v="0"/>
    <n v="32306"/>
    <n v="15569.56"/>
    <n v="16736.440000000002"/>
  </r>
  <r>
    <s v="ORD-01020"/>
    <d v="2024-05-09T00:00:00"/>
    <s v="Polo Shirt"/>
    <s v="Clothing"/>
    <s v="Physical Store"/>
    <x v="2"/>
    <s v="New"/>
    <s v="None"/>
    <n v="1"/>
    <n v="24945"/>
    <n v="24945"/>
    <n v="0"/>
    <n v="0"/>
    <n v="24945"/>
    <n v="12947.33"/>
    <n v="11997.67"/>
  </r>
  <r>
    <s v="ORD-01054"/>
    <d v="2024-05-10T00:00:00"/>
    <s v="Hoodie"/>
    <s v="Clothing"/>
    <s v="Instagram"/>
    <x v="4"/>
    <s v="New"/>
    <s v="None"/>
    <n v="1"/>
    <n v="36613"/>
    <n v="36613"/>
    <n v="0"/>
    <n v="0"/>
    <n v="36613"/>
    <n v="17929.759999999998"/>
    <n v="18683.240000000002"/>
  </r>
  <r>
    <s v="ORD-01100"/>
    <d v="2024-05-10T00:00:00"/>
    <s v="Dress"/>
    <s v="Clothing"/>
    <s v="WhatsApp"/>
    <x v="4"/>
    <s v="New"/>
    <s v="None"/>
    <n v="3"/>
    <n v="50376"/>
    <n v="151128"/>
    <n v="0"/>
    <n v="0"/>
    <n v="151128"/>
    <n v="84589.35"/>
    <n v="66538.649999999994"/>
  </r>
  <r>
    <s v="ORD-00009"/>
    <d v="2024-05-10T00:00:00"/>
    <s v="Cap"/>
    <s v="Accessories"/>
    <s v="Website"/>
    <x v="0"/>
    <s v="Returning"/>
    <s v="None"/>
    <n v="1"/>
    <n v="11481"/>
    <n v="11481"/>
    <n v="1148.0999999999999"/>
    <n v="0.1"/>
    <n v="10332.9"/>
    <n v="7504.11"/>
    <n v="2828.79"/>
  </r>
  <r>
    <s v="ORD-00777"/>
    <d v="2024-05-11T00:00:00"/>
    <s v="T-Shirt"/>
    <s v="Clothing"/>
    <s v="Physical Store"/>
    <x v="0"/>
    <s v="New"/>
    <s v="None"/>
    <n v="3"/>
    <n v="16891"/>
    <n v="50673"/>
    <n v="0"/>
    <n v="0"/>
    <n v="50673"/>
    <n v="28797.95"/>
    <n v="21875.05"/>
  </r>
  <r>
    <s v="ORD-00605"/>
    <d v="2024-05-12T00:00:00"/>
    <s v="Sneakers"/>
    <s v="Footwear"/>
    <s v="Physical Store"/>
    <x v="4"/>
    <s v="New"/>
    <s v="None"/>
    <n v="1"/>
    <n v="68198"/>
    <n v="68198"/>
    <n v="0"/>
    <n v="0"/>
    <n v="68198"/>
    <n v="33481.32"/>
    <n v="34716.68"/>
  </r>
  <r>
    <s v="ORD-00484"/>
    <d v="2024-05-13T00:00:00"/>
    <s v="Polo Shirt"/>
    <s v="Clothing"/>
    <s v="Physical Store"/>
    <x v="0"/>
    <s v="Returning"/>
    <s v="None"/>
    <n v="2"/>
    <n v="23422"/>
    <n v="46844"/>
    <n v="0"/>
    <n v="0"/>
    <n v="46844"/>
    <n v="27907.37"/>
    <n v="18936.63"/>
  </r>
  <r>
    <s v="ORD-00089"/>
    <d v="2024-05-14T00:00:00"/>
    <s v="Cap"/>
    <s v="Accessories"/>
    <s v="WhatsApp"/>
    <x v="4"/>
    <s v="New"/>
    <s v="None"/>
    <n v="5"/>
    <n v="12384"/>
    <n v="61920"/>
    <n v="0"/>
    <n v="0"/>
    <n v="61920"/>
    <n v="36984.559999999998"/>
    <n v="24935.440000000002"/>
  </r>
  <r>
    <s v="ORD-01085"/>
    <d v="2024-05-16T00:00:00"/>
    <s v="Sandals"/>
    <s v="Footwear"/>
    <s v="Physical Store"/>
    <x v="4"/>
    <s v="Returning"/>
    <s v="None"/>
    <n v="2"/>
    <n v="27690"/>
    <n v="55380"/>
    <n v="0"/>
    <n v="0"/>
    <n v="55380"/>
    <n v="35244.21"/>
    <n v="20135.79"/>
  </r>
  <r>
    <s v="ORD-00608"/>
    <d v="2024-05-17T00:00:00"/>
    <s v="Jeans"/>
    <s v="Clothing"/>
    <s v="Instagram"/>
    <x v="2"/>
    <s v="New"/>
    <s v="None"/>
    <n v="5"/>
    <n v="39761"/>
    <n v="198805"/>
    <n v="0"/>
    <n v="0"/>
    <n v="198805"/>
    <n v="98822.33"/>
    <n v="99982.67"/>
  </r>
  <r>
    <s v="ORD-00747"/>
    <d v="2024-05-18T00:00:00"/>
    <s v="Sneakers"/>
    <s v="Footwear"/>
    <s v="Physical Store"/>
    <x v="3"/>
    <s v="Returning"/>
    <s v="None"/>
    <n v="4"/>
    <n v="60343"/>
    <n v="241372"/>
    <n v="24137.200000000001"/>
    <n v="0.1"/>
    <n v="217234.8"/>
    <n v="136916.54999999999"/>
    <n v="80318.25"/>
  </r>
  <r>
    <s v="ORD-00741"/>
    <d v="2024-05-19T00:00:00"/>
    <s v="Cap"/>
    <s v="Accessories"/>
    <s v="Website"/>
    <x v="0"/>
    <s v="Returning"/>
    <s v="None"/>
    <n v="1"/>
    <n v="12465"/>
    <n v="12465"/>
    <n v="0"/>
    <n v="0"/>
    <n v="12465"/>
    <n v="7228.75"/>
    <n v="5236.25"/>
  </r>
  <r>
    <s v="ORD-00841"/>
    <d v="2024-05-20T00:00:00"/>
    <s v="Jeans"/>
    <s v="Clothing"/>
    <s v="Physical Store"/>
    <x v="3"/>
    <s v="New"/>
    <s v="None"/>
    <n v="5"/>
    <n v="40707"/>
    <n v="203535"/>
    <n v="0"/>
    <n v="0"/>
    <n v="203535"/>
    <n v="131881.1"/>
    <n v="71653.899999999994"/>
  </r>
  <r>
    <s v="ORD-00788"/>
    <d v="2024-05-22T00:00:00"/>
    <s v="Handbag"/>
    <s v="Accessories"/>
    <s v="Instagram"/>
    <x v="4"/>
    <s v="Returning"/>
    <s v="None"/>
    <n v="1"/>
    <n v="44375"/>
    <n v="44375"/>
    <n v="0"/>
    <n v="0"/>
    <n v="44375"/>
    <n v="27331.02"/>
    <n v="17043.98"/>
  </r>
  <r>
    <s v="ORD-00165"/>
    <d v="2024-05-23T00:00:00"/>
    <s v="Jeans"/>
    <s v="Clothing"/>
    <s v="Physical Store"/>
    <x v="0"/>
    <s v="Returning"/>
    <s v="None"/>
    <n v="2"/>
    <n v="38738"/>
    <n v="77476"/>
    <n v="7747.6"/>
    <n v="0.1"/>
    <n v="69728.399999999994"/>
    <n v="42415.72"/>
    <n v="27312.679999999993"/>
  </r>
  <r>
    <s v="ORD-00429"/>
    <d v="2024-05-23T00:00:00"/>
    <s v="Sneakers"/>
    <s v="Footwear"/>
    <s v="Instagram"/>
    <x v="0"/>
    <s v="New"/>
    <s v="None"/>
    <n v="1"/>
    <n v="68141"/>
    <n v="68141"/>
    <n v="0"/>
    <n v="0"/>
    <n v="68141"/>
    <n v="40030.660000000003"/>
    <n v="28110.339999999997"/>
  </r>
  <r>
    <s v="ORD-00184"/>
    <d v="2024-05-23T00:00:00"/>
    <s v="Polo Shirt"/>
    <s v="Clothing"/>
    <s v="Physical Store"/>
    <x v="4"/>
    <s v="New"/>
    <s v="None"/>
    <n v="4"/>
    <n v="26359"/>
    <n v="105436"/>
    <n v="10543.6"/>
    <n v="0.1"/>
    <n v="94892.4"/>
    <n v="55431.8"/>
    <n v="39460.599999999991"/>
  </r>
  <r>
    <s v="ORD-00688"/>
    <d v="2024-05-24T00:00:00"/>
    <s v="T-Shirt"/>
    <s v="Clothing"/>
    <s v="WhatsApp"/>
    <x v="0"/>
    <s v="Returning"/>
    <s v="None"/>
    <n v="3"/>
    <n v="18880"/>
    <n v="56640"/>
    <n v="0"/>
    <n v="0"/>
    <n v="56640"/>
    <n v="30538.28"/>
    <n v="26101.72"/>
  </r>
  <r>
    <s v="ORD-00791"/>
    <d v="2024-05-24T00:00:00"/>
    <s v="Jeans"/>
    <s v="Clothing"/>
    <s v="WhatsApp"/>
    <x v="4"/>
    <s v="New"/>
    <s v="None"/>
    <n v="2"/>
    <n v="40090"/>
    <n v="80180"/>
    <n v="0"/>
    <n v="0"/>
    <n v="80180"/>
    <n v="43500.58"/>
    <n v="36679.42"/>
  </r>
  <r>
    <s v="ORD-01141"/>
    <d v="2024-05-25T00:00:00"/>
    <s v="Belt"/>
    <s v="Accessories"/>
    <s v="Website"/>
    <x v="4"/>
    <s v="New"/>
    <s v="None"/>
    <n v="4"/>
    <n v="14132"/>
    <n v="56528"/>
    <n v="0"/>
    <n v="0"/>
    <n v="56528"/>
    <n v="35047.25"/>
    <n v="21480.75"/>
  </r>
  <r>
    <s v="ORD-00536"/>
    <d v="2024-05-25T00:00:00"/>
    <s v="Cap"/>
    <s v="Accessories"/>
    <s v="WhatsApp"/>
    <x v="2"/>
    <s v="New"/>
    <s v="None"/>
    <n v="1"/>
    <n v="11102"/>
    <n v="11102"/>
    <n v="1665.3"/>
    <n v="0.15"/>
    <n v="9436.7000000000007"/>
    <n v="6935.04"/>
    <n v="2501.6600000000008"/>
  </r>
  <r>
    <s v="ORD-00959"/>
    <d v="2024-05-26T00:00:00"/>
    <s v="Jeans"/>
    <s v="Clothing"/>
    <s v="WhatsApp"/>
    <x v="0"/>
    <s v="New"/>
    <s v="None"/>
    <n v="2"/>
    <n v="41271"/>
    <n v="82542"/>
    <n v="0"/>
    <n v="0"/>
    <n v="82542"/>
    <n v="41693.82"/>
    <n v="40848.18"/>
  </r>
  <r>
    <s v="ORD-00173"/>
    <d v="2024-05-26T00:00:00"/>
    <s v="Belt"/>
    <s v="Accessories"/>
    <s v="WhatsApp"/>
    <x v="4"/>
    <s v="Returning"/>
    <s v="None"/>
    <n v="3"/>
    <n v="14609"/>
    <n v="43827"/>
    <n v="0"/>
    <n v="0"/>
    <n v="43827"/>
    <n v="25759.87"/>
    <n v="18067.13"/>
  </r>
  <r>
    <s v="ORD-00899"/>
    <d v="2024-05-27T00:00:00"/>
    <s v="Sandals"/>
    <s v="Footwear"/>
    <s v="Website"/>
    <x v="4"/>
    <s v="New"/>
    <s v="None"/>
    <n v="1"/>
    <n v="29512"/>
    <n v="29512"/>
    <n v="0"/>
    <n v="0"/>
    <n v="29512"/>
    <n v="18725.349999999999"/>
    <n v="10786.650000000001"/>
  </r>
  <r>
    <s v="ORD-01026"/>
    <d v="2024-05-28T00:00:00"/>
    <s v="Cap"/>
    <s v="Accessories"/>
    <s v="Instagram"/>
    <x v="0"/>
    <s v="New"/>
    <s v="None"/>
    <n v="1"/>
    <n v="11824"/>
    <n v="11824"/>
    <n v="0"/>
    <n v="0"/>
    <n v="11824"/>
    <n v="7481.39"/>
    <n v="4342.6099999999997"/>
  </r>
  <r>
    <s v="ORD-00294"/>
    <d v="2024-05-29T00:00:00"/>
    <s v="Dress"/>
    <s v="Clothing"/>
    <s v="Website"/>
    <x v="0"/>
    <s v="New"/>
    <s v="None"/>
    <n v="1"/>
    <n v="51851"/>
    <n v="51851"/>
    <n v="0"/>
    <n v="0"/>
    <n v="51851"/>
    <n v="27174.55"/>
    <n v="24676.45"/>
  </r>
  <r>
    <s v="ORD-00182"/>
    <d v="2024-05-30T00:00:00"/>
    <s v="Dress"/>
    <s v="Clothing"/>
    <s v="WhatsApp"/>
    <x v="4"/>
    <s v="Returning"/>
    <s v="None"/>
    <n v="5"/>
    <n v="50101"/>
    <n v="250505"/>
    <n v="0"/>
    <n v="0"/>
    <n v="250505"/>
    <n v="152078.76"/>
    <n v="98426.239999999991"/>
  </r>
  <r>
    <s v="ORD-00958"/>
    <d v="2024-05-30T00:00:00"/>
    <s v="Hoodie"/>
    <s v="Clothing"/>
    <s v="Physical Store"/>
    <x v="4"/>
    <s v="New"/>
    <s v="None"/>
    <n v="2"/>
    <n v="38235"/>
    <n v="76470"/>
    <n v="0"/>
    <n v="0"/>
    <n v="76470"/>
    <n v="42306.89"/>
    <n v="34163.11"/>
  </r>
  <r>
    <s v="ORD-00199"/>
    <d v="2024-05-31T00:00:00"/>
    <s v="Sneakers"/>
    <s v="Footwear"/>
    <s v="Physical Store"/>
    <x v="0"/>
    <s v="New"/>
    <s v="None"/>
    <n v="3"/>
    <n v="63924"/>
    <n v="191772"/>
    <n v="0"/>
    <n v="0"/>
    <n v="191772"/>
    <n v="125238.46"/>
    <n v="66533.539999999994"/>
  </r>
  <r>
    <s v="ORD-00207"/>
    <d v="2024-06-01T00:00:00"/>
    <s v="Jeans"/>
    <s v="Clothing"/>
    <s v="Physical Store"/>
    <x v="2"/>
    <s v="New"/>
    <s v="Mid-Year Sale"/>
    <n v="5"/>
    <n v="43182"/>
    <n v="215910"/>
    <n v="21591"/>
    <n v="0.1"/>
    <n v="194319"/>
    <n v="129978.14"/>
    <n v="64340.86"/>
  </r>
  <r>
    <s v="ORD-01044"/>
    <d v="2024-06-02T00:00:00"/>
    <s v="Sneakers"/>
    <s v="Footwear"/>
    <s v="Physical Store"/>
    <x v="4"/>
    <s v="Returning"/>
    <s v="Mid-Year Sale"/>
    <n v="1"/>
    <n v="66637"/>
    <n v="66637"/>
    <n v="6663.7"/>
    <n v="0.1"/>
    <n v="59973.3"/>
    <n v="37193.01"/>
    <n v="22780.29"/>
  </r>
  <r>
    <s v="ORD-00341"/>
    <d v="2024-06-02T00:00:00"/>
    <s v="Belt"/>
    <s v="Accessories"/>
    <s v="WhatsApp"/>
    <x v="3"/>
    <s v="New"/>
    <s v="None"/>
    <n v="1"/>
    <n v="14157"/>
    <n v="14157"/>
    <n v="0"/>
    <n v="0"/>
    <n v="14157"/>
    <n v="8544.9699999999993"/>
    <n v="5612.0300000000007"/>
  </r>
  <r>
    <s v="ORD-00569"/>
    <d v="2024-06-02T00:00:00"/>
    <s v="Dress"/>
    <s v="Clothing"/>
    <s v="Physical Store"/>
    <x v="2"/>
    <s v="Returning"/>
    <s v="Mid-Year Sale"/>
    <n v="1"/>
    <n v="51810"/>
    <n v="51810"/>
    <n v="10362"/>
    <n v="0.2"/>
    <n v="41448"/>
    <n v="29522.2"/>
    <n v="11925.8"/>
  </r>
  <r>
    <s v="ORD-00268"/>
    <d v="2024-06-03T00:00:00"/>
    <s v="Sandals"/>
    <s v="Footwear"/>
    <s v="Website"/>
    <x v="3"/>
    <s v="New"/>
    <s v="Mid-Year Sale"/>
    <n v="1"/>
    <n v="32134"/>
    <n v="32134"/>
    <n v="6426.8"/>
    <n v="0.2"/>
    <n v="25707.200000000001"/>
    <n v="21366.04"/>
    <n v="4341.16"/>
  </r>
  <r>
    <s v="ORD-00894"/>
    <d v="2024-06-04T00:00:00"/>
    <s v="Sneakers"/>
    <s v="Footwear"/>
    <s v="Website"/>
    <x v="4"/>
    <s v="New"/>
    <s v="None"/>
    <n v="1"/>
    <n v="67426"/>
    <n v="67426"/>
    <n v="0"/>
    <n v="0"/>
    <n v="67426"/>
    <n v="41066.18"/>
    <n v="26359.82"/>
  </r>
  <r>
    <s v="ORD-00805"/>
    <d v="2024-06-05T00:00:00"/>
    <s v="Sandals"/>
    <s v="Footwear"/>
    <s v="Website"/>
    <x v="0"/>
    <s v="Returning"/>
    <s v="Mid-Year Sale"/>
    <n v="2"/>
    <n v="31867"/>
    <n v="63734"/>
    <n v="6373.4"/>
    <n v="0.1"/>
    <n v="57360.6"/>
    <n v="37289.9"/>
    <n v="20070.699999999997"/>
  </r>
  <r>
    <s v="ORD-00243"/>
    <d v="2024-06-06T00:00:00"/>
    <s v="T-Shirt"/>
    <s v="Clothing"/>
    <s v="Physical Store"/>
    <x v="4"/>
    <s v="New"/>
    <s v="None"/>
    <n v="1"/>
    <n v="18883"/>
    <n v="18883"/>
    <n v="0"/>
    <n v="0"/>
    <n v="18883"/>
    <n v="12831.48"/>
    <n v="6051.52"/>
  </r>
  <r>
    <s v="ORD-00372"/>
    <d v="2024-06-08T00:00:00"/>
    <s v="Hoodie"/>
    <s v="Clothing"/>
    <s v="Instagram"/>
    <x v="4"/>
    <s v="New"/>
    <s v="None"/>
    <n v="1"/>
    <n v="36887"/>
    <n v="36887"/>
    <n v="0"/>
    <n v="0"/>
    <n v="36887"/>
    <n v="24164.59"/>
    <n v="12722.41"/>
  </r>
  <r>
    <s v="ORD-01179"/>
    <d v="2024-06-08T00:00:00"/>
    <s v="Hoodie"/>
    <s v="Clothing"/>
    <s v="Instagram"/>
    <x v="4"/>
    <s v="New"/>
    <s v="None"/>
    <n v="2"/>
    <n v="39594"/>
    <n v="79188"/>
    <n v="0"/>
    <n v="0"/>
    <n v="79188"/>
    <n v="52833.81"/>
    <n v="26354.190000000002"/>
  </r>
  <r>
    <s v="ORD-00213"/>
    <d v="2024-06-09T00:00:00"/>
    <s v="T-Shirt"/>
    <s v="Clothing"/>
    <s v="Website"/>
    <x v="4"/>
    <s v="New"/>
    <s v="Mid-Year Sale"/>
    <n v="2"/>
    <n v="18307"/>
    <n v="36614"/>
    <n v="5492.1"/>
    <n v="0.15"/>
    <n v="31121.9"/>
    <n v="18168.96"/>
    <n v="12952.940000000002"/>
  </r>
  <r>
    <s v="ORD-00056"/>
    <d v="2024-06-10T00:00:00"/>
    <s v="Handbag"/>
    <s v="Accessories"/>
    <s v="Website"/>
    <x v="4"/>
    <s v="New"/>
    <s v="None"/>
    <n v="2"/>
    <n v="44258"/>
    <n v="88516"/>
    <n v="0"/>
    <n v="0"/>
    <n v="88516"/>
    <n v="53120.12"/>
    <n v="35395.879999999997"/>
  </r>
  <r>
    <s v="ORD-00930"/>
    <d v="2024-06-10T00:00:00"/>
    <s v="Belt"/>
    <s v="Accessories"/>
    <s v="Physical Store"/>
    <x v="4"/>
    <s v="New"/>
    <s v="Mid-Year Sale"/>
    <n v="2"/>
    <n v="14280"/>
    <n v="28560"/>
    <n v="2856"/>
    <n v="0.1"/>
    <n v="25704"/>
    <n v="18288.38"/>
    <n v="7415.619999999999"/>
  </r>
  <r>
    <s v="ORD-00948"/>
    <d v="2024-06-13T00:00:00"/>
    <s v="Hoodie"/>
    <s v="Clothing"/>
    <s v="Physical Store"/>
    <x v="3"/>
    <s v="New"/>
    <s v="None"/>
    <n v="2"/>
    <n v="36529"/>
    <n v="73058"/>
    <n v="0"/>
    <n v="0"/>
    <n v="73058"/>
    <n v="43589.25"/>
    <n v="29468.75"/>
  </r>
  <r>
    <s v="ORD-00599"/>
    <d v="2024-06-14T00:00:00"/>
    <s v="Cap"/>
    <s v="Accessories"/>
    <s v="Physical Store"/>
    <x v="4"/>
    <s v="Returning"/>
    <s v="Mid-Year Sale"/>
    <n v="1"/>
    <n v="11933"/>
    <n v="11933"/>
    <n v="2386.6"/>
    <n v="0.2"/>
    <n v="9546.4"/>
    <n v="7155.47"/>
    <n v="2390.9299999999994"/>
  </r>
  <r>
    <s v="ORD-00035"/>
    <d v="2024-06-15T00:00:00"/>
    <s v="Cap"/>
    <s v="Accessories"/>
    <s v="Physical Store"/>
    <x v="2"/>
    <s v="New"/>
    <s v="None"/>
    <n v="2"/>
    <n v="11244"/>
    <n v="22488"/>
    <n v="0"/>
    <n v="0"/>
    <n v="22488"/>
    <n v="15289.2"/>
    <n v="7198.7999999999993"/>
  </r>
  <r>
    <s v="ORD-00464"/>
    <d v="2024-06-15T00:00:00"/>
    <s v="Belt"/>
    <s v="Accessories"/>
    <s v="Physical Store"/>
    <x v="0"/>
    <s v="Returning"/>
    <s v="None"/>
    <n v="1"/>
    <n v="14550"/>
    <n v="14550"/>
    <n v="0"/>
    <n v="0"/>
    <n v="14550"/>
    <n v="9025.5499999999993"/>
    <n v="5524.4500000000007"/>
  </r>
  <r>
    <s v="ORD-01010"/>
    <d v="2024-06-16T00:00:00"/>
    <s v="Sandals"/>
    <s v="Footwear"/>
    <s v="Physical Store"/>
    <x v="0"/>
    <s v="New"/>
    <s v="None"/>
    <n v="4"/>
    <n v="32136"/>
    <n v="128544"/>
    <n v="0"/>
    <n v="0"/>
    <n v="128544"/>
    <n v="63607.66"/>
    <n v="64936.34"/>
  </r>
  <r>
    <s v="ORD-00452"/>
    <d v="2024-06-18T00:00:00"/>
    <s v="Jeans"/>
    <s v="Clothing"/>
    <s v="Physical Store"/>
    <x v="1"/>
    <s v="New"/>
    <s v="None"/>
    <n v="2"/>
    <n v="39776"/>
    <n v="79552"/>
    <n v="0"/>
    <n v="0"/>
    <n v="79552"/>
    <n v="51761.58"/>
    <n v="27790.42"/>
  </r>
  <r>
    <s v="ORD-01189"/>
    <d v="2024-06-18T00:00:00"/>
    <s v="Belt"/>
    <s v="Accessories"/>
    <s v="Physical Store"/>
    <x v="0"/>
    <s v="New"/>
    <s v="None"/>
    <n v="1"/>
    <n v="16165"/>
    <n v="16165"/>
    <n v="0"/>
    <n v="0"/>
    <n v="16165"/>
    <n v="10851.77"/>
    <n v="5313.23"/>
  </r>
  <r>
    <s v="ORD-00754"/>
    <d v="2024-06-20T00:00:00"/>
    <s v="Sandals"/>
    <s v="Footwear"/>
    <s v="Instagram"/>
    <x v="4"/>
    <s v="New"/>
    <s v="None"/>
    <n v="1"/>
    <n v="30973"/>
    <n v="30973"/>
    <n v="1548.65"/>
    <n v="0.05"/>
    <n v="29424.35"/>
    <n v="18764.169999999998"/>
    <n v="10660.18"/>
  </r>
  <r>
    <s v="ORD-01056"/>
    <d v="2024-06-20T00:00:00"/>
    <s v="Hoodie"/>
    <s v="Clothing"/>
    <s v="Website"/>
    <x v="3"/>
    <s v="Returning"/>
    <s v="Mid-Year Sale"/>
    <n v="1"/>
    <n v="37646"/>
    <n v="37646"/>
    <n v="1882.3"/>
    <n v="0.05"/>
    <n v="35763.699999999997"/>
    <n v="20937.84"/>
    <n v="14825.859999999997"/>
  </r>
  <r>
    <s v="ORD-00734"/>
    <d v="2024-06-21T00:00:00"/>
    <s v="Jeans"/>
    <s v="Clothing"/>
    <s v="Website"/>
    <x v="0"/>
    <s v="New"/>
    <s v="None"/>
    <n v="5"/>
    <n v="38915"/>
    <n v="194575"/>
    <n v="0"/>
    <n v="0"/>
    <n v="194575"/>
    <n v="110946.14"/>
    <n v="83628.86"/>
  </r>
  <r>
    <s v="ORD-00468"/>
    <d v="2024-06-21T00:00:00"/>
    <s v="Handbag"/>
    <s v="Accessories"/>
    <s v="Instagram"/>
    <x v="1"/>
    <s v="New"/>
    <s v="None"/>
    <n v="1"/>
    <n v="45388"/>
    <n v="45388"/>
    <n v="0"/>
    <n v="0"/>
    <n v="45388"/>
    <n v="25917.23"/>
    <n v="19470.77"/>
  </r>
  <r>
    <s v="ORD-00488"/>
    <d v="2024-06-21T00:00:00"/>
    <s v="T-Shirt"/>
    <s v="Clothing"/>
    <s v="Physical Store"/>
    <x v="4"/>
    <s v="New"/>
    <s v="Mid-Year Sale"/>
    <n v="5"/>
    <n v="17409"/>
    <n v="87045"/>
    <n v="8704.5"/>
    <n v="0.1"/>
    <n v="78340.5"/>
    <n v="51610.62"/>
    <n v="26729.879999999997"/>
  </r>
  <r>
    <s v="ORD-00420"/>
    <d v="2024-06-25T00:00:00"/>
    <s v="Hoodie"/>
    <s v="Clothing"/>
    <s v="Website"/>
    <x v="3"/>
    <s v="Returning"/>
    <s v="Mid-Year Sale"/>
    <n v="1"/>
    <n v="37069"/>
    <n v="37069"/>
    <n v="3706.9"/>
    <n v="0.1"/>
    <n v="33362.1"/>
    <n v="24633.43"/>
    <n v="8728.6699999999983"/>
  </r>
  <r>
    <s v="ORD-00888"/>
    <d v="2024-06-25T00:00:00"/>
    <s v="Hoodie"/>
    <s v="Clothing"/>
    <s v="Website"/>
    <x v="4"/>
    <s v="New"/>
    <s v="None"/>
    <n v="2"/>
    <n v="37560"/>
    <n v="75120"/>
    <n v="0"/>
    <n v="0"/>
    <n v="75120"/>
    <n v="39283.78"/>
    <n v="35836.22"/>
  </r>
  <r>
    <s v="ORD-00538"/>
    <d v="2024-06-25T00:00:00"/>
    <s v="Cap"/>
    <s v="Accessories"/>
    <s v="WhatsApp"/>
    <x v="4"/>
    <s v="New"/>
    <s v="Mid-Year Sale"/>
    <n v="2"/>
    <n v="12645"/>
    <n v="25290"/>
    <n v="1264.5"/>
    <n v="0.05"/>
    <n v="24025.5"/>
    <n v="14804.8"/>
    <n v="9220.7000000000007"/>
  </r>
  <r>
    <s v="ORD-00252"/>
    <d v="2024-06-29T00:00:00"/>
    <s v="Hoodie"/>
    <s v="Clothing"/>
    <s v="Website"/>
    <x v="0"/>
    <s v="New"/>
    <s v="None"/>
    <n v="3"/>
    <n v="35474"/>
    <n v="106422"/>
    <n v="10642.2"/>
    <n v="0.1"/>
    <n v="95779.8"/>
    <n v="69833.539999999994"/>
    <n v="25946.260000000009"/>
  </r>
  <r>
    <s v="ORD-00949"/>
    <d v="2024-06-30T00:00:00"/>
    <s v="Belt"/>
    <s v="Accessories"/>
    <s v="Physical Store"/>
    <x v="3"/>
    <s v="New"/>
    <s v="None"/>
    <n v="3"/>
    <n v="15764"/>
    <n v="47292"/>
    <n v="0"/>
    <n v="0"/>
    <n v="47292"/>
    <n v="24517.81"/>
    <n v="22774.19"/>
  </r>
  <r>
    <s v="ORD-01104"/>
    <d v="2024-07-01T00:00:00"/>
    <s v="Belt"/>
    <s v="Accessories"/>
    <s v="Physical Store"/>
    <x v="1"/>
    <s v="New"/>
    <s v="Mid-Year Sale"/>
    <n v="1"/>
    <n v="14640"/>
    <n v="14640"/>
    <n v="2196"/>
    <n v="0.15"/>
    <n v="12444"/>
    <n v="8060.33"/>
    <n v="4383.67"/>
  </r>
  <r>
    <s v="ORD-00609"/>
    <d v="2024-07-02T00:00:00"/>
    <s v="Cap"/>
    <s v="Accessories"/>
    <s v="Instagram"/>
    <x v="0"/>
    <s v="New"/>
    <s v="None"/>
    <n v="2"/>
    <n v="11869"/>
    <n v="23738"/>
    <n v="0"/>
    <n v="0"/>
    <n v="23738"/>
    <n v="14669.25"/>
    <n v="9068.75"/>
  </r>
  <r>
    <s v="ORD-00167"/>
    <d v="2024-07-05T00:00:00"/>
    <s v="Cap"/>
    <s v="Accessories"/>
    <s v="WhatsApp"/>
    <x v="3"/>
    <s v="Returning"/>
    <s v="Mid-Year Sale"/>
    <n v="3"/>
    <n v="12040"/>
    <n v="36120"/>
    <n v="5418"/>
    <n v="0.15"/>
    <n v="30702"/>
    <n v="18244.57"/>
    <n v="12457.43"/>
  </r>
  <r>
    <s v="ORD-01150"/>
    <d v="2024-07-05T00:00:00"/>
    <s v="Hoodie"/>
    <s v="Clothing"/>
    <s v="Physical Store"/>
    <x v="4"/>
    <s v="New"/>
    <s v="Mid-Year Sale"/>
    <n v="1"/>
    <n v="40420"/>
    <n v="40420"/>
    <n v="4042"/>
    <n v="0.1"/>
    <n v="36378"/>
    <n v="23819.64"/>
    <n v="12558.36"/>
  </r>
  <r>
    <s v="ORD-01029"/>
    <d v="2024-07-05T00:00:00"/>
    <s v="Sneakers"/>
    <s v="Footwear"/>
    <s v="Website"/>
    <x v="3"/>
    <s v="New"/>
    <s v="Mid-Year Sale"/>
    <n v="5"/>
    <n v="67053"/>
    <n v="335265"/>
    <n v="16763.25"/>
    <n v="0.05"/>
    <n v="318501.75"/>
    <n v="162645.92000000001"/>
    <n v="155855.82999999999"/>
  </r>
  <r>
    <s v="ORD-01099"/>
    <d v="2024-07-06T00:00:00"/>
    <s v="T-Shirt"/>
    <s v="Clothing"/>
    <s v="Physical Store"/>
    <x v="3"/>
    <s v="New"/>
    <s v="None"/>
    <n v="1"/>
    <n v="17549"/>
    <n v="17549"/>
    <n v="0"/>
    <n v="0"/>
    <n v="17549"/>
    <n v="11094.87"/>
    <n v="6454.1299999999992"/>
  </r>
  <r>
    <s v="ORD-00071"/>
    <d v="2024-07-06T00:00:00"/>
    <s v="Belt"/>
    <s v="Accessories"/>
    <s v="Website"/>
    <x v="4"/>
    <s v="New"/>
    <s v="Mid-Year Sale"/>
    <n v="2"/>
    <n v="16129"/>
    <n v="32258"/>
    <n v="6451.6"/>
    <n v="0.2"/>
    <n v="25806.400000000001"/>
    <n v="20540.88"/>
    <n v="5265.52"/>
  </r>
  <r>
    <s v="ORD-00132"/>
    <d v="2024-07-08T00:00:00"/>
    <s v="Cap"/>
    <s v="Accessories"/>
    <s v="Physical Store"/>
    <x v="2"/>
    <s v="Returning"/>
    <s v="None"/>
    <n v="2"/>
    <n v="11568"/>
    <n v="23136"/>
    <n v="0"/>
    <n v="0"/>
    <n v="23136"/>
    <n v="14756.07"/>
    <n v="8379.93"/>
  </r>
  <r>
    <s v="ORD-00479"/>
    <d v="2024-07-08T00:00:00"/>
    <s v="Belt"/>
    <s v="Accessories"/>
    <s v="WhatsApp"/>
    <x v="3"/>
    <s v="Returning"/>
    <s v="None"/>
    <n v="2"/>
    <n v="14129"/>
    <n v="28258"/>
    <n v="0"/>
    <n v="0"/>
    <n v="28258"/>
    <n v="15552.81"/>
    <n v="12705.19"/>
  </r>
  <r>
    <s v="ORD-00026"/>
    <d v="2024-07-08T00:00:00"/>
    <s v="Sneakers"/>
    <s v="Footwear"/>
    <s v="WhatsApp"/>
    <x v="3"/>
    <s v="New"/>
    <s v="None"/>
    <n v="2"/>
    <n v="63536"/>
    <n v="127072"/>
    <n v="0"/>
    <n v="0"/>
    <n v="127072"/>
    <n v="65150.42"/>
    <n v="61921.58"/>
  </r>
  <r>
    <s v="ORD-00256"/>
    <d v="2024-07-09T00:00:00"/>
    <s v="Polo Shirt"/>
    <s v="Clothing"/>
    <s v="Website"/>
    <x v="4"/>
    <s v="New"/>
    <s v="Mid-Year Sale"/>
    <n v="5"/>
    <n v="26871"/>
    <n v="134355"/>
    <n v="20153.25"/>
    <n v="0.15"/>
    <n v="114201.75"/>
    <n v="71970.44"/>
    <n v="42231.31"/>
  </r>
  <r>
    <s v="ORD-00403"/>
    <d v="2024-07-10T00:00:00"/>
    <s v="Belt"/>
    <s v="Accessories"/>
    <s v="Website"/>
    <x v="3"/>
    <s v="New"/>
    <s v="None"/>
    <n v="2"/>
    <n v="15749"/>
    <n v="31498"/>
    <n v="0"/>
    <n v="0"/>
    <n v="31498"/>
    <n v="15821.37"/>
    <n v="15676.63"/>
  </r>
  <r>
    <s v="ORD-00730"/>
    <d v="2024-07-12T00:00:00"/>
    <s v="Jeans"/>
    <s v="Clothing"/>
    <s v="Instagram"/>
    <x v="1"/>
    <s v="New"/>
    <s v="None"/>
    <n v="3"/>
    <n v="39325"/>
    <n v="117975"/>
    <n v="11797.5"/>
    <n v="0.1"/>
    <n v="106177.5"/>
    <n v="58101.45"/>
    <n v="48076.05"/>
  </r>
  <r>
    <s v="ORD-00920"/>
    <d v="2024-07-12T00:00:00"/>
    <s v="T-Shirt"/>
    <s v="Clothing"/>
    <s v="Website"/>
    <x v="4"/>
    <s v="New"/>
    <s v="Mid-Year Sale"/>
    <n v="1"/>
    <n v="18210"/>
    <n v="18210"/>
    <n v="1821"/>
    <n v="0.1"/>
    <n v="16389"/>
    <n v="11091.15"/>
    <n v="5297.85"/>
  </r>
  <r>
    <s v="ORD-00811"/>
    <d v="2024-07-14T00:00:00"/>
    <s v="Cap"/>
    <s v="Accessories"/>
    <s v="Website"/>
    <x v="2"/>
    <s v="New"/>
    <s v="Mid-Year Sale"/>
    <n v="1"/>
    <n v="12782"/>
    <n v="12782"/>
    <n v="1278.2"/>
    <n v="0.1"/>
    <n v="11503.8"/>
    <n v="7389.14"/>
    <n v="4114.6599999999989"/>
  </r>
  <r>
    <s v="ORD-00797"/>
    <d v="2024-07-16T00:00:00"/>
    <s v="Belt"/>
    <s v="Accessories"/>
    <s v="Physical Store"/>
    <x v="2"/>
    <s v="New"/>
    <s v="Mid-Year Sale"/>
    <n v="2"/>
    <n v="15741"/>
    <n v="31482"/>
    <n v="3148.2"/>
    <n v="0.1"/>
    <n v="28333.8"/>
    <n v="17988.97"/>
    <n v="10344.829999999998"/>
  </r>
  <r>
    <s v="ORD-00162"/>
    <d v="2024-07-16T00:00:00"/>
    <s v="Cap"/>
    <s v="Accessories"/>
    <s v="Instagram"/>
    <x v="4"/>
    <s v="Returning"/>
    <s v="None"/>
    <n v="1"/>
    <n v="11397"/>
    <n v="11397"/>
    <n v="0"/>
    <n v="0"/>
    <n v="11397"/>
    <n v="6418.33"/>
    <n v="4978.67"/>
  </r>
  <r>
    <s v="ORD-01043"/>
    <d v="2024-07-19T00:00:00"/>
    <s v="Cap"/>
    <s v="Accessories"/>
    <s v="Website"/>
    <x v="4"/>
    <s v="Returning"/>
    <s v="None"/>
    <n v="1"/>
    <n v="12635"/>
    <n v="12635"/>
    <n v="0"/>
    <n v="0"/>
    <n v="12635"/>
    <n v="7062.43"/>
    <n v="5572.57"/>
  </r>
  <r>
    <s v="ORD-00090"/>
    <d v="2024-07-19T00:00:00"/>
    <s v="Sandals"/>
    <s v="Footwear"/>
    <s v="Physical Store"/>
    <x v="4"/>
    <s v="Returning"/>
    <s v="Mid-Year Sale"/>
    <n v="2"/>
    <n v="31641"/>
    <n v="63282"/>
    <n v="9492.2999999999993"/>
    <n v="0.15"/>
    <n v="53789.7"/>
    <n v="40533.93"/>
    <n v="13255.769999999997"/>
  </r>
  <r>
    <s v="ORD-00057"/>
    <d v="2024-07-20T00:00:00"/>
    <s v="Handbag"/>
    <s v="Accessories"/>
    <s v="Website"/>
    <x v="0"/>
    <s v="New"/>
    <s v="None"/>
    <n v="2"/>
    <n v="44259"/>
    <n v="88518"/>
    <n v="0"/>
    <n v="0"/>
    <n v="88518"/>
    <n v="53605.62"/>
    <n v="34912.379999999997"/>
  </r>
  <r>
    <s v="ORD-00868"/>
    <d v="2024-07-20T00:00:00"/>
    <s v="Sandals"/>
    <s v="Footwear"/>
    <s v="WhatsApp"/>
    <x v="1"/>
    <s v="New"/>
    <s v="Mid-Year Sale"/>
    <n v="2"/>
    <n v="30024"/>
    <n v="60048"/>
    <n v="9007.2000000000007"/>
    <n v="0.15"/>
    <n v="51040.800000000003"/>
    <n v="30491.89"/>
    <n v="20548.910000000003"/>
  </r>
  <r>
    <s v="ORD-00492"/>
    <d v="2024-07-21T00:00:00"/>
    <s v="Cap"/>
    <s v="Accessories"/>
    <s v="Instagram"/>
    <x v="4"/>
    <s v="New"/>
    <s v="Mid-Year Sale"/>
    <n v="1"/>
    <n v="11370"/>
    <n v="11370"/>
    <n v="568.5"/>
    <n v="0.05"/>
    <n v="10801.5"/>
    <n v="6618.52"/>
    <n v="4182.9799999999996"/>
  </r>
  <r>
    <s v="ORD-00155"/>
    <d v="2024-07-21T00:00:00"/>
    <s v="Handbag"/>
    <s v="Accessories"/>
    <s v="WhatsApp"/>
    <x v="3"/>
    <s v="Returning"/>
    <s v="None"/>
    <n v="2"/>
    <n v="44734"/>
    <n v="89468"/>
    <n v="0"/>
    <n v="0"/>
    <n v="89468"/>
    <n v="48369.87"/>
    <n v="41098.129999999997"/>
  </r>
  <r>
    <s v="ORD-00615"/>
    <d v="2024-07-23T00:00:00"/>
    <s v="Jeans"/>
    <s v="Clothing"/>
    <s v="WhatsApp"/>
    <x v="2"/>
    <s v="Returning"/>
    <s v="None"/>
    <n v="1"/>
    <n v="44023"/>
    <n v="44023"/>
    <n v="0"/>
    <n v="0"/>
    <n v="44023"/>
    <n v="29084.55"/>
    <n v="14938.45"/>
  </r>
  <r>
    <s v="ORD-00049"/>
    <d v="2024-07-24T00:00:00"/>
    <s v="Jeans"/>
    <s v="Clothing"/>
    <s v="Physical Store"/>
    <x v="2"/>
    <s v="New"/>
    <s v="Mid-Year Sale"/>
    <n v="3"/>
    <n v="40932"/>
    <n v="122796"/>
    <n v="6139.8"/>
    <n v="0.05"/>
    <n v="116656.2"/>
    <n v="73756.67"/>
    <n v="42899.53"/>
  </r>
  <r>
    <s v="ORD-00111"/>
    <d v="2024-07-25T00:00:00"/>
    <s v="Polo Shirt"/>
    <s v="Clothing"/>
    <s v="Instagram"/>
    <x v="4"/>
    <s v="Returning"/>
    <s v="Mid-Year Sale"/>
    <n v="2"/>
    <n v="23290"/>
    <n v="46580"/>
    <n v="9316"/>
    <n v="0.2"/>
    <n v="37264"/>
    <n v="25529.38"/>
    <n v="11734.619999999999"/>
  </r>
  <r>
    <s v="ORD-00197"/>
    <d v="2024-07-26T00:00:00"/>
    <s v="Handbag"/>
    <s v="Accessories"/>
    <s v="Physical Store"/>
    <x v="4"/>
    <s v="New"/>
    <s v="None"/>
    <n v="2"/>
    <n v="41515"/>
    <n v="83030"/>
    <n v="0"/>
    <n v="0"/>
    <n v="83030"/>
    <n v="41919.9"/>
    <n v="41110.1"/>
  </r>
  <r>
    <s v="ORD-00646"/>
    <d v="2024-08-01T00:00:00"/>
    <s v="T-Shirt"/>
    <s v="Clothing"/>
    <s v="WhatsApp"/>
    <x v="4"/>
    <s v="New"/>
    <s v="None"/>
    <n v="2"/>
    <n v="18848"/>
    <n v="37696"/>
    <n v="0"/>
    <n v="0"/>
    <n v="37696"/>
    <n v="19381.54"/>
    <n v="18314.46"/>
  </r>
  <r>
    <s v="ORD-00906"/>
    <d v="2024-08-02T00:00:00"/>
    <s v="Hoodie"/>
    <s v="Clothing"/>
    <s v="Website"/>
    <x v="4"/>
    <s v="New"/>
    <s v="None"/>
    <n v="3"/>
    <n v="38479"/>
    <n v="115437"/>
    <n v="17315.55"/>
    <n v="0.15"/>
    <n v="98121.45"/>
    <n v="68748.179999999993"/>
    <n v="29373.270000000004"/>
  </r>
  <r>
    <s v="ORD-01177"/>
    <d v="2024-08-03T00:00:00"/>
    <s v="Dress"/>
    <s v="Clothing"/>
    <s v="Instagram"/>
    <x v="3"/>
    <s v="Returning"/>
    <s v="None"/>
    <n v="1"/>
    <n v="46602"/>
    <n v="46602"/>
    <n v="0"/>
    <n v="0"/>
    <n v="46602"/>
    <n v="24194.26"/>
    <n v="22407.74"/>
  </r>
  <r>
    <s v="ORD-00818"/>
    <d v="2024-08-03T00:00:00"/>
    <s v="Sandals"/>
    <s v="Footwear"/>
    <s v="WhatsApp"/>
    <x v="2"/>
    <s v="New"/>
    <s v="None"/>
    <n v="2"/>
    <n v="32129"/>
    <n v="64258"/>
    <n v="6425.8"/>
    <n v="0.1"/>
    <n v="57832.2"/>
    <n v="37309.07"/>
    <n v="20523.129999999997"/>
  </r>
  <r>
    <s v="ORD-01067"/>
    <d v="2024-08-03T00:00:00"/>
    <s v="Jeans"/>
    <s v="Clothing"/>
    <s v="Website"/>
    <x v="2"/>
    <s v="New"/>
    <s v="None"/>
    <n v="2"/>
    <n v="40236"/>
    <n v="80472"/>
    <n v="0"/>
    <n v="0"/>
    <n v="80472"/>
    <n v="53415.75"/>
    <n v="27056.25"/>
  </r>
  <r>
    <s v="ORD-00460"/>
    <d v="2024-08-04T00:00:00"/>
    <s v="Hoodie"/>
    <s v="Clothing"/>
    <s v="Instagram"/>
    <x v="4"/>
    <s v="Returning"/>
    <s v="None"/>
    <n v="2"/>
    <n v="35007"/>
    <n v="70014"/>
    <n v="0"/>
    <n v="0"/>
    <n v="70014"/>
    <n v="47420.31"/>
    <n v="22593.690000000002"/>
  </r>
  <r>
    <s v="ORD-00069"/>
    <d v="2024-08-04T00:00:00"/>
    <s v="Polo Shirt"/>
    <s v="Clothing"/>
    <s v="Website"/>
    <x v="1"/>
    <s v="New"/>
    <s v="None"/>
    <n v="2"/>
    <n v="26580"/>
    <n v="53160"/>
    <n v="0"/>
    <n v="0"/>
    <n v="53160"/>
    <n v="32044.14"/>
    <n v="21115.86"/>
  </r>
  <r>
    <s v="ORD-00411"/>
    <d v="2024-08-04T00:00:00"/>
    <s v="T-Shirt"/>
    <s v="Clothing"/>
    <s v="WhatsApp"/>
    <x v="3"/>
    <s v="Returning"/>
    <s v="None"/>
    <n v="1"/>
    <n v="16915"/>
    <n v="16915"/>
    <n v="0"/>
    <n v="0"/>
    <n v="16915"/>
    <n v="8122.39"/>
    <n v="8792.61"/>
  </r>
  <r>
    <s v="ORD-00840"/>
    <d v="2024-08-05T00:00:00"/>
    <s v="Sandals"/>
    <s v="Footwear"/>
    <s v="WhatsApp"/>
    <x v="0"/>
    <s v="New"/>
    <s v="None"/>
    <n v="1"/>
    <n v="32285"/>
    <n v="32285"/>
    <n v="0"/>
    <n v="0"/>
    <n v="32285"/>
    <n v="18442.009999999998"/>
    <n v="13842.990000000002"/>
  </r>
  <r>
    <s v="ORD-00352"/>
    <d v="2024-08-05T00:00:00"/>
    <s v="Dress"/>
    <s v="Clothing"/>
    <s v="Physical Store"/>
    <x v="0"/>
    <s v="New"/>
    <s v="None"/>
    <n v="2"/>
    <n v="46775"/>
    <n v="93550"/>
    <n v="0"/>
    <n v="0"/>
    <n v="93550"/>
    <n v="59825.49"/>
    <n v="33724.51"/>
  </r>
  <r>
    <s v="ORD-01163"/>
    <d v="2024-08-05T00:00:00"/>
    <s v="Polo Shirt"/>
    <s v="Clothing"/>
    <s v="Website"/>
    <x v="0"/>
    <s v="New"/>
    <s v="None"/>
    <n v="1"/>
    <n v="24010"/>
    <n v="24010"/>
    <n v="0"/>
    <n v="0"/>
    <n v="24010"/>
    <n v="14570.18"/>
    <n v="9439.82"/>
  </r>
  <r>
    <s v="ORD-00148"/>
    <d v="2024-08-07T00:00:00"/>
    <s v="Sandals"/>
    <s v="Footwear"/>
    <s v="Physical Store"/>
    <x v="0"/>
    <s v="Returning"/>
    <s v="None"/>
    <n v="1"/>
    <n v="29321"/>
    <n v="29321"/>
    <n v="0"/>
    <n v="0"/>
    <n v="29321"/>
    <n v="15708.78"/>
    <n v="13612.22"/>
  </r>
  <r>
    <s v="ORD-00537"/>
    <d v="2024-08-11T00:00:00"/>
    <s v="Jeans"/>
    <s v="Clothing"/>
    <s v="Physical Store"/>
    <x v="3"/>
    <s v="Returning"/>
    <s v="None"/>
    <n v="1"/>
    <n v="44612"/>
    <n v="44612"/>
    <n v="0"/>
    <n v="0"/>
    <n v="44612"/>
    <n v="25429.41"/>
    <n v="19182.59"/>
  </r>
  <r>
    <s v="ORD-00738"/>
    <d v="2024-08-12T00:00:00"/>
    <s v="Handbag"/>
    <s v="Accessories"/>
    <s v="Instagram"/>
    <x v="3"/>
    <s v="Returning"/>
    <s v="None"/>
    <n v="2"/>
    <n v="48250"/>
    <n v="96500"/>
    <n v="0"/>
    <n v="0"/>
    <n v="96500"/>
    <n v="61329.23"/>
    <n v="35170.769999999997"/>
  </r>
  <r>
    <s v="ORD-00231"/>
    <d v="2024-08-13T00:00:00"/>
    <s v="Polo Shirt"/>
    <s v="Clothing"/>
    <s v="Website"/>
    <x v="0"/>
    <s v="New"/>
    <s v="None"/>
    <n v="2"/>
    <n v="23266"/>
    <n v="46532"/>
    <n v="0"/>
    <n v="0"/>
    <n v="46532"/>
    <n v="23025.01"/>
    <n v="23506.99"/>
  </r>
  <r>
    <s v="ORD-01157"/>
    <d v="2024-08-13T00:00:00"/>
    <s v="Sandals"/>
    <s v="Footwear"/>
    <s v="Website"/>
    <x v="0"/>
    <s v="New"/>
    <s v="None"/>
    <n v="2"/>
    <n v="30011"/>
    <n v="60022"/>
    <n v="0"/>
    <n v="0"/>
    <n v="60022"/>
    <n v="37898.03"/>
    <n v="22123.97"/>
  </r>
  <r>
    <s v="ORD-01161"/>
    <d v="2024-08-13T00:00:00"/>
    <s v="T-Shirt"/>
    <s v="Clothing"/>
    <s v="Instagram"/>
    <x v="4"/>
    <s v="Returning"/>
    <s v="None"/>
    <n v="4"/>
    <n v="17895"/>
    <n v="71580"/>
    <n v="0"/>
    <n v="0"/>
    <n v="71580"/>
    <n v="36492.85"/>
    <n v="35087.15"/>
  </r>
  <r>
    <s v="ORD-00694"/>
    <d v="2024-08-15T00:00:00"/>
    <s v="Cap"/>
    <s v="Accessories"/>
    <s v="Physical Store"/>
    <x v="4"/>
    <s v="Returning"/>
    <s v="None"/>
    <n v="3"/>
    <n v="11726"/>
    <n v="35178"/>
    <n v="0"/>
    <n v="0"/>
    <n v="35178"/>
    <n v="21407.94"/>
    <n v="13770.060000000001"/>
  </r>
  <r>
    <s v="ORD-00817"/>
    <d v="2024-08-15T00:00:00"/>
    <s v="Handbag"/>
    <s v="Accessories"/>
    <s v="Physical Store"/>
    <x v="4"/>
    <s v="New"/>
    <s v="None"/>
    <n v="5"/>
    <n v="41920"/>
    <n v="209600"/>
    <n v="0"/>
    <n v="0"/>
    <n v="209600"/>
    <n v="113260.91"/>
    <n v="96339.09"/>
  </r>
  <r>
    <s v="ORD-00717"/>
    <d v="2024-08-16T00:00:00"/>
    <s v="Polo Shirt"/>
    <s v="Clothing"/>
    <s v="Instagram"/>
    <x v="4"/>
    <s v="New"/>
    <s v="None"/>
    <n v="2"/>
    <n v="23375"/>
    <n v="46750"/>
    <n v="0"/>
    <n v="0"/>
    <n v="46750"/>
    <n v="27715.22"/>
    <n v="19034.78"/>
  </r>
  <r>
    <s v="ORD-00227"/>
    <d v="2024-08-17T00:00:00"/>
    <s v="T-Shirt"/>
    <s v="Clothing"/>
    <s v="Physical Store"/>
    <x v="1"/>
    <s v="New"/>
    <s v="None"/>
    <n v="5"/>
    <n v="16889"/>
    <n v="84445"/>
    <n v="0"/>
    <n v="0"/>
    <n v="84445"/>
    <n v="51999.5"/>
    <n v="32445.5"/>
  </r>
  <r>
    <s v="ORD-00120"/>
    <d v="2024-08-18T00:00:00"/>
    <s v="Polo Shirt"/>
    <s v="Clothing"/>
    <s v="WhatsApp"/>
    <x v="2"/>
    <s v="New"/>
    <s v="None"/>
    <n v="2"/>
    <n v="24738"/>
    <n v="49476"/>
    <n v="0"/>
    <n v="0"/>
    <n v="49476"/>
    <n v="29704.63"/>
    <n v="19771.37"/>
  </r>
  <r>
    <s v="ORD-00085"/>
    <d v="2024-08-18T00:00:00"/>
    <s v="Hoodie"/>
    <s v="Clothing"/>
    <s v="Physical Store"/>
    <x v="0"/>
    <s v="New"/>
    <s v="None"/>
    <n v="1"/>
    <n v="35281"/>
    <n v="35281"/>
    <n v="0"/>
    <n v="0"/>
    <n v="35281"/>
    <n v="21164.15"/>
    <n v="14116.849999999999"/>
  </r>
  <r>
    <s v="ORD-00691"/>
    <d v="2024-08-20T00:00:00"/>
    <s v="T-Shirt"/>
    <s v="Clothing"/>
    <s v="Physical Store"/>
    <x v="1"/>
    <s v="Returning"/>
    <s v="None"/>
    <n v="4"/>
    <n v="16861"/>
    <n v="67444"/>
    <n v="0"/>
    <n v="0"/>
    <n v="67444"/>
    <n v="39886.47"/>
    <n v="27557.53"/>
  </r>
  <r>
    <s v="ORD-00638"/>
    <d v="2024-08-20T00:00:00"/>
    <s v="Dress"/>
    <s v="Clothing"/>
    <s v="Website"/>
    <x v="0"/>
    <s v="New"/>
    <s v="None"/>
    <n v="2"/>
    <n v="52018"/>
    <n v="104036"/>
    <n v="0"/>
    <n v="0"/>
    <n v="104036"/>
    <n v="61467.09"/>
    <n v="42568.91"/>
  </r>
  <r>
    <s v="ORD-00444"/>
    <d v="2024-08-22T00:00:00"/>
    <s v="Polo Shirt"/>
    <s v="Clothing"/>
    <s v="Instagram"/>
    <x v="1"/>
    <s v="New"/>
    <s v="None"/>
    <n v="1"/>
    <n v="24841"/>
    <n v="24841"/>
    <n v="0"/>
    <n v="0"/>
    <n v="24841"/>
    <n v="16810.96"/>
    <n v="8030.0400000000009"/>
  </r>
  <r>
    <s v="ORD-00763"/>
    <d v="2024-08-23T00:00:00"/>
    <s v="Handbag"/>
    <s v="Accessories"/>
    <s v="Website"/>
    <x v="4"/>
    <s v="New"/>
    <s v="None"/>
    <n v="1"/>
    <n v="43855"/>
    <n v="43855"/>
    <n v="0"/>
    <n v="0"/>
    <n v="43855"/>
    <n v="27292.560000000001"/>
    <n v="16562.439999999999"/>
  </r>
  <r>
    <s v="ORD-00577"/>
    <d v="2024-08-23T00:00:00"/>
    <s v="Polo Shirt"/>
    <s v="Clothing"/>
    <s v="Physical Store"/>
    <x v="4"/>
    <s v="Returning"/>
    <s v="None"/>
    <n v="5"/>
    <n v="24979"/>
    <n v="124895"/>
    <n v="0"/>
    <n v="0"/>
    <n v="124895"/>
    <n v="73916.27"/>
    <n v="50978.729999999996"/>
  </r>
  <r>
    <s v="ORD-00988"/>
    <d v="2024-08-24T00:00:00"/>
    <s v="Sandals"/>
    <s v="Footwear"/>
    <s v="Instagram"/>
    <x v="4"/>
    <s v="New"/>
    <s v="None"/>
    <n v="2"/>
    <n v="30929"/>
    <n v="61858"/>
    <n v="0"/>
    <n v="0"/>
    <n v="61858"/>
    <n v="40244.620000000003"/>
    <n v="21613.379999999997"/>
  </r>
  <r>
    <s v="ORD-00647"/>
    <d v="2024-08-26T00:00:00"/>
    <s v="Belt"/>
    <s v="Accessories"/>
    <s v="WhatsApp"/>
    <x v="0"/>
    <s v="New"/>
    <s v="None"/>
    <n v="1"/>
    <n v="15989"/>
    <n v="15989"/>
    <n v="2398.35"/>
    <n v="0.15"/>
    <n v="13590.65"/>
    <n v="8457.27"/>
    <n v="5133.3799999999992"/>
  </r>
  <r>
    <s v="ORD-00040"/>
    <d v="2024-08-29T00:00:00"/>
    <s v="Sandals"/>
    <s v="Footwear"/>
    <s v="WhatsApp"/>
    <x v="0"/>
    <s v="New"/>
    <s v="None"/>
    <n v="1"/>
    <n v="28781"/>
    <n v="28781"/>
    <n v="0"/>
    <n v="0"/>
    <n v="28781"/>
    <n v="16084.93"/>
    <n v="12696.07"/>
  </r>
  <r>
    <s v="ORD-00714"/>
    <d v="2024-08-30T00:00:00"/>
    <s v="Polo Shirt"/>
    <s v="Clothing"/>
    <s v="Website"/>
    <x v="4"/>
    <s v="New"/>
    <s v="None"/>
    <n v="3"/>
    <n v="24183"/>
    <n v="72549"/>
    <n v="0"/>
    <n v="0"/>
    <n v="72549"/>
    <n v="40933.870000000003"/>
    <n v="31615.129999999997"/>
  </r>
  <r>
    <s v="ORD-00873"/>
    <d v="2024-08-31T00:00:00"/>
    <s v="T-Shirt"/>
    <s v="Clothing"/>
    <s v="Instagram"/>
    <x v="3"/>
    <s v="New"/>
    <s v="None"/>
    <n v="2"/>
    <n v="18927"/>
    <n v="37854"/>
    <n v="0"/>
    <n v="0"/>
    <n v="37854"/>
    <n v="23510.080000000002"/>
    <n v="14343.919999999998"/>
  </r>
  <r>
    <s v="ORD-01127"/>
    <d v="2024-09-01T00:00:00"/>
    <s v="T-Shirt"/>
    <s v="Clothing"/>
    <s v="Instagram"/>
    <x v="1"/>
    <s v="Returning"/>
    <s v="None"/>
    <n v="1"/>
    <n v="16734"/>
    <n v="16734"/>
    <n v="1673.4"/>
    <n v="0.1"/>
    <n v="15060.6"/>
    <n v="10426.02"/>
    <n v="4634.58"/>
  </r>
  <r>
    <s v="ORD-00271"/>
    <d v="2024-09-02T00:00:00"/>
    <s v="Dress"/>
    <s v="Clothing"/>
    <s v="Physical Store"/>
    <x v="4"/>
    <s v="Returning"/>
    <s v="None"/>
    <n v="1"/>
    <n v="53427"/>
    <n v="53427"/>
    <n v="0"/>
    <n v="0"/>
    <n v="53427"/>
    <n v="34150.620000000003"/>
    <n v="19276.379999999997"/>
  </r>
  <r>
    <s v="ORD-00340"/>
    <d v="2024-09-03T00:00:00"/>
    <s v="Hoodie"/>
    <s v="Clothing"/>
    <s v="Physical Store"/>
    <x v="4"/>
    <s v="Returning"/>
    <s v="None"/>
    <n v="1"/>
    <n v="40863"/>
    <n v="40863"/>
    <n v="0"/>
    <n v="0"/>
    <n v="40863"/>
    <n v="25515.4"/>
    <n v="15347.599999999999"/>
  </r>
  <r>
    <s v="ORD-00153"/>
    <d v="2024-09-03T00:00:00"/>
    <s v="Dress"/>
    <s v="Clothing"/>
    <s v="Instagram"/>
    <x v="4"/>
    <s v="New"/>
    <s v="None"/>
    <n v="1"/>
    <n v="53433"/>
    <n v="53433"/>
    <n v="0"/>
    <n v="0"/>
    <n v="53433"/>
    <n v="35331.089999999997"/>
    <n v="18101.910000000003"/>
  </r>
  <r>
    <s v="ORD-00644"/>
    <d v="2024-09-05T00:00:00"/>
    <s v="Cap"/>
    <s v="Accessories"/>
    <s v="WhatsApp"/>
    <x v="2"/>
    <s v="New"/>
    <s v="None"/>
    <n v="2"/>
    <n v="12114"/>
    <n v="24228"/>
    <n v="0"/>
    <n v="0"/>
    <n v="24228"/>
    <n v="14076.14"/>
    <n v="10151.86"/>
  </r>
  <r>
    <s v="ORD-00598"/>
    <d v="2024-09-05T00:00:00"/>
    <s v="Jeans"/>
    <s v="Clothing"/>
    <s v="WhatsApp"/>
    <x v="3"/>
    <s v="Returning"/>
    <s v="None"/>
    <n v="2"/>
    <n v="45358"/>
    <n v="90716"/>
    <n v="13607.4"/>
    <n v="0.15"/>
    <n v="77108.600000000006"/>
    <n v="45615.34"/>
    <n v="31493.260000000009"/>
  </r>
  <r>
    <s v="ORD-01081"/>
    <d v="2024-09-06T00:00:00"/>
    <s v="Sneakers"/>
    <s v="Footwear"/>
    <s v="Instagram"/>
    <x v="1"/>
    <s v="Returning"/>
    <s v="None"/>
    <n v="3"/>
    <n v="64531"/>
    <n v="193593"/>
    <n v="0"/>
    <n v="0"/>
    <n v="193593"/>
    <n v="129594.54"/>
    <n v="63998.460000000006"/>
  </r>
  <r>
    <s v="ORD-00570"/>
    <d v="2024-09-06T00:00:00"/>
    <s v="Sandals"/>
    <s v="Footwear"/>
    <s v="WhatsApp"/>
    <x v="2"/>
    <s v="Returning"/>
    <s v="None"/>
    <n v="2"/>
    <n v="31198"/>
    <n v="62396"/>
    <n v="6239.6"/>
    <n v="0.1"/>
    <n v="56156.4"/>
    <n v="37810.379999999997"/>
    <n v="18346.020000000004"/>
  </r>
  <r>
    <s v="ORD-01119"/>
    <d v="2024-09-07T00:00:00"/>
    <s v="T-Shirt"/>
    <s v="Clothing"/>
    <s v="Physical Store"/>
    <x v="4"/>
    <s v="New"/>
    <s v="None"/>
    <n v="1"/>
    <n v="19167"/>
    <n v="19167"/>
    <n v="0"/>
    <n v="0"/>
    <n v="19167"/>
    <n v="10042.74"/>
    <n v="9124.26"/>
  </r>
  <r>
    <s v="ORD-00018"/>
    <d v="2024-09-09T00:00:00"/>
    <s v="Belt"/>
    <s v="Accessories"/>
    <s v="Physical Store"/>
    <x v="2"/>
    <s v="New"/>
    <s v="None"/>
    <n v="4"/>
    <n v="15501"/>
    <n v="62004"/>
    <n v="3100.2"/>
    <n v="0.05"/>
    <n v="58903.8"/>
    <n v="38617.17"/>
    <n v="20286.630000000005"/>
  </r>
  <r>
    <s v="ORD-00257"/>
    <d v="2024-09-09T00:00:00"/>
    <s v="Belt"/>
    <s v="Accessories"/>
    <s v="Website"/>
    <x v="2"/>
    <s v="New"/>
    <s v="None"/>
    <n v="1"/>
    <n v="14677"/>
    <n v="14677"/>
    <n v="0"/>
    <n v="0"/>
    <n v="14677"/>
    <n v="7932.86"/>
    <n v="6744.14"/>
  </r>
  <r>
    <s v="ORD-00191"/>
    <d v="2024-09-10T00:00:00"/>
    <s v="Hoodie"/>
    <s v="Clothing"/>
    <s v="WhatsApp"/>
    <x v="4"/>
    <s v="Returning"/>
    <s v="None"/>
    <n v="3"/>
    <n v="37529"/>
    <n v="112587"/>
    <n v="0"/>
    <n v="0"/>
    <n v="112587"/>
    <n v="61366.559999999998"/>
    <n v="51220.44"/>
  </r>
  <r>
    <s v="ORD-00204"/>
    <d v="2024-09-10T00:00:00"/>
    <s v="Belt"/>
    <s v="Accessories"/>
    <s v="Website"/>
    <x v="3"/>
    <s v="Returning"/>
    <s v="None"/>
    <n v="1"/>
    <n v="14230"/>
    <n v="14230"/>
    <n v="0"/>
    <n v="0"/>
    <n v="14230"/>
    <n v="7152.86"/>
    <n v="7077.14"/>
  </r>
  <r>
    <s v="ORD-00525"/>
    <d v="2024-09-12T00:00:00"/>
    <s v="Dress"/>
    <s v="Clothing"/>
    <s v="Physical Store"/>
    <x v="0"/>
    <s v="New"/>
    <s v="None"/>
    <n v="2"/>
    <n v="53489"/>
    <n v="106978"/>
    <n v="0"/>
    <n v="0"/>
    <n v="106978"/>
    <n v="71681.23"/>
    <n v="35296.770000000004"/>
  </r>
  <r>
    <s v="ORD-00369"/>
    <d v="2024-09-14T00:00:00"/>
    <s v="Dress"/>
    <s v="Clothing"/>
    <s v="Physical Store"/>
    <x v="0"/>
    <s v="Returning"/>
    <s v="None"/>
    <n v="5"/>
    <n v="47045"/>
    <n v="235225"/>
    <n v="0"/>
    <n v="0"/>
    <n v="235225"/>
    <n v="147218.38"/>
    <n v="88006.62"/>
  </r>
  <r>
    <s v="ORD-00749"/>
    <d v="2024-09-15T00:00:00"/>
    <s v="Cap"/>
    <s v="Accessories"/>
    <s v="WhatsApp"/>
    <x v="4"/>
    <s v="New"/>
    <s v="None"/>
    <n v="1"/>
    <n v="12942"/>
    <n v="12942"/>
    <n v="0"/>
    <n v="0"/>
    <n v="12942"/>
    <n v="6742.04"/>
    <n v="6199.96"/>
  </r>
  <r>
    <s v="ORD-01167"/>
    <d v="2024-09-15T00:00:00"/>
    <s v="Hoodie"/>
    <s v="Clothing"/>
    <s v="Instagram"/>
    <x v="3"/>
    <s v="Returning"/>
    <s v="None"/>
    <n v="5"/>
    <n v="40572"/>
    <n v="202860"/>
    <n v="0"/>
    <n v="0"/>
    <n v="202860"/>
    <n v="137501.53"/>
    <n v="65358.47"/>
  </r>
  <r>
    <s v="ORD-00971"/>
    <d v="2024-09-17T00:00:00"/>
    <s v="Dress"/>
    <s v="Clothing"/>
    <s v="Website"/>
    <x v="1"/>
    <s v="New"/>
    <s v="None"/>
    <n v="2"/>
    <n v="48883"/>
    <n v="97766"/>
    <n v="0"/>
    <n v="0"/>
    <n v="97766"/>
    <n v="54935.08"/>
    <n v="42830.92"/>
  </r>
  <r>
    <s v="ORD-00753"/>
    <d v="2024-09-17T00:00:00"/>
    <s v="Sneakers"/>
    <s v="Footwear"/>
    <s v="Physical Store"/>
    <x v="0"/>
    <s v="New"/>
    <s v="None"/>
    <n v="1"/>
    <n v="63438"/>
    <n v="63438"/>
    <n v="0"/>
    <n v="0"/>
    <n v="63438"/>
    <n v="35011.980000000003"/>
    <n v="28426.019999999997"/>
  </r>
  <r>
    <s v="ORD-00183"/>
    <d v="2024-09-19T00:00:00"/>
    <s v="Hoodie"/>
    <s v="Clothing"/>
    <s v="Physical Store"/>
    <x v="1"/>
    <s v="Returning"/>
    <s v="None"/>
    <n v="2"/>
    <n v="39748"/>
    <n v="79496"/>
    <n v="0"/>
    <n v="0"/>
    <n v="79496"/>
    <n v="47126.41"/>
    <n v="32369.589999999997"/>
  </r>
  <r>
    <s v="ORD-00305"/>
    <d v="2024-09-20T00:00:00"/>
    <s v="Belt"/>
    <s v="Accessories"/>
    <s v="Website"/>
    <x v="3"/>
    <s v="New"/>
    <s v="None"/>
    <n v="1"/>
    <n v="14422"/>
    <n v="14422"/>
    <n v="0"/>
    <n v="0"/>
    <n v="14422"/>
    <n v="7181.91"/>
    <n v="7240.09"/>
  </r>
  <r>
    <s v="ORD-00424"/>
    <d v="2024-09-21T00:00:00"/>
    <s v="Handbag"/>
    <s v="Accessories"/>
    <s v="Website"/>
    <x v="4"/>
    <s v="Returning"/>
    <s v="None"/>
    <n v="1"/>
    <n v="47476"/>
    <n v="47476"/>
    <n v="2373.8000000000002"/>
    <n v="0.05"/>
    <n v="45102.2"/>
    <n v="26792.73"/>
    <n v="18309.469999999998"/>
  </r>
  <r>
    <s v="ORD-01132"/>
    <d v="2024-09-22T00:00:00"/>
    <s v="Cap"/>
    <s v="Accessories"/>
    <s v="WhatsApp"/>
    <x v="4"/>
    <s v="Returning"/>
    <s v="None"/>
    <n v="1"/>
    <n v="12714"/>
    <n v="12714"/>
    <n v="0"/>
    <n v="0"/>
    <n v="12714"/>
    <n v="7315.11"/>
    <n v="5398.89"/>
  </r>
  <r>
    <s v="ORD-00575"/>
    <d v="2024-09-24T00:00:00"/>
    <s v="Polo Shirt"/>
    <s v="Clothing"/>
    <s v="Website"/>
    <x v="4"/>
    <s v="Returning"/>
    <s v="None"/>
    <n v="1"/>
    <n v="25919"/>
    <n v="25919"/>
    <n v="1295.95"/>
    <n v="0.05"/>
    <n v="24623.05"/>
    <n v="12855.92"/>
    <n v="11767.13"/>
  </r>
  <r>
    <s v="ORD-01012"/>
    <d v="2024-09-24T00:00:00"/>
    <s v="Hoodie"/>
    <s v="Clothing"/>
    <s v="Website"/>
    <x v="3"/>
    <s v="New"/>
    <s v="None"/>
    <n v="3"/>
    <n v="39306"/>
    <n v="117918"/>
    <n v="0"/>
    <n v="0"/>
    <n v="117918"/>
    <n v="68686.64"/>
    <n v="49231.360000000001"/>
  </r>
  <r>
    <s v="ORD-00318"/>
    <d v="2024-09-25T00:00:00"/>
    <s v="Hoodie"/>
    <s v="Clothing"/>
    <s v="Physical Store"/>
    <x v="0"/>
    <s v="Returning"/>
    <s v="None"/>
    <n v="3"/>
    <n v="38811"/>
    <n v="116433"/>
    <n v="0"/>
    <n v="0"/>
    <n v="116433"/>
    <n v="65153.21"/>
    <n v="51279.79"/>
  </r>
  <r>
    <s v="ORD-00059"/>
    <d v="2024-09-26T00:00:00"/>
    <s v="Jeans"/>
    <s v="Clothing"/>
    <s v="Instagram"/>
    <x v="1"/>
    <s v="Returning"/>
    <s v="None"/>
    <n v="3"/>
    <n v="44432"/>
    <n v="133296"/>
    <n v="0"/>
    <n v="0"/>
    <n v="133296"/>
    <n v="76966.759999999995"/>
    <n v="56329.240000000005"/>
  </r>
  <r>
    <s v="ORD-00770"/>
    <d v="2024-09-26T00:00:00"/>
    <s v="Handbag"/>
    <s v="Accessories"/>
    <s v="Instagram"/>
    <x v="3"/>
    <s v="New"/>
    <s v="None"/>
    <n v="2"/>
    <n v="43257"/>
    <n v="86514"/>
    <n v="0"/>
    <n v="0"/>
    <n v="86514"/>
    <n v="58406.07"/>
    <n v="28107.93"/>
  </r>
  <r>
    <s v="ORD-01130"/>
    <d v="2024-09-28T00:00:00"/>
    <s v="Sneakers"/>
    <s v="Footwear"/>
    <s v="Physical Store"/>
    <x v="1"/>
    <s v="New"/>
    <s v="None"/>
    <n v="1"/>
    <n v="61830"/>
    <n v="61830"/>
    <n v="0"/>
    <n v="0"/>
    <n v="61830"/>
    <n v="31658.15"/>
    <n v="30171.85"/>
  </r>
  <r>
    <s v="ORD-01060"/>
    <d v="2024-10-01T00:00:00"/>
    <s v="Cap"/>
    <s v="Accessories"/>
    <s v="Website"/>
    <x v="0"/>
    <s v="New"/>
    <s v="None"/>
    <n v="4"/>
    <n v="11260"/>
    <n v="45040"/>
    <n v="0"/>
    <n v="0"/>
    <n v="45040"/>
    <n v="24936.58"/>
    <n v="20103.419999999998"/>
  </r>
  <r>
    <s v="ORD-00015"/>
    <d v="2024-10-03T00:00:00"/>
    <s v="Sandals"/>
    <s v="Footwear"/>
    <s v="Instagram"/>
    <x v="2"/>
    <s v="Returning"/>
    <s v="None"/>
    <n v="3"/>
    <n v="31195"/>
    <n v="93585"/>
    <n v="9358.5"/>
    <n v="0.1"/>
    <n v="84226.5"/>
    <n v="46844.77"/>
    <n v="37381.730000000003"/>
  </r>
  <r>
    <s v="ORD-00706"/>
    <d v="2024-10-03T00:00:00"/>
    <s v="Sandals"/>
    <s v="Footwear"/>
    <s v="Physical Store"/>
    <x v="4"/>
    <s v="New"/>
    <s v="None"/>
    <n v="1"/>
    <n v="30626"/>
    <n v="30626"/>
    <n v="4593.8999999999996"/>
    <n v="0.15"/>
    <n v="26032.1"/>
    <n v="17379.32"/>
    <n v="8652.7799999999988"/>
  </r>
  <r>
    <s v="ORD-00410"/>
    <d v="2024-10-05T00:00:00"/>
    <s v="Dress"/>
    <s v="Clothing"/>
    <s v="Website"/>
    <x v="4"/>
    <s v="Returning"/>
    <s v="None"/>
    <n v="2"/>
    <n v="53738"/>
    <n v="107476"/>
    <n v="0"/>
    <n v="0"/>
    <n v="107476"/>
    <n v="72162.28"/>
    <n v="35313.72"/>
  </r>
  <r>
    <s v="ORD-00160"/>
    <d v="2024-10-06T00:00:00"/>
    <s v="T-Shirt"/>
    <s v="Clothing"/>
    <s v="WhatsApp"/>
    <x v="0"/>
    <s v="Returning"/>
    <s v="None"/>
    <n v="1"/>
    <n v="19081"/>
    <n v="19081"/>
    <n v="0"/>
    <n v="0"/>
    <n v="19081"/>
    <n v="10221.459999999999"/>
    <n v="8859.5400000000009"/>
  </r>
  <r>
    <s v="ORD-00249"/>
    <d v="2024-10-06T00:00:00"/>
    <s v="Sneakers"/>
    <s v="Footwear"/>
    <s v="Website"/>
    <x v="2"/>
    <s v="Returning"/>
    <s v="None"/>
    <n v="1"/>
    <n v="67577"/>
    <n v="67577"/>
    <n v="0"/>
    <n v="0"/>
    <n v="67577"/>
    <n v="38030"/>
    <n v="29547"/>
  </r>
  <r>
    <s v="ORD-00625"/>
    <d v="2024-10-07T00:00:00"/>
    <s v="T-Shirt"/>
    <s v="Clothing"/>
    <s v="WhatsApp"/>
    <x v="4"/>
    <s v="Returning"/>
    <s v="None"/>
    <n v="2"/>
    <n v="18547"/>
    <n v="37094"/>
    <n v="0"/>
    <n v="0"/>
    <n v="37094"/>
    <n v="20372.830000000002"/>
    <n v="16721.169999999998"/>
  </r>
  <r>
    <s v="ORD-00233"/>
    <d v="2024-10-10T00:00:00"/>
    <s v="Handbag"/>
    <s v="Accessories"/>
    <s v="Instagram"/>
    <x v="3"/>
    <s v="Returning"/>
    <s v="None"/>
    <n v="2"/>
    <n v="41460"/>
    <n v="82920"/>
    <n v="0"/>
    <n v="0"/>
    <n v="82920"/>
    <n v="50774.97"/>
    <n v="32145.03"/>
  </r>
  <r>
    <s v="ORD-00889"/>
    <d v="2024-10-11T00:00:00"/>
    <s v="Sneakers"/>
    <s v="Footwear"/>
    <s v="Website"/>
    <x v="1"/>
    <s v="Returning"/>
    <s v="None"/>
    <n v="2"/>
    <n v="61666"/>
    <n v="123332"/>
    <n v="0"/>
    <n v="0"/>
    <n v="123332"/>
    <n v="60171.45"/>
    <n v="63160.55"/>
  </r>
  <r>
    <s v="ORD-00912"/>
    <d v="2024-10-11T00:00:00"/>
    <s v="Jeans"/>
    <s v="Clothing"/>
    <s v="Website"/>
    <x v="4"/>
    <s v="Returning"/>
    <s v="None"/>
    <n v="3"/>
    <n v="43438"/>
    <n v="130314"/>
    <n v="0"/>
    <n v="0"/>
    <n v="130314"/>
    <n v="66154.570000000007"/>
    <n v="64159.429999999993"/>
  </r>
  <r>
    <s v="ORD-00379"/>
    <d v="2024-10-11T00:00:00"/>
    <s v="Polo Shirt"/>
    <s v="Clothing"/>
    <s v="Instagram"/>
    <x v="4"/>
    <s v="New"/>
    <s v="None"/>
    <n v="1"/>
    <n v="23932"/>
    <n v="23932"/>
    <n v="0"/>
    <n v="0"/>
    <n v="23932"/>
    <n v="14501.01"/>
    <n v="9430.99"/>
  </r>
  <r>
    <s v="ORD-00914"/>
    <d v="2024-10-12T00:00:00"/>
    <s v="Jeans"/>
    <s v="Clothing"/>
    <s v="Physical Store"/>
    <x v="2"/>
    <s v="New"/>
    <s v="None"/>
    <n v="1"/>
    <n v="38702"/>
    <n v="38702"/>
    <n v="0"/>
    <n v="0"/>
    <n v="38702"/>
    <n v="25170.91"/>
    <n v="13531.09"/>
  </r>
  <r>
    <s v="ORD-00810"/>
    <d v="2024-10-15T00:00:00"/>
    <s v="Sandals"/>
    <s v="Footwear"/>
    <s v="WhatsApp"/>
    <x v="4"/>
    <s v="New"/>
    <s v="None"/>
    <n v="1"/>
    <n v="27694"/>
    <n v="27694"/>
    <n v="0"/>
    <n v="0"/>
    <n v="27694"/>
    <n v="16190.79"/>
    <n v="11503.21"/>
  </r>
  <r>
    <s v="ORD-00083"/>
    <d v="2024-10-15T00:00:00"/>
    <s v="Handbag"/>
    <s v="Accessories"/>
    <s v="Instagram"/>
    <x v="3"/>
    <s v="New"/>
    <s v="None"/>
    <n v="2"/>
    <n v="47018"/>
    <n v="94036"/>
    <n v="0"/>
    <n v="0"/>
    <n v="94036"/>
    <n v="47729.34"/>
    <n v="46306.66"/>
  </r>
  <r>
    <s v="ORD-01142"/>
    <d v="2024-10-19T00:00:00"/>
    <s v="Hoodie"/>
    <s v="Clothing"/>
    <s v="Website"/>
    <x v="4"/>
    <s v="Returning"/>
    <s v="None"/>
    <n v="1"/>
    <n v="36771"/>
    <n v="36771"/>
    <n v="0"/>
    <n v="0"/>
    <n v="36771"/>
    <n v="20576.740000000002"/>
    <n v="16194.259999999998"/>
  </r>
  <r>
    <s v="ORD-00159"/>
    <d v="2024-10-20T00:00:00"/>
    <s v="Polo Shirt"/>
    <s v="Clothing"/>
    <s v="WhatsApp"/>
    <x v="3"/>
    <s v="Returning"/>
    <s v="None"/>
    <n v="1"/>
    <n v="23357"/>
    <n v="23357"/>
    <n v="0"/>
    <n v="0"/>
    <n v="23357"/>
    <n v="13518.16"/>
    <n v="9838.84"/>
  </r>
  <r>
    <s v="ORD-00782"/>
    <d v="2024-10-22T00:00:00"/>
    <s v="T-Shirt"/>
    <s v="Clothing"/>
    <s v="Instagram"/>
    <x v="1"/>
    <s v="New"/>
    <s v="None"/>
    <n v="5"/>
    <n v="18160"/>
    <n v="90800"/>
    <n v="0"/>
    <n v="0"/>
    <n v="90800"/>
    <n v="49324.46"/>
    <n v="41475.54"/>
  </r>
  <r>
    <s v="ORD-00063"/>
    <d v="2024-10-22T00:00:00"/>
    <s v="Jeans"/>
    <s v="Clothing"/>
    <s v="Website"/>
    <x v="2"/>
    <s v="Returning"/>
    <s v="None"/>
    <n v="2"/>
    <n v="40203"/>
    <n v="80406"/>
    <n v="0"/>
    <n v="0"/>
    <n v="80406"/>
    <n v="41389.03"/>
    <n v="39016.97"/>
  </r>
  <r>
    <s v="ORD-01047"/>
    <d v="2024-10-22T00:00:00"/>
    <s v="Jeans"/>
    <s v="Clothing"/>
    <s v="Physical Store"/>
    <x v="0"/>
    <s v="New"/>
    <s v="None"/>
    <n v="4"/>
    <n v="44867"/>
    <n v="179468"/>
    <n v="0"/>
    <n v="0"/>
    <n v="179468"/>
    <n v="95375.65"/>
    <n v="84092.35"/>
  </r>
  <r>
    <s v="ORD-00837"/>
    <d v="2024-10-28T00:00:00"/>
    <s v="T-Shirt"/>
    <s v="Clothing"/>
    <s v="Instagram"/>
    <x v="4"/>
    <s v="New"/>
    <s v="None"/>
    <n v="1"/>
    <n v="16773"/>
    <n v="16773"/>
    <n v="0"/>
    <n v="0"/>
    <n v="16773"/>
    <n v="10778.09"/>
    <n v="5994.91"/>
  </r>
  <r>
    <s v="ORD-00251"/>
    <d v="2024-10-28T00:00:00"/>
    <s v="Belt"/>
    <s v="Accessories"/>
    <s v="WhatsApp"/>
    <x v="1"/>
    <s v="New"/>
    <s v="None"/>
    <n v="2"/>
    <n v="14168"/>
    <n v="28336"/>
    <n v="0"/>
    <n v="0"/>
    <n v="28336"/>
    <n v="15171.17"/>
    <n v="13164.83"/>
  </r>
  <r>
    <s v="ORD-00659"/>
    <d v="2024-10-29T00:00:00"/>
    <s v="Cap"/>
    <s v="Accessories"/>
    <s v="Website"/>
    <x v="4"/>
    <s v="New"/>
    <s v="None"/>
    <n v="5"/>
    <n v="12810"/>
    <n v="64050"/>
    <n v="0"/>
    <n v="0"/>
    <n v="64050"/>
    <n v="43048.88"/>
    <n v="21001.120000000003"/>
  </r>
  <r>
    <s v="ORD-00297"/>
    <d v="2024-10-31T00:00:00"/>
    <s v="Dress"/>
    <s v="Clothing"/>
    <s v="WhatsApp"/>
    <x v="3"/>
    <s v="New"/>
    <s v="None"/>
    <n v="1"/>
    <n v="48601"/>
    <n v="48601"/>
    <n v="0"/>
    <n v="0"/>
    <n v="48601"/>
    <n v="25972.36"/>
    <n v="22628.639999999999"/>
  </r>
  <r>
    <s v="ORD-01115"/>
    <d v="2024-11-06T00:00:00"/>
    <s v="Polo Shirt"/>
    <s v="Clothing"/>
    <s v="Instagram"/>
    <x v="4"/>
    <s v="New"/>
    <s v="Black Friday"/>
    <n v="1"/>
    <n v="25777"/>
    <n v="25777"/>
    <n v="3866.55"/>
    <n v="0.15"/>
    <n v="21910.45"/>
    <n v="16682.79"/>
    <n v="5227.66"/>
  </r>
  <r>
    <s v="ORD-00935"/>
    <d v="2024-11-08T00:00:00"/>
    <s v="Polo Shirt"/>
    <s v="Clothing"/>
    <s v="Website"/>
    <x v="4"/>
    <s v="New"/>
    <s v="Black Friday"/>
    <n v="2"/>
    <n v="25996"/>
    <n v="51992"/>
    <n v="7798.8"/>
    <n v="0.15"/>
    <n v="44193.2"/>
    <n v="25516.62"/>
    <n v="18676.579999999998"/>
  </r>
  <r>
    <s v="ORD-00869"/>
    <d v="2024-11-08T00:00:00"/>
    <s v="Dress"/>
    <s v="Clothing"/>
    <s v="Physical Store"/>
    <x v="1"/>
    <s v="New"/>
    <s v="Black Friday"/>
    <n v="1"/>
    <n v="50440"/>
    <n v="50440"/>
    <n v="7566"/>
    <n v="0.15"/>
    <n v="42874"/>
    <n v="30285.88"/>
    <n v="12588.119999999999"/>
  </r>
  <r>
    <s v="ORD-00295"/>
    <d v="2024-11-09T00:00:00"/>
    <s v="Belt"/>
    <s v="Accessories"/>
    <s v="Website"/>
    <x v="3"/>
    <s v="New"/>
    <s v="Black Friday"/>
    <n v="1"/>
    <n v="14555"/>
    <n v="14555"/>
    <n v="727.75"/>
    <n v="0.05"/>
    <n v="13827.25"/>
    <n v="9259.7900000000009"/>
    <n v="4567.4599999999991"/>
  </r>
  <r>
    <s v="ORD-00703"/>
    <d v="2024-11-10T00:00:00"/>
    <s v="Belt"/>
    <s v="Accessories"/>
    <s v="WhatsApp"/>
    <x v="4"/>
    <s v="New"/>
    <s v="Black Friday"/>
    <n v="1"/>
    <n v="14108"/>
    <n v="14108"/>
    <n v="2821.6"/>
    <n v="0.2"/>
    <n v="11286.4"/>
    <n v="9072.44"/>
    <n v="2213.9599999999991"/>
  </r>
  <r>
    <s v="ORD-00038"/>
    <d v="2024-11-11T00:00:00"/>
    <s v="Cap"/>
    <s v="Accessories"/>
    <s v="Instagram"/>
    <x v="2"/>
    <s v="Returning"/>
    <s v="Black Friday"/>
    <n v="2"/>
    <n v="12185"/>
    <n v="24370"/>
    <n v="2437"/>
    <n v="0.1"/>
    <n v="21933"/>
    <n v="13863.7"/>
    <n v="8069.2999999999993"/>
  </r>
  <r>
    <s v="ORD-00762"/>
    <d v="2024-11-13T00:00:00"/>
    <s v="Jeans"/>
    <s v="Clothing"/>
    <s v="Instagram"/>
    <x v="3"/>
    <s v="New"/>
    <s v="Black Friday"/>
    <n v="1"/>
    <n v="42706"/>
    <n v="42706"/>
    <n v="2135.3000000000002"/>
    <n v="0.05"/>
    <n v="40570.699999999997"/>
    <n v="23049.9"/>
    <n v="17520.799999999996"/>
  </r>
  <r>
    <s v="ORD-00138"/>
    <d v="2024-11-13T00:00:00"/>
    <s v="Dress"/>
    <s v="Clothing"/>
    <s v="WhatsApp"/>
    <x v="4"/>
    <s v="Returning"/>
    <s v="Black Friday"/>
    <n v="4"/>
    <n v="52613"/>
    <n v="210452"/>
    <n v="31567.8"/>
    <n v="0.15"/>
    <n v="178884.2"/>
    <n v="113156.06"/>
    <n v="65728.140000000014"/>
  </r>
  <r>
    <s v="ORD-01126"/>
    <d v="2024-11-13T00:00:00"/>
    <s v="Sneakers"/>
    <s v="Footwear"/>
    <s v="Physical Store"/>
    <x v="1"/>
    <s v="Returning"/>
    <s v="Black Friday"/>
    <n v="4"/>
    <n v="69463"/>
    <n v="277852"/>
    <n v="41677.800000000003"/>
    <n v="0.15"/>
    <n v="236174.2"/>
    <n v="176078.99"/>
    <n v="60095.210000000021"/>
  </r>
  <r>
    <s v="ORD-00746"/>
    <d v="2024-11-15T00:00:00"/>
    <s v="Cap"/>
    <s v="Accessories"/>
    <s v="Website"/>
    <x v="2"/>
    <s v="New"/>
    <s v="None"/>
    <n v="1"/>
    <n v="11999"/>
    <n v="11999"/>
    <n v="0"/>
    <n v="0"/>
    <n v="11999"/>
    <n v="6062.36"/>
    <n v="5936.64"/>
  </r>
  <r>
    <s v="ORD-00757"/>
    <d v="2024-11-16T00:00:00"/>
    <s v="Belt"/>
    <s v="Accessories"/>
    <s v="Website"/>
    <x v="4"/>
    <s v="New"/>
    <s v="Black Friday"/>
    <n v="2"/>
    <n v="13883"/>
    <n v="27766"/>
    <n v="5553.2"/>
    <n v="0.2"/>
    <n v="22212.799999999999"/>
    <n v="16641.04"/>
    <n v="5571.7599999999984"/>
  </r>
  <r>
    <s v="ORD-00283"/>
    <d v="2024-11-16T00:00:00"/>
    <s v="Handbag"/>
    <s v="Accessories"/>
    <s v="Physical Store"/>
    <x v="1"/>
    <s v="Returning"/>
    <s v="Black Friday"/>
    <n v="2"/>
    <n v="44276"/>
    <n v="88552"/>
    <n v="13282.8"/>
    <n v="0.15"/>
    <n v="75269.2"/>
    <n v="42696.43"/>
    <n v="32572.769999999997"/>
  </r>
  <r>
    <s v="ORD-00822"/>
    <d v="2024-11-19T00:00:00"/>
    <s v="Sneakers"/>
    <s v="Footwear"/>
    <s v="Instagram"/>
    <x v="2"/>
    <s v="Returning"/>
    <s v="Black Friday"/>
    <n v="4"/>
    <n v="66783"/>
    <n v="267132"/>
    <n v="13356.6"/>
    <n v="0.05"/>
    <n v="253775.4"/>
    <n v="177624.14"/>
    <n v="76151.25999999998"/>
  </r>
  <r>
    <s v="ORD-01140"/>
    <d v="2024-11-19T00:00:00"/>
    <s v="T-Shirt"/>
    <s v="Clothing"/>
    <s v="Physical Store"/>
    <x v="4"/>
    <s v="New"/>
    <s v="Black Friday"/>
    <n v="2"/>
    <n v="19402"/>
    <n v="38804"/>
    <n v="5820.6"/>
    <n v="0.15"/>
    <n v="32983.4"/>
    <n v="21201.78"/>
    <n v="11781.620000000003"/>
  </r>
  <r>
    <s v="ORD-00735"/>
    <d v="2024-11-21T00:00:00"/>
    <s v="Sneakers"/>
    <s v="Footwear"/>
    <s v="Physical Store"/>
    <x v="4"/>
    <s v="Returning"/>
    <s v="Black Friday"/>
    <n v="1"/>
    <n v="69786"/>
    <n v="69786"/>
    <n v="3489.3"/>
    <n v="0.05"/>
    <n v="66296.7"/>
    <n v="44682.18"/>
    <n v="21614.519999999997"/>
  </r>
  <r>
    <s v="ORD-00904"/>
    <d v="2024-11-22T00:00:00"/>
    <s v="Dress"/>
    <s v="Clothing"/>
    <s v="Website"/>
    <x v="3"/>
    <s v="New"/>
    <s v="Black Friday"/>
    <n v="3"/>
    <n v="48543"/>
    <n v="145629"/>
    <n v="29125.8"/>
    <n v="0.2"/>
    <n v="116503.2"/>
    <n v="84793.88"/>
    <n v="31709.319999999992"/>
  </r>
  <r>
    <s v="ORD-01196"/>
    <d v="2024-11-23T00:00:00"/>
    <s v="Dress"/>
    <s v="Clothing"/>
    <s v="WhatsApp"/>
    <x v="4"/>
    <s v="Returning"/>
    <s v="Black Friday"/>
    <n v="2"/>
    <n v="51896"/>
    <n v="103792"/>
    <n v="10379.200000000001"/>
    <n v="0.1"/>
    <n v="93412.800000000003"/>
    <n v="55229.760000000002"/>
    <n v="38183.040000000001"/>
  </r>
  <r>
    <s v="ORD-00938"/>
    <d v="2024-11-23T00:00:00"/>
    <s v="Polo Shirt"/>
    <s v="Clothing"/>
    <s v="Physical Store"/>
    <x v="3"/>
    <s v="New"/>
    <s v="Black Friday"/>
    <n v="2"/>
    <n v="23438"/>
    <n v="46876"/>
    <n v="7031.4"/>
    <n v="0.15"/>
    <n v="39844.6"/>
    <n v="23774.44"/>
    <n v="16070.16"/>
  </r>
  <r>
    <s v="ORD-01182"/>
    <d v="2024-11-24T00:00:00"/>
    <s v="Dress"/>
    <s v="Clothing"/>
    <s v="Instagram"/>
    <x v="0"/>
    <s v="New"/>
    <s v="Black Friday"/>
    <n v="1"/>
    <n v="51186"/>
    <n v="51186"/>
    <n v="7677.9"/>
    <n v="0.15"/>
    <n v="43508.1"/>
    <n v="26285.26"/>
    <n v="17222.84"/>
  </r>
  <r>
    <s v="ORD-00758"/>
    <d v="2024-11-24T00:00:00"/>
    <s v="Hoodie"/>
    <s v="Clothing"/>
    <s v="Physical Store"/>
    <x v="0"/>
    <s v="New"/>
    <s v="None"/>
    <n v="2"/>
    <n v="40345"/>
    <n v="80690"/>
    <n v="0"/>
    <n v="0"/>
    <n v="80690"/>
    <n v="41370.5"/>
    <n v="39319.5"/>
  </r>
  <r>
    <s v="ORD-00956"/>
    <d v="2024-11-25T00:00:00"/>
    <s v="Handbag"/>
    <s v="Accessories"/>
    <s v="Website"/>
    <x v="4"/>
    <s v="New"/>
    <s v="Black Friday"/>
    <n v="2"/>
    <n v="47357"/>
    <n v="94714"/>
    <n v="14207.1"/>
    <n v="0.15"/>
    <n v="80506.899999999994"/>
    <n v="46697.79"/>
    <n v="33809.109999999993"/>
  </r>
  <r>
    <s v="ORD-01065"/>
    <d v="2024-11-25T00:00:00"/>
    <s v="Handbag"/>
    <s v="Accessories"/>
    <s v="Instagram"/>
    <x v="0"/>
    <s v="Returning"/>
    <s v="Black Friday"/>
    <n v="2"/>
    <n v="42902"/>
    <n v="85804"/>
    <n v="4290.2"/>
    <n v="0.05"/>
    <n v="81513.8"/>
    <n v="42661.3"/>
    <n v="38852.5"/>
  </r>
  <r>
    <s v="ORD-00006"/>
    <d v="2024-11-26T00:00:00"/>
    <s v="Sneakers"/>
    <s v="Footwear"/>
    <s v="Website"/>
    <x v="1"/>
    <s v="Returning"/>
    <s v="Black Friday"/>
    <n v="1"/>
    <n v="60500"/>
    <n v="60500"/>
    <n v="9075"/>
    <n v="0.15"/>
    <n v="51425"/>
    <n v="33225.18"/>
    <n v="18199.82"/>
  </r>
  <r>
    <s v="ORD-00764"/>
    <d v="2024-11-29T00:00:00"/>
    <s v="Sneakers"/>
    <s v="Footwear"/>
    <s v="WhatsApp"/>
    <x v="4"/>
    <s v="Returning"/>
    <s v="None"/>
    <n v="2"/>
    <n v="66242"/>
    <n v="132484"/>
    <n v="0"/>
    <n v="0"/>
    <n v="132484"/>
    <n v="75033.77"/>
    <n v="57450.229999999996"/>
  </r>
  <r>
    <s v="ORD-01083"/>
    <d v="2024-11-30T00:00:00"/>
    <s v="Sandals"/>
    <s v="Footwear"/>
    <s v="WhatsApp"/>
    <x v="4"/>
    <s v="Returning"/>
    <s v="Black Friday"/>
    <n v="1"/>
    <n v="29100"/>
    <n v="29100"/>
    <n v="2910"/>
    <n v="0.1"/>
    <n v="26190"/>
    <n v="18968.439999999999"/>
    <n v="7221.5600000000013"/>
  </r>
  <r>
    <s v="ORD-00368"/>
    <d v="2024-12-01T00:00:00"/>
    <s v="Sneakers"/>
    <s v="Footwear"/>
    <s v="Website"/>
    <x v="0"/>
    <s v="Returning"/>
    <s v="Christmas Promo"/>
    <n v="2"/>
    <n v="69956"/>
    <n v="139912"/>
    <n v="13991.2"/>
    <n v="0.1"/>
    <n v="125920.8"/>
    <n v="93308.54"/>
    <n v="32612.260000000009"/>
  </r>
  <r>
    <s v="ORD-00653"/>
    <d v="2024-12-02T00:00:00"/>
    <s v="Hoodie"/>
    <s v="Clothing"/>
    <s v="Website"/>
    <x v="4"/>
    <s v="New"/>
    <s v="Christmas Promo"/>
    <n v="2"/>
    <n v="39602"/>
    <n v="79204"/>
    <n v="7920.4"/>
    <n v="0.1"/>
    <n v="71283.600000000006"/>
    <n v="48457.56"/>
    <n v="22826.040000000008"/>
  </r>
  <r>
    <s v="ORD-00210"/>
    <d v="2024-12-03T00:00:00"/>
    <s v="Hoodie"/>
    <s v="Clothing"/>
    <s v="WhatsApp"/>
    <x v="4"/>
    <s v="Returning"/>
    <s v="Christmas Promo"/>
    <n v="3"/>
    <n v="39003"/>
    <n v="117009"/>
    <n v="11700.9"/>
    <n v="0.1"/>
    <n v="105308.1"/>
    <n v="73547.759999999995"/>
    <n v="31760.340000000011"/>
  </r>
  <r>
    <s v="ORD-00065"/>
    <d v="2024-12-03T00:00:00"/>
    <s v="Sneakers"/>
    <s v="Footwear"/>
    <s v="Instagram"/>
    <x v="1"/>
    <s v="New"/>
    <s v="Christmas Promo"/>
    <n v="2"/>
    <n v="65854"/>
    <n v="131708"/>
    <n v="19756.2"/>
    <n v="0.15"/>
    <n v="111951.8"/>
    <n v="68216.710000000006"/>
    <n v="43735.09"/>
  </r>
  <r>
    <s v="ORD-00178"/>
    <d v="2024-12-03T00:00:00"/>
    <s v="Handbag"/>
    <s v="Accessories"/>
    <s v="Website"/>
    <x v="2"/>
    <s v="Returning"/>
    <s v="Christmas Promo"/>
    <n v="3"/>
    <n v="48194"/>
    <n v="144582"/>
    <n v="28916.400000000001"/>
    <n v="0.2"/>
    <n v="115665.60000000001"/>
    <n v="84478.1"/>
    <n v="31187.5"/>
  </r>
  <r>
    <s v="ORD-01068"/>
    <d v="2024-12-04T00:00:00"/>
    <s v="Handbag"/>
    <s v="Accessories"/>
    <s v="Physical Store"/>
    <x v="2"/>
    <s v="New"/>
    <s v="Christmas Promo"/>
    <n v="2"/>
    <n v="43309"/>
    <n v="86618"/>
    <n v="4330.8999999999996"/>
    <n v="0.05"/>
    <n v="82287.100000000006"/>
    <n v="47243.040000000001"/>
    <n v="35044.060000000005"/>
  </r>
  <r>
    <s v="ORD-00457"/>
    <d v="2024-12-04T00:00:00"/>
    <s v="Cap"/>
    <s v="Accessories"/>
    <s v="WhatsApp"/>
    <x v="4"/>
    <s v="Returning"/>
    <s v="None"/>
    <n v="1"/>
    <n v="12759"/>
    <n v="12759"/>
    <n v="0"/>
    <n v="0"/>
    <n v="12759"/>
    <n v="7255.89"/>
    <n v="5503.11"/>
  </r>
  <r>
    <s v="ORD-01135"/>
    <d v="2024-12-05T00:00:00"/>
    <s v="Sneakers"/>
    <s v="Footwear"/>
    <s v="Physical Store"/>
    <x v="2"/>
    <s v="New"/>
    <s v="Christmas Promo"/>
    <n v="2"/>
    <n v="61760"/>
    <n v="123520"/>
    <n v="24704"/>
    <n v="0.2"/>
    <n v="98816"/>
    <n v="62516.55"/>
    <n v="36299.449999999997"/>
  </r>
  <r>
    <s v="ORD-00355"/>
    <d v="2024-12-06T00:00:00"/>
    <s v="Handbag"/>
    <s v="Accessories"/>
    <s v="Website"/>
    <x v="0"/>
    <s v="New"/>
    <s v="Christmas Promo"/>
    <n v="1"/>
    <n v="48291"/>
    <n v="48291"/>
    <n v="2414.5500000000002"/>
    <n v="0.05"/>
    <n v="45876.45"/>
    <n v="29479.48"/>
    <n v="16396.969999999998"/>
  </r>
  <r>
    <s v="ORD-01006"/>
    <d v="2024-12-07T00:00:00"/>
    <s v="Belt"/>
    <s v="Accessories"/>
    <s v="Website"/>
    <x v="4"/>
    <s v="Returning"/>
    <s v="None"/>
    <n v="2"/>
    <n v="15356"/>
    <n v="30712"/>
    <n v="0"/>
    <n v="0"/>
    <n v="30712"/>
    <n v="19338.23"/>
    <n v="11373.77"/>
  </r>
  <r>
    <s v="ORD-00900"/>
    <d v="2024-12-07T00:00:00"/>
    <s v="Sandals"/>
    <s v="Footwear"/>
    <s v="Website"/>
    <x v="2"/>
    <s v="Returning"/>
    <s v="None"/>
    <n v="2"/>
    <n v="31138"/>
    <n v="62276"/>
    <n v="0"/>
    <n v="0"/>
    <n v="62276"/>
    <n v="32959.83"/>
    <n v="29316.17"/>
  </r>
  <r>
    <s v="ORD-00011"/>
    <d v="2024-12-09T00:00:00"/>
    <s v="Polo Shirt"/>
    <s v="Clothing"/>
    <s v="Website"/>
    <x v="4"/>
    <s v="Returning"/>
    <s v="Christmas Promo"/>
    <n v="4"/>
    <n v="26872"/>
    <n v="107488"/>
    <n v="10748.8"/>
    <n v="0.1"/>
    <n v="96739.199999999997"/>
    <n v="70267.55"/>
    <n v="26471.649999999994"/>
  </r>
  <r>
    <s v="ORD-00640"/>
    <d v="2024-12-11T00:00:00"/>
    <s v="Hoodie"/>
    <s v="Clothing"/>
    <s v="Website"/>
    <x v="2"/>
    <s v="Returning"/>
    <s v="None"/>
    <n v="2"/>
    <n v="35592"/>
    <n v="71184"/>
    <n v="10677.6"/>
    <n v="0.15"/>
    <n v="60506.400000000001"/>
    <n v="46842.21"/>
    <n v="13664.190000000002"/>
  </r>
  <r>
    <s v="ORD-00836"/>
    <d v="2024-12-11T00:00:00"/>
    <s v="Sneakers"/>
    <s v="Footwear"/>
    <s v="Website"/>
    <x v="4"/>
    <s v="Returning"/>
    <s v="None"/>
    <n v="2"/>
    <n v="63984"/>
    <n v="127968"/>
    <n v="0"/>
    <n v="0"/>
    <n v="127968"/>
    <n v="64453.75"/>
    <n v="63514.25"/>
  </r>
  <r>
    <s v="ORD-00185"/>
    <d v="2024-12-11T00:00:00"/>
    <s v="T-Shirt"/>
    <s v="Clothing"/>
    <s v="Website"/>
    <x v="0"/>
    <s v="New"/>
    <s v="None"/>
    <n v="2"/>
    <n v="18230"/>
    <n v="36460"/>
    <n v="0"/>
    <n v="0"/>
    <n v="36460"/>
    <n v="23033.8"/>
    <n v="13426.2"/>
  </r>
  <r>
    <s v="ORD-00879"/>
    <d v="2024-12-12T00:00:00"/>
    <s v="Dress"/>
    <s v="Clothing"/>
    <s v="Website"/>
    <x v="4"/>
    <s v="New"/>
    <s v="Christmas Promo"/>
    <n v="2"/>
    <n v="51613"/>
    <n v="103226"/>
    <n v="5161.3"/>
    <n v="0.05"/>
    <n v="98064.7"/>
    <n v="50772.92"/>
    <n v="47291.78"/>
  </r>
  <r>
    <s v="ORD-00478"/>
    <d v="2024-12-13T00:00:00"/>
    <s v="Sneakers"/>
    <s v="Footwear"/>
    <s v="Physical Store"/>
    <x v="2"/>
    <s v="New"/>
    <s v="Christmas Promo"/>
    <n v="1"/>
    <n v="60213"/>
    <n v="60213"/>
    <n v="9031.9500000000007"/>
    <n v="0.15"/>
    <n v="51181.05"/>
    <n v="39375.64"/>
    <n v="11805.410000000003"/>
  </r>
  <r>
    <s v="ORD-00649"/>
    <d v="2024-12-15T00:00:00"/>
    <s v="Cap"/>
    <s v="Accessories"/>
    <s v="WhatsApp"/>
    <x v="4"/>
    <s v="New"/>
    <s v="Christmas Promo"/>
    <n v="1"/>
    <n v="12898"/>
    <n v="12898"/>
    <n v="1934.7"/>
    <n v="0.15"/>
    <n v="10963.3"/>
    <n v="6248.95"/>
    <n v="4714.3499999999995"/>
  </r>
  <r>
    <s v="ORD-00710"/>
    <d v="2024-12-15T00:00:00"/>
    <s v="Polo Shirt"/>
    <s v="Clothing"/>
    <s v="Website"/>
    <x v="4"/>
    <s v="New"/>
    <s v="Christmas Promo"/>
    <n v="1"/>
    <n v="23919"/>
    <n v="23919"/>
    <n v="2391.9"/>
    <n v="0.1"/>
    <n v="21527.1"/>
    <n v="12693.78"/>
    <n v="8833.3199999999979"/>
  </r>
  <r>
    <s v="ORD-00848"/>
    <d v="2024-12-21T00:00:00"/>
    <s v="Polo Shirt"/>
    <s v="Clothing"/>
    <s v="Physical Store"/>
    <x v="3"/>
    <s v="New"/>
    <s v="Christmas Promo"/>
    <n v="2"/>
    <n v="26943"/>
    <n v="53886"/>
    <n v="8082.9"/>
    <n v="0.15"/>
    <n v="45803.1"/>
    <n v="35156.870000000003"/>
    <n v="10646.229999999996"/>
  </r>
  <r>
    <s v="ORD-00357"/>
    <d v="2024-12-22T00:00:00"/>
    <s v="Handbag"/>
    <s v="Accessories"/>
    <s v="Physical Store"/>
    <x v="3"/>
    <s v="New"/>
    <s v="Christmas Promo"/>
    <n v="1"/>
    <n v="46662"/>
    <n v="46662"/>
    <n v="4666.2"/>
    <n v="0.1"/>
    <n v="41995.8"/>
    <n v="27894.73"/>
    <n v="14101.070000000003"/>
  </r>
  <r>
    <s v="ORD-00502"/>
    <d v="2024-12-23T00:00:00"/>
    <s v="Handbag"/>
    <s v="Accessories"/>
    <s v="Website"/>
    <x v="2"/>
    <s v="New"/>
    <s v="Christmas Promo"/>
    <n v="2"/>
    <n v="43882"/>
    <n v="87764"/>
    <n v="13164.6"/>
    <n v="0.15"/>
    <n v="74599.399999999994"/>
    <n v="57766.65"/>
    <n v="16832.749999999993"/>
  </r>
  <r>
    <s v="ORD-00623"/>
    <d v="2024-12-25T00:00:00"/>
    <s v="Belt"/>
    <s v="Accessories"/>
    <s v="Website"/>
    <x v="4"/>
    <s v="New"/>
    <s v="None"/>
    <n v="3"/>
    <n v="14527"/>
    <n v="43581"/>
    <n v="0"/>
    <n v="0"/>
    <n v="43581"/>
    <n v="25021.65"/>
    <n v="18559.349999999999"/>
  </r>
  <r>
    <s v="ORD-00676"/>
    <d v="2024-12-28T00:00:00"/>
    <s v="Sandals"/>
    <s v="Footwear"/>
    <s v="Physical Store"/>
    <x v="4"/>
    <s v="New"/>
    <s v="Christmas Promo"/>
    <n v="2"/>
    <n v="31761"/>
    <n v="63522"/>
    <n v="6352.2"/>
    <n v="0.1"/>
    <n v="57169.8"/>
    <n v="35634.06"/>
    <n v="21535.740000000005"/>
  </r>
  <r>
    <s v="ORD-00838"/>
    <d v="2024-12-28T00:00:00"/>
    <s v="Jeans"/>
    <s v="Clothing"/>
    <s v="Physical Store"/>
    <x v="4"/>
    <s v="Returning"/>
    <s v="Christmas Promo"/>
    <n v="1"/>
    <n v="41206"/>
    <n v="41206"/>
    <n v="4120.6000000000004"/>
    <n v="0.1"/>
    <n v="37085.4"/>
    <n v="20722.77"/>
    <n v="16362.630000000001"/>
  </r>
  <r>
    <s v="ORD-01106"/>
    <d v="2024-12-29T00:00:00"/>
    <s v="Sneakers"/>
    <s v="Footwear"/>
    <s v="WhatsApp"/>
    <x v="3"/>
    <s v="Returning"/>
    <s v="Christmas Promo"/>
    <n v="3"/>
    <n v="66862"/>
    <n v="200586"/>
    <n v="30087.9"/>
    <n v="0.15"/>
    <n v="170498.1"/>
    <n v="118939.99"/>
    <n v="51558.11"/>
  </r>
  <r>
    <s v="ORD-01041"/>
    <d v="2024-12-30T00:00:00"/>
    <s v="Hoodie"/>
    <s v="Clothing"/>
    <s v="Instagram"/>
    <x v="4"/>
    <s v="Returning"/>
    <s v="Christmas Promo"/>
    <n v="1"/>
    <n v="36164"/>
    <n v="36164"/>
    <n v="7232.8"/>
    <n v="0.2"/>
    <n v="28931.200000000001"/>
    <n v="17505.400000000001"/>
    <n v="11425.8"/>
  </r>
  <r>
    <s v="ORD-00667"/>
    <d v="2024-12-30T00:00:00"/>
    <s v="Belt"/>
    <s v="Accessories"/>
    <s v="Website"/>
    <x v="2"/>
    <s v="New"/>
    <s v="Christmas Promo"/>
    <n v="1"/>
    <n v="14964"/>
    <n v="14964"/>
    <n v="2244.6"/>
    <n v="0.15"/>
    <n v="12719.4"/>
    <n v="8094.81"/>
    <n v="4624.5899999999992"/>
  </r>
  <r>
    <s v="ORD-00319"/>
    <d v="2025-01-04T00:00:00"/>
    <s v="Sneakers"/>
    <s v="Footwear"/>
    <s v="Physical Store"/>
    <x v="2"/>
    <s v="New"/>
    <s v="None"/>
    <n v="1"/>
    <n v="61125"/>
    <n v="61125"/>
    <n v="6112.5"/>
    <n v="0.1"/>
    <n v="55012.5"/>
    <n v="39890.29"/>
    <n v="15122.21"/>
  </r>
  <r>
    <s v="ORD-00864"/>
    <d v="2025-01-05T00:00:00"/>
    <s v="Hoodie"/>
    <s v="Clothing"/>
    <s v="Instagram"/>
    <x v="3"/>
    <s v="Returning"/>
    <s v="None"/>
    <n v="2"/>
    <n v="35232"/>
    <n v="70464"/>
    <n v="0"/>
    <n v="0"/>
    <n v="70464"/>
    <n v="37770.589999999997"/>
    <n v="32693.410000000003"/>
  </r>
  <r>
    <s v="ORD-01092"/>
    <d v="2025-01-06T00:00:00"/>
    <s v="Cap"/>
    <s v="Accessories"/>
    <s v="Instagram"/>
    <x v="0"/>
    <s v="New"/>
    <s v="None"/>
    <n v="3"/>
    <n v="12848"/>
    <n v="38544"/>
    <n v="0"/>
    <n v="0"/>
    <n v="38544"/>
    <n v="24909.63"/>
    <n v="13634.369999999999"/>
  </r>
  <r>
    <s v="ORD-00505"/>
    <d v="2025-01-07T00:00:00"/>
    <s v="Belt"/>
    <s v="Accessories"/>
    <s v="Physical Store"/>
    <x v="1"/>
    <s v="Returning"/>
    <s v="None"/>
    <n v="2"/>
    <n v="14279"/>
    <n v="28558"/>
    <n v="0"/>
    <n v="0"/>
    <n v="28558"/>
    <n v="17971.09"/>
    <n v="10586.91"/>
  </r>
  <r>
    <s v="ORD-00534"/>
    <d v="2025-01-08T00:00:00"/>
    <s v="Sneakers"/>
    <s v="Footwear"/>
    <s v="Website"/>
    <x v="1"/>
    <s v="New"/>
    <s v="None"/>
    <n v="1"/>
    <n v="66438"/>
    <n v="66438"/>
    <n v="0"/>
    <n v="0"/>
    <n v="66438"/>
    <n v="33378.61"/>
    <n v="33059.39"/>
  </r>
  <r>
    <s v="ORD-01070"/>
    <d v="2025-01-08T00:00:00"/>
    <s v="Belt"/>
    <s v="Accessories"/>
    <s v="Website"/>
    <x v="4"/>
    <s v="New"/>
    <s v="None"/>
    <n v="1"/>
    <n v="15386"/>
    <n v="15386"/>
    <n v="0"/>
    <n v="0"/>
    <n v="15386"/>
    <n v="9959.65"/>
    <n v="5426.35"/>
  </r>
  <r>
    <s v="ORD-01139"/>
    <d v="2025-01-10T00:00:00"/>
    <s v="Hoodie"/>
    <s v="Clothing"/>
    <s v="Physical Store"/>
    <x v="4"/>
    <s v="New"/>
    <s v="None"/>
    <n v="1"/>
    <n v="39569"/>
    <n v="39569"/>
    <n v="0"/>
    <n v="0"/>
    <n v="39569"/>
    <n v="19110.48"/>
    <n v="20458.52"/>
  </r>
  <r>
    <s v="ORD-00765"/>
    <d v="2025-01-10T00:00:00"/>
    <s v="Polo Shirt"/>
    <s v="Clothing"/>
    <s v="Instagram"/>
    <x v="4"/>
    <s v="New"/>
    <s v="None"/>
    <n v="1"/>
    <n v="25303"/>
    <n v="25303"/>
    <n v="0"/>
    <n v="0"/>
    <n v="25303"/>
    <n v="12777.61"/>
    <n v="12525.39"/>
  </r>
  <r>
    <s v="ORD-01131"/>
    <d v="2025-01-11T00:00:00"/>
    <s v="Sandals"/>
    <s v="Footwear"/>
    <s v="Physical Store"/>
    <x v="4"/>
    <s v="New"/>
    <s v="None"/>
    <n v="3"/>
    <n v="30799"/>
    <n v="92397"/>
    <n v="0"/>
    <n v="0"/>
    <n v="92397"/>
    <n v="60429.59"/>
    <n v="31967.410000000003"/>
  </r>
  <r>
    <s v="ORD-00084"/>
    <d v="2025-01-13T00:00:00"/>
    <s v="Sandals"/>
    <s v="Footwear"/>
    <s v="Instagram"/>
    <x v="2"/>
    <s v="New"/>
    <s v="None"/>
    <n v="2"/>
    <n v="31412"/>
    <n v="62824"/>
    <n v="0"/>
    <n v="0"/>
    <n v="62824"/>
    <n v="37546.160000000003"/>
    <n v="25277.839999999997"/>
  </r>
  <r>
    <s v="ORD-00375"/>
    <d v="2025-01-14T00:00:00"/>
    <s v="Handbag"/>
    <s v="Accessories"/>
    <s v="Physical Store"/>
    <x v="0"/>
    <s v="Returning"/>
    <s v="None"/>
    <n v="1"/>
    <n v="42348"/>
    <n v="42348"/>
    <n v="0"/>
    <n v="0"/>
    <n v="42348"/>
    <n v="26611.29"/>
    <n v="15736.71"/>
  </r>
  <r>
    <s v="ORD-00072"/>
    <d v="2025-01-14T00:00:00"/>
    <s v="Jeans"/>
    <s v="Clothing"/>
    <s v="Website"/>
    <x v="4"/>
    <s v="Returning"/>
    <s v="None"/>
    <n v="3"/>
    <n v="38780"/>
    <n v="116340"/>
    <n v="0"/>
    <n v="0"/>
    <n v="116340"/>
    <n v="78363.37"/>
    <n v="37976.630000000005"/>
  </r>
  <r>
    <s v="ORD-00150"/>
    <d v="2025-01-19T00:00:00"/>
    <s v="Hoodie"/>
    <s v="Clothing"/>
    <s v="WhatsApp"/>
    <x v="0"/>
    <s v="New"/>
    <s v="None"/>
    <n v="3"/>
    <n v="38963"/>
    <n v="116889"/>
    <n v="0"/>
    <n v="0"/>
    <n v="116889"/>
    <n v="75882.5"/>
    <n v="41006.5"/>
  </r>
  <r>
    <s v="ORD-00546"/>
    <d v="2025-01-19T00:00:00"/>
    <s v="Jeans"/>
    <s v="Clothing"/>
    <s v="Physical Store"/>
    <x v="0"/>
    <s v="Returning"/>
    <s v="None"/>
    <n v="1"/>
    <n v="43479"/>
    <n v="43479"/>
    <n v="0"/>
    <n v="0"/>
    <n v="43479"/>
    <n v="24903.119999999999"/>
    <n v="18575.88"/>
  </r>
  <r>
    <s v="ORD-00013"/>
    <d v="2025-01-20T00:00:00"/>
    <s v="Cap"/>
    <s v="Accessories"/>
    <s v="Website"/>
    <x v="2"/>
    <s v="Returning"/>
    <s v="None"/>
    <n v="1"/>
    <n v="11473"/>
    <n v="11473"/>
    <n v="0"/>
    <n v="0"/>
    <n v="11473"/>
    <n v="7002.02"/>
    <n v="4470.9799999999996"/>
  </r>
  <r>
    <s v="ORD-00876"/>
    <d v="2025-01-20T00:00:00"/>
    <s v="Dress"/>
    <s v="Clothing"/>
    <s v="Physical Store"/>
    <x v="2"/>
    <s v="Returning"/>
    <s v="None"/>
    <n v="1"/>
    <n v="48405"/>
    <n v="48405"/>
    <n v="7260.75"/>
    <n v="0.15"/>
    <n v="41144.25"/>
    <n v="26873.86"/>
    <n v="14270.39"/>
  </r>
  <r>
    <s v="ORD-00477"/>
    <d v="2025-01-21T00:00:00"/>
    <s v="Dress"/>
    <s v="Clothing"/>
    <s v="Website"/>
    <x v="3"/>
    <s v="Returning"/>
    <s v="None"/>
    <n v="1"/>
    <n v="53848"/>
    <n v="53848"/>
    <n v="0"/>
    <n v="0"/>
    <n v="53848"/>
    <n v="34644.620000000003"/>
    <n v="19203.379999999997"/>
  </r>
  <r>
    <s v="ORD-00036"/>
    <d v="2025-01-22T00:00:00"/>
    <s v="Sandals"/>
    <s v="Footwear"/>
    <s v="Instagram"/>
    <x v="0"/>
    <s v="Returning"/>
    <s v="None"/>
    <n v="3"/>
    <n v="31144"/>
    <n v="93432"/>
    <n v="14014.8"/>
    <n v="0.15"/>
    <n v="79417.2"/>
    <n v="52399.29"/>
    <n v="27017.909999999996"/>
  </r>
  <r>
    <s v="ORD-00578"/>
    <d v="2025-01-23T00:00:00"/>
    <s v="Jeans"/>
    <s v="Clothing"/>
    <s v="Website"/>
    <x v="0"/>
    <s v="Returning"/>
    <s v="None"/>
    <n v="1"/>
    <n v="40619"/>
    <n v="40619"/>
    <n v="0"/>
    <n v="0"/>
    <n v="40619"/>
    <n v="19707.490000000002"/>
    <n v="20911.509999999998"/>
  </r>
  <r>
    <s v="ORD-01136"/>
    <d v="2025-01-23T00:00:00"/>
    <s v="Belt"/>
    <s v="Accessories"/>
    <s v="WhatsApp"/>
    <x v="4"/>
    <s v="New"/>
    <s v="None"/>
    <n v="2"/>
    <n v="15652"/>
    <n v="31304"/>
    <n v="0"/>
    <n v="0"/>
    <n v="31304"/>
    <n v="18364.18"/>
    <n v="12939.82"/>
  </r>
  <r>
    <s v="ORD-00523"/>
    <d v="2025-01-24T00:00:00"/>
    <s v="Belt"/>
    <s v="Accessories"/>
    <s v="Website"/>
    <x v="3"/>
    <s v="New"/>
    <s v="None"/>
    <n v="1"/>
    <n v="16105"/>
    <n v="16105"/>
    <n v="0"/>
    <n v="0"/>
    <n v="16105"/>
    <n v="9974.65"/>
    <n v="6130.35"/>
  </r>
  <r>
    <s v="ORD-01082"/>
    <d v="2025-01-25T00:00:00"/>
    <s v="Polo Shirt"/>
    <s v="Clothing"/>
    <s v="WhatsApp"/>
    <x v="4"/>
    <s v="Returning"/>
    <s v="None"/>
    <n v="1"/>
    <n v="25542"/>
    <n v="25542"/>
    <n v="0"/>
    <n v="0"/>
    <n v="25542"/>
    <n v="16173.82"/>
    <n v="9368.18"/>
  </r>
  <r>
    <s v="ORD-00799"/>
    <d v="2025-01-25T00:00:00"/>
    <s v="Dress"/>
    <s v="Clothing"/>
    <s v="Website"/>
    <x v="4"/>
    <s v="New"/>
    <s v="None"/>
    <n v="1"/>
    <n v="48971"/>
    <n v="48971"/>
    <n v="0"/>
    <n v="0"/>
    <n v="48971"/>
    <n v="28767.22"/>
    <n v="20203.78"/>
  </r>
  <r>
    <s v="ORD-00081"/>
    <d v="2025-01-26T00:00:00"/>
    <s v="Dress"/>
    <s v="Clothing"/>
    <s v="Physical Store"/>
    <x v="4"/>
    <s v="Returning"/>
    <s v="None"/>
    <n v="3"/>
    <n v="51503"/>
    <n v="154509"/>
    <n v="0"/>
    <n v="0"/>
    <n v="154509"/>
    <n v="90810.99"/>
    <n v="63698.009999999995"/>
  </r>
  <r>
    <s v="ORD-00110"/>
    <d v="2025-01-27T00:00:00"/>
    <s v="Handbag"/>
    <s v="Accessories"/>
    <s v="Physical Store"/>
    <x v="4"/>
    <s v="Returning"/>
    <s v="None"/>
    <n v="2"/>
    <n v="45965"/>
    <n v="91930"/>
    <n v="0"/>
    <n v="0"/>
    <n v="91930"/>
    <n v="56558.6"/>
    <n v="35371.4"/>
  </r>
  <r>
    <s v="ORD-00970"/>
    <d v="2025-01-30T00:00:00"/>
    <s v="T-Shirt"/>
    <s v="Clothing"/>
    <s v="WhatsApp"/>
    <x v="4"/>
    <s v="Returning"/>
    <s v="None"/>
    <n v="4"/>
    <n v="18901"/>
    <n v="75604"/>
    <n v="7560.4"/>
    <n v="0.1"/>
    <n v="68043.600000000006"/>
    <n v="48070.44"/>
    <n v="19973.160000000003"/>
  </r>
  <r>
    <s v="ORD-00839"/>
    <d v="2025-01-30T00:00:00"/>
    <s v="Handbag"/>
    <s v="Accessories"/>
    <s v="Website"/>
    <x v="4"/>
    <s v="New"/>
    <s v="None"/>
    <n v="1"/>
    <n v="41556"/>
    <n v="41556"/>
    <n v="0"/>
    <n v="0"/>
    <n v="41556"/>
    <n v="23202.97"/>
    <n v="18353.03"/>
  </r>
  <r>
    <s v="ORD-00421"/>
    <d v="2025-01-30T00:00:00"/>
    <s v="Handbag"/>
    <s v="Accessories"/>
    <s v="Instagram"/>
    <x v="0"/>
    <s v="Returning"/>
    <s v="None"/>
    <n v="4"/>
    <n v="47535"/>
    <n v="190140"/>
    <n v="0"/>
    <n v="0"/>
    <n v="190140"/>
    <n v="93155.73"/>
    <n v="96984.27"/>
  </r>
  <r>
    <s v="ORD-00432"/>
    <d v="2025-01-30T00:00:00"/>
    <s v="Belt"/>
    <s v="Accessories"/>
    <s v="Website"/>
    <x v="1"/>
    <s v="New"/>
    <s v="None"/>
    <n v="5"/>
    <n v="15740"/>
    <n v="78700"/>
    <n v="0"/>
    <n v="0"/>
    <n v="78700"/>
    <n v="37914.15"/>
    <n v="40785.85"/>
  </r>
  <r>
    <s v="ORD-00380"/>
    <d v="2025-01-31T00:00:00"/>
    <s v="Cap"/>
    <s v="Accessories"/>
    <s v="Website"/>
    <x v="1"/>
    <s v="Returning"/>
    <s v="None"/>
    <n v="5"/>
    <n v="11465"/>
    <n v="57325"/>
    <n v="0"/>
    <n v="0"/>
    <n v="57325"/>
    <n v="30446.9"/>
    <n v="26878.1"/>
  </r>
  <r>
    <s v="ORD-00417"/>
    <d v="2025-01-31T00:00:00"/>
    <s v="Sandals"/>
    <s v="Footwear"/>
    <s v="Physical Store"/>
    <x v="4"/>
    <s v="New"/>
    <s v="None"/>
    <n v="3"/>
    <n v="29053"/>
    <n v="87159"/>
    <n v="0"/>
    <n v="0"/>
    <n v="87159"/>
    <n v="51675.12"/>
    <n v="35483.879999999997"/>
  </r>
  <r>
    <s v="ORD-00107"/>
    <d v="2025-02-01T00:00:00"/>
    <s v="Sneakers"/>
    <s v="Footwear"/>
    <s v="Physical Store"/>
    <x v="3"/>
    <s v="Returning"/>
    <s v="None"/>
    <n v="1"/>
    <n v="61749"/>
    <n v="61749"/>
    <n v="0"/>
    <n v="0"/>
    <n v="61749"/>
    <n v="39754.79"/>
    <n v="21994.21"/>
  </r>
  <r>
    <s v="ORD-00441"/>
    <d v="2025-02-01T00:00:00"/>
    <s v="Hoodie"/>
    <s v="Clothing"/>
    <s v="Physical Store"/>
    <x v="2"/>
    <s v="Returning"/>
    <s v="None"/>
    <n v="2"/>
    <n v="37496"/>
    <n v="74992"/>
    <n v="3749.6"/>
    <n v="0.05"/>
    <n v="71242.399999999994"/>
    <n v="39055.75"/>
    <n v="32186.649999999994"/>
  </r>
  <r>
    <s v="ORD-00215"/>
    <d v="2025-02-01T00:00:00"/>
    <s v="Belt"/>
    <s v="Accessories"/>
    <s v="Website"/>
    <x v="4"/>
    <s v="Returning"/>
    <s v="Valentine Promo"/>
    <n v="2"/>
    <n v="14684"/>
    <n v="29368"/>
    <n v="2936.8"/>
    <n v="0.1"/>
    <n v="26431.200000000001"/>
    <n v="18011.18"/>
    <n v="8420.02"/>
  </r>
  <r>
    <s v="ORD-01147"/>
    <d v="2025-02-02T00:00:00"/>
    <s v="Belt"/>
    <s v="Accessories"/>
    <s v="Physical Store"/>
    <x v="0"/>
    <s v="Returning"/>
    <s v="None"/>
    <n v="2"/>
    <n v="15651"/>
    <n v="31302"/>
    <n v="0"/>
    <n v="0"/>
    <n v="31302"/>
    <n v="19434.7"/>
    <n v="11867.3"/>
  </r>
  <r>
    <s v="ORD-00285"/>
    <d v="2025-02-03T00:00:00"/>
    <s v="Polo Shirt"/>
    <s v="Clothing"/>
    <s v="Physical Store"/>
    <x v="4"/>
    <s v="Returning"/>
    <s v="Valentine Promo"/>
    <n v="1"/>
    <n v="25271"/>
    <n v="25271"/>
    <n v="1263.55"/>
    <n v="0.05"/>
    <n v="24007.45"/>
    <n v="16872.52"/>
    <n v="7134.93"/>
  </r>
  <r>
    <s v="ORD-00157"/>
    <d v="2025-02-04T00:00:00"/>
    <s v="Cap"/>
    <s v="Accessories"/>
    <s v="Physical Store"/>
    <x v="4"/>
    <s v="New"/>
    <s v="Valentine Promo"/>
    <n v="1"/>
    <n v="12397"/>
    <n v="12397"/>
    <n v="1239.7"/>
    <n v="0.1"/>
    <n v="11157.3"/>
    <n v="8031.62"/>
    <n v="3125.6799999999994"/>
  </r>
  <r>
    <s v="ORD-01079"/>
    <d v="2025-02-04T00:00:00"/>
    <s v="Polo Shirt"/>
    <s v="Clothing"/>
    <s v="Website"/>
    <x v="4"/>
    <s v="New"/>
    <s v="Valentine Promo"/>
    <n v="2"/>
    <n v="24731"/>
    <n v="49462"/>
    <n v="4946.2"/>
    <n v="0.1"/>
    <n v="44515.8"/>
    <n v="29167.58"/>
    <n v="15348.220000000001"/>
  </r>
  <r>
    <s v="ORD-00581"/>
    <d v="2025-02-04T00:00:00"/>
    <s v="Belt"/>
    <s v="Accessories"/>
    <s v="Website"/>
    <x v="4"/>
    <s v="New"/>
    <s v="None"/>
    <n v="4"/>
    <n v="14007"/>
    <n v="56028"/>
    <n v="0"/>
    <n v="0"/>
    <n v="56028"/>
    <n v="31491.14"/>
    <n v="24536.86"/>
  </r>
  <r>
    <s v="ORD-00217"/>
    <d v="2025-02-04T00:00:00"/>
    <s v="Polo Shirt"/>
    <s v="Clothing"/>
    <s v="WhatsApp"/>
    <x v="4"/>
    <s v="New"/>
    <s v="Valentine Promo"/>
    <n v="1"/>
    <n v="23224"/>
    <n v="23224"/>
    <n v="2322.4"/>
    <n v="0.1"/>
    <n v="20901.599999999999"/>
    <n v="15453.76"/>
    <n v="5447.8399999999983"/>
  </r>
  <r>
    <s v="ORD-00054"/>
    <d v="2025-02-05T00:00:00"/>
    <s v="Belt"/>
    <s v="Accessories"/>
    <s v="Physical Store"/>
    <x v="1"/>
    <s v="New"/>
    <s v="Valentine Promo"/>
    <n v="1"/>
    <n v="16024"/>
    <n v="16024"/>
    <n v="3204.8"/>
    <n v="0.2"/>
    <n v="12819.2"/>
    <n v="10390.07"/>
    <n v="2429.130000000001"/>
  </r>
  <r>
    <s v="ORD-00781"/>
    <d v="2025-02-05T00:00:00"/>
    <s v="Cap"/>
    <s v="Accessories"/>
    <s v="Instagram"/>
    <x v="4"/>
    <s v="New"/>
    <s v="Valentine Promo"/>
    <n v="3"/>
    <n v="12833"/>
    <n v="38499"/>
    <n v="1924.95"/>
    <n v="0.05"/>
    <n v="36574.050000000003"/>
    <n v="24633.49"/>
    <n v="11940.560000000001"/>
  </r>
  <r>
    <s v="ORD-01095"/>
    <d v="2025-02-05T00:00:00"/>
    <s v="Jeans"/>
    <s v="Clothing"/>
    <s v="Physical Store"/>
    <x v="3"/>
    <s v="Returning"/>
    <s v="Valentine Promo"/>
    <n v="3"/>
    <n v="44193"/>
    <n v="132579"/>
    <n v="13257.9"/>
    <n v="0.1"/>
    <n v="119321.1"/>
    <n v="70997.289999999994"/>
    <n v="48323.810000000012"/>
  </r>
  <r>
    <s v="ORD-00172"/>
    <d v="2025-02-06T00:00:00"/>
    <s v="Sandals"/>
    <s v="Footwear"/>
    <s v="Instagram"/>
    <x v="4"/>
    <s v="New"/>
    <s v="Valentine Promo"/>
    <n v="2"/>
    <n v="30375"/>
    <n v="60750"/>
    <n v="9112.5"/>
    <n v="0.15"/>
    <n v="51637.5"/>
    <n v="39015.15"/>
    <n v="12622.349999999999"/>
  </r>
  <r>
    <s v="ORD-00198"/>
    <d v="2025-02-07T00:00:00"/>
    <s v="Dress"/>
    <s v="Clothing"/>
    <s v="Physical Store"/>
    <x v="0"/>
    <s v="New"/>
    <s v="Valentine Promo"/>
    <n v="2"/>
    <n v="50274"/>
    <n v="100548"/>
    <n v="15082.2"/>
    <n v="0.15"/>
    <n v="85465.8"/>
    <n v="56902.04"/>
    <n v="28563.760000000002"/>
  </r>
  <r>
    <s v="ORD-00547"/>
    <d v="2025-02-08T00:00:00"/>
    <s v="Handbag"/>
    <s v="Accessories"/>
    <s v="Instagram"/>
    <x v="4"/>
    <s v="New"/>
    <s v="Valentine Promo"/>
    <n v="1"/>
    <n v="46246"/>
    <n v="46246"/>
    <n v="9249.2000000000007"/>
    <n v="0.2"/>
    <n v="36996.800000000003"/>
    <n v="30363.49"/>
    <n v="6633.3100000000013"/>
  </r>
  <r>
    <s v="ORD-01037"/>
    <d v="2025-02-09T00:00:00"/>
    <s v="Jeans"/>
    <s v="Clothing"/>
    <s v="Instagram"/>
    <x v="2"/>
    <s v="New"/>
    <s v="Valentine Promo"/>
    <n v="1"/>
    <n v="40739"/>
    <n v="40739"/>
    <n v="2036.95"/>
    <n v="0.05"/>
    <n v="38702.050000000003"/>
    <n v="24351.81"/>
    <n v="14350.240000000002"/>
  </r>
  <r>
    <s v="ORD-00096"/>
    <d v="2025-02-10T00:00:00"/>
    <s v="Belt"/>
    <s v="Accessories"/>
    <s v="Instagram"/>
    <x v="4"/>
    <s v="Returning"/>
    <s v="None"/>
    <n v="1"/>
    <n v="14340"/>
    <n v="14340"/>
    <n v="717"/>
    <n v="0.05"/>
    <n v="13623"/>
    <n v="9322.77"/>
    <n v="4300.2299999999996"/>
  </r>
  <r>
    <s v="ORD-00276"/>
    <d v="2025-02-11T00:00:00"/>
    <s v="Hoodie"/>
    <s v="Clothing"/>
    <s v="Instagram"/>
    <x v="1"/>
    <s v="New"/>
    <s v="Valentine Promo"/>
    <n v="2"/>
    <n v="37069"/>
    <n v="74138"/>
    <n v="7413.8"/>
    <n v="0.1"/>
    <n v="66724.2"/>
    <n v="47366.48"/>
    <n v="19357.719999999994"/>
  </r>
  <r>
    <s v="ORD-00396"/>
    <d v="2025-02-16T00:00:00"/>
    <s v="Sandals"/>
    <s v="Footwear"/>
    <s v="Physical Store"/>
    <x v="3"/>
    <s v="Returning"/>
    <s v="Valentine Promo"/>
    <n v="2"/>
    <n v="28658"/>
    <n v="57316"/>
    <n v="8597.4"/>
    <n v="0.15"/>
    <n v="48718.6"/>
    <n v="38411.1"/>
    <n v="10307.5"/>
  </r>
  <r>
    <s v="ORD-01118"/>
    <d v="2025-02-17T00:00:00"/>
    <s v="Sneakers"/>
    <s v="Footwear"/>
    <s v="WhatsApp"/>
    <x v="3"/>
    <s v="New"/>
    <s v="None"/>
    <n v="4"/>
    <n v="60253"/>
    <n v="241012"/>
    <n v="0"/>
    <n v="0"/>
    <n v="241012"/>
    <n v="149225.1"/>
    <n v="91786.9"/>
  </r>
  <r>
    <s v="ORD-00878"/>
    <d v="2025-02-21T00:00:00"/>
    <s v="Sandals"/>
    <s v="Footwear"/>
    <s v="Instagram"/>
    <x v="0"/>
    <s v="New"/>
    <s v="Valentine Promo"/>
    <n v="2"/>
    <n v="28465"/>
    <n v="56930"/>
    <n v="5693"/>
    <n v="0.1"/>
    <n v="51237"/>
    <n v="27451.97"/>
    <n v="23785.03"/>
  </r>
  <r>
    <s v="ORD-00392"/>
    <d v="2025-02-21T00:00:00"/>
    <s v="Polo Shirt"/>
    <s v="Clothing"/>
    <s v="Instagram"/>
    <x v="4"/>
    <s v="New"/>
    <s v="Valentine Promo"/>
    <n v="3"/>
    <n v="25539"/>
    <n v="76617"/>
    <n v="3830.85"/>
    <n v="0.05"/>
    <n v="72786.149999999994"/>
    <n v="37857.01"/>
    <n v="34929.139999999992"/>
  </r>
  <r>
    <s v="ORD-01173"/>
    <d v="2025-02-22T00:00:00"/>
    <s v="Jeans"/>
    <s v="Clothing"/>
    <s v="Instagram"/>
    <x v="3"/>
    <s v="Returning"/>
    <s v="Valentine Promo"/>
    <n v="3"/>
    <n v="42697"/>
    <n v="128091"/>
    <n v="12809.1"/>
    <n v="0.1"/>
    <n v="115281.9"/>
    <n v="82569.91"/>
    <n v="32711.989999999991"/>
  </r>
  <r>
    <s v="ORD-00082"/>
    <d v="2025-02-22T00:00:00"/>
    <s v="Hoodie"/>
    <s v="Clothing"/>
    <s v="Website"/>
    <x v="0"/>
    <s v="New"/>
    <s v="None"/>
    <n v="1"/>
    <n v="37197"/>
    <n v="37197"/>
    <n v="0"/>
    <n v="0"/>
    <n v="37197"/>
    <n v="18962.2"/>
    <n v="18234.8"/>
  </r>
  <r>
    <s v="ORD-00859"/>
    <d v="2025-02-23T00:00:00"/>
    <s v="Jeans"/>
    <s v="Clothing"/>
    <s v="Website"/>
    <x v="4"/>
    <s v="New"/>
    <s v="None"/>
    <n v="3"/>
    <n v="39265"/>
    <n v="117795"/>
    <n v="0"/>
    <n v="0"/>
    <n v="117795"/>
    <n v="69077.77"/>
    <n v="48717.229999999996"/>
  </r>
  <r>
    <s v="ORD-00804"/>
    <d v="2025-02-23T00:00:00"/>
    <s v="Handbag"/>
    <s v="Accessories"/>
    <s v="Physical Store"/>
    <x v="3"/>
    <s v="New"/>
    <s v="None"/>
    <n v="3"/>
    <n v="43108"/>
    <n v="129324"/>
    <n v="0"/>
    <n v="0"/>
    <n v="129324"/>
    <n v="75122.27"/>
    <n v="54201.729999999996"/>
  </r>
  <r>
    <s v="ORD-00785"/>
    <d v="2025-02-25T00:00:00"/>
    <s v="Sneakers"/>
    <s v="Footwear"/>
    <s v="Website"/>
    <x v="3"/>
    <s v="Returning"/>
    <s v="None"/>
    <n v="1"/>
    <n v="67055"/>
    <n v="67055"/>
    <n v="0"/>
    <n v="0"/>
    <n v="67055"/>
    <n v="37439.160000000003"/>
    <n v="29615.839999999997"/>
  </r>
  <r>
    <s v="ORD-00700"/>
    <d v="2025-02-28T00:00:00"/>
    <s v="Sneakers"/>
    <s v="Footwear"/>
    <s v="Website"/>
    <x v="2"/>
    <s v="New"/>
    <s v="Valentine Promo"/>
    <n v="1"/>
    <n v="61645"/>
    <n v="61645"/>
    <n v="6164.5"/>
    <n v="0.1"/>
    <n v="55480.5"/>
    <n v="36580.550000000003"/>
    <n v="18899.949999999997"/>
  </r>
  <r>
    <s v="ORD-00913"/>
    <d v="2025-03-04T00:00:00"/>
    <s v="Dress"/>
    <s v="Clothing"/>
    <s v="Instagram"/>
    <x v="3"/>
    <s v="New"/>
    <s v="Easter Sale"/>
    <n v="2"/>
    <n v="52736"/>
    <n v="105472"/>
    <n v="10547.2"/>
    <n v="0.1"/>
    <n v="94924.800000000003"/>
    <n v="68318.53"/>
    <n v="26606.270000000004"/>
  </r>
  <r>
    <s v="ORD-00354"/>
    <d v="2025-03-07T00:00:00"/>
    <s v="Dress"/>
    <s v="Clothing"/>
    <s v="WhatsApp"/>
    <x v="0"/>
    <s v="New"/>
    <s v="Easter Sale"/>
    <n v="2"/>
    <n v="47447"/>
    <n v="94894"/>
    <n v="18978.8"/>
    <n v="0.2"/>
    <n v="75915.199999999997"/>
    <n v="51891.7"/>
    <n v="24023.5"/>
  </r>
  <r>
    <s v="ORD-01143"/>
    <d v="2025-03-07T00:00:00"/>
    <s v="Sneakers"/>
    <s v="Footwear"/>
    <s v="Instagram"/>
    <x v="3"/>
    <s v="New"/>
    <s v="None"/>
    <n v="1"/>
    <n v="64798"/>
    <n v="64798"/>
    <n v="0"/>
    <n v="0"/>
    <n v="64798"/>
    <n v="41702.39"/>
    <n v="23095.61"/>
  </r>
  <r>
    <s v="ORD-00588"/>
    <d v="2025-03-10T00:00:00"/>
    <s v="Cap"/>
    <s v="Accessories"/>
    <s v="WhatsApp"/>
    <x v="4"/>
    <s v="Returning"/>
    <s v="Easter Sale"/>
    <n v="1"/>
    <n v="11842"/>
    <n v="11842"/>
    <n v="1184.2"/>
    <n v="0.1"/>
    <n v="10657.8"/>
    <n v="6443.39"/>
    <n v="4214.4099999999989"/>
  </r>
  <r>
    <s v="ORD-00596"/>
    <d v="2025-03-10T00:00:00"/>
    <s v="Sneakers"/>
    <s v="Footwear"/>
    <s v="Website"/>
    <x v="2"/>
    <s v="Returning"/>
    <s v="Easter Sale"/>
    <n v="2"/>
    <n v="64730"/>
    <n v="129460"/>
    <n v="19419"/>
    <n v="0.15"/>
    <n v="110041"/>
    <n v="62425.96"/>
    <n v="47615.040000000001"/>
  </r>
  <r>
    <s v="ORD-00907"/>
    <d v="2025-03-10T00:00:00"/>
    <s v="Sandals"/>
    <s v="Footwear"/>
    <s v="Physical Store"/>
    <x v="3"/>
    <s v="New"/>
    <s v="Easter Sale"/>
    <n v="2"/>
    <n v="27930"/>
    <n v="55860"/>
    <n v="11172"/>
    <n v="0.2"/>
    <n v="44688"/>
    <n v="30487.49"/>
    <n v="14200.509999999998"/>
  </r>
  <r>
    <s v="ORD-00229"/>
    <d v="2025-03-13T00:00:00"/>
    <s v="Cap"/>
    <s v="Accessories"/>
    <s v="Physical Store"/>
    <x v="2"/>
    <s v="Returning"/>
    <s v="None"/>
    <n v="4"/>
    <n v="11284"/>
    <n v="45136"/>
    <n v="0"/>
    <n v="0"/>
    <n v="45136"/>
    <n v="26463.94"/>
    <n v="18672.060000000001"/>
  </r>
  <r>
    <s v="ORD-00572"/>
    <d v="2025-03-13T00:00:00"/>
    <s v="Dress"/>
    <s v="Clothing"/>
    <s v="Physical Store"/>
    <x v="4"/>
    <s v="New"/>
    <s v="Easter Sale"/>
    <n v="4"/>
    <n v="47161"/>
    <n v="188644"/>
    <n v="18864.400000000001"/>
    <n v="0.1"/>
    <n v="169779.6"/>
    <n v="126880.37"/>
    <n v="42899.23000000001"/>
  </r>
  <r>
    <s v="ORD-00992"/>
    <d v="2025-03-17T00:00:00"/>
    <s v="Polo Shirt"/>
    <s v="Clothing"/>
    <s v="Instagram"/>
    <x v="2"/>
    <s v="Returning"/>
    <s v="None"/>
    <n v="1"/>
    <n v="26641"/>
    <n v="26641"/>
    <n v="0"/>
    <n v="0"/>
    <n v="26641"/>
    <n v="15445.02"/>
    <n v="11195.98"/>
  </r>
  <r>
    <s v="ORD-00141"/>
    <d v="2025-03-17T00:00:00"/>
    <s v="Jeans"/>
    <s v="Clothing"/>
    <s v="Website"/>
    <x v="2"/>
    <s v="Returning"/>
    <s v="Easter Sale"/>
    <n v="3"/>
    <n v="43897"/>
    <n v="131691"/>
    <n v="13169.1"/>
    <n v="0.1"/>
    <n v="118521.9"/>
    <n v="71126.03"/>
    <n v="47395.869999999995"/>
  </r>
  <r>
    <s v="ORD-00362"/>
    <d v="2025-03-17T00:00:00"/>
    <s v="Hoodie"/>
    <s v="Clothing"/>
    <s v="Instagram"/>
    <x v="3"/>
    <s v="Returning"/>
    <s v="Easter Sale"/>
    <n v="1"/>
    <n v="38468"/>
    <n v="38468"/>
    <n v="5770.2"/>
    <n v="0.15"/>
    <n v="32697.8"/>
    <n v="23057.3"/>
    <n v="9640.5"/>
  </r>
  <r>
    <s v="ORD-00937"/>
    <d v="2025-03-18T00:00:00"/>
    <s v="Dress"/>
    <s v="Clothing"/>
    <s v="Physical Store"/>
    <x v="4"/>
    <s v="Returning"/>
    <s v="Easter Sale"/>
    <n v="1"/>
    <n v="52412"/>
    <n v="52412"/>
    <n v="7861.8"/>
    <n v="0.15"/>
    <n v="44550.2"/>
    <n v="35406.129999999997"/>
    <n v="9144.07"/>
  </r>
  <r>
    <s v="ORD-00302"/>
    <d v="2025-03-19T00:00:00"/>
    <s v="Sneakers"/>
    <s v="Footwear"/>
    <s v="WhatsApp"/>
    <x v="1"/>
    <s v="New"/>
    <s v="Easter Sale"/>
    <n v="4"/>
    <n v="64164"/>
    <n v="256656"/>
    <n v="51331.199999999997"/>
    <n v="0.2"/>
    <n v="205324.79999999999"/>
    <n v="125216.91"/>
    <n v="80107.889999999985"/>
  </r>
  <r>
    <s v="ORD-00422"/>
    <d v="2025-03-20T00:00:00"/>
    <s v="Jeans"/>
    <s v="Clothing"/>
    <s v="Physical Store"/>
    <x v="3"/>
    <s v="New"/>
    <s v="None"/>
    <n v="2"/>
    <n v="40230"/>
    <n v="80460"/>
    <n v="0"/>
    <n v="0"/>
    <n v="80460"/>
    <n v="45526.67"/>
    <n v="34933.33"/>
  </r>
  <r>
    <s v="ORD-00462"/>
    <d v="2025-03-20T00:00:00"/>
    <s v="T-Shirt"/>
    <s v="Clothing"/>
    <s v="Physical Store"/>
    <x v="3"/>
    <s v="New"/>
    <s v="Easter Sale"/>
    <n v="1"/>
    <n v="17744"/>
    <n v="17744"/>
    <n v="1774.4"/>
    <n v="0.1"/>
    <n v="15969.6"/>
    <n v="9288.82"/>
    <n v="6680.7800000000007"/>
  </r>
  <r>
    <s v="ORD-00597"/>
    <d v="2025-03-22T00:00:00"/>
    <s v="Dress"/>
    <s v="Clothing"/>
    <s v="Instagram"/>
    <x v="4"/>
    <s v="New"/>
    <s v="None"/>
    <n v="1"/>
    <n v="53507"/>
    <n v="53507"/>
    <n v="0"/>
    <n v="0"/>
    <n v="53507"/>
    <n v="26895.22"/>
    <n v="26611.78"/>
  </r>
  <r>
    <s v="ORD-00563"/>
    <d v="2025-03-24T00:00:00"/>
    <s v="Sandals"/>
    <s v="Footwear"/>
    <s v="Instagram"/>
    <x v="4"/>
    <s v="Returning"/>
    <s v="Easter Sale"/>
    <n v="1"/>
    <n v="28202"/>
    <n v="28202"/>
    <n v="1410.1"/>
    <n v="0.05"/>
    <n v="26791.9"/>
    <n v="18533.919999999998"/>
    <n v="8257.9800000000032"/>
  </r>
  <r>
    <s v="ORD-00527"/>
    <d v="2025-03-25T00:00:00"/>
    <s v="Jeans"/>
    <s v="Clothing"/>
    <s v="Website"/>
    <x v="0"/>
    <s v="New"/>
    <s v="Easter Sale"/>
    <n v="1"/>
    <n v="45019"/>
    <n v="45019"/>
    <n v="4501.8999999999996"/>
    <n v="0.1"/>
    <n v="40517.1"/>
    <n v="23129.5"/>
    <n v="17387.599999999999"/>
  </r>
  <r>
    <s v="ORD-00947"/>
    <d v="2025-03-27T00:00:00"/>
    <s v="Belt"/>
    <s v="Accessories"/>
    <s v="Instagram"/>
    <x v="4"/>
    <s v="New"/>
    <s v="Easter Sale"/>
    <n v="2"/>
    <n v="15923"/>
    <n v="31846"/>
    <n v="4776.8999999999996"/>
    <n v="0.15"/>
    <n v="27069.1"/>
    <n v="18252.66"/>
    <n v="8816.4399999999987"/>
  </r>
  <r>
    <s v="ORD-00192"/>
    <d v="2025-03-28T00:00:00"/>
    <s v="Cap"/>
    <s v="Accessories"/>
    <s v="Website"/>
    <x v="4"/>
    <s v="New"/>
    <s v="Easter Sale"/>
    <n v="5"/>
    <n v="11463"/>
    <n v="57315"/>
    <n v="5731.5"/>
    <n v="0.1"/>
    <n v="51583.5"/>
    <n v="33729.550000000003"/>
    <n v="17853.949999999997"/>
  </r>
  <r>
    <s v="ORD-00236"/>
    <d v="2025-03-28T00:00:00"/>
    <s v="Sandals"/>
    <s v="Footwear"/>
    <s v="Physical Store"/>
    <x v="1"/>
    <s v="Returning"/>
    <s v="None"/>
    <n v="2"/>
    <n v="30378"/>
    <n v="60756"/>
    <n v="0"/>
    <n v="0"/>
    <n v="60756"/>
    <n v="31064.26"/>
    <n v="29691.74"/>
  </r>
  <r>
    <s v="ORD-00350"/>
    <d v="2025-03-28T00:00:00"/>
    <s v="Cap"/>
    <s v="Accessories"/>
    <s v="Website"/>
    <x v="4"/>
    <s v="Returning"/>
    <s v="None"/>
    <n v="1"/>
    <n v="11214"/>
    <n v="11214"/>
    <n v="0"/>
    <n v="0"/>
    <n v="11214"/>
    <n v="6890.76"/>
    <n v="4323.24"/>
  </r>
  <r>
    <s v="ORD-01198"/>
    <d v="2025-03-29T00:00:00"/>
    <s v="Jeans"/>
    <s v="Clothing"/>
    <s v="WhatsApp"/>
    <x v="4"/>
    <s v="Returning"/>
    <s v="Easter Sale"/>
    <n v="1"/>
    <n v="42491"/>
    <n v="42491"/>
    <n v="2124.5500000000002"/>
    <n v="0.05"/>
    <n v="40366.449999999997"/>
    <n v="23511.69"/>
    <n v="16854.759999999998"/>
  </r>
  <r>
    <s v="ORD-00425"/>
    <d v="2025-03-30T00:00:00"/>
    <s v="Polo Shirt"/>
    <s v="Clothing"/>
    <s v="Physical Store"/>
    <x v="0"/>
    <s v="New"/>
    <s v="None"/>
    <n v="1"/>
    <n v="26539"/>
    <n v="26539"/>
    <n v="0"/>
    <n v="0"/>
    <n v="26539"/>
    <n v="14884.35"/>
    <n v="11654.65"/>
  </r>
  <r>
    <s v="ORD-01014"/>
    <d v="2025-03-30T00:00:00"/>
    <s v="Belt"/>
    <s v="Accessories"/>
    <s v="Physical Store"/>
    <x v="0"/>
    <s v="Returning"/>
    <s v="Easter Sale"/>
    <n v="1"/>
    <n v="16090"/>
    <n v="16090"/>
    <n v="1609"/>
    <n v="0.1"/>
    <n v="14481"/>
    <n v="10077.64"/>
    <n v="4403.3600000000006"/>
  </r>
  <r>
    <s v="ORD-00061"/>
    <d v="2025-03-31T00:00:00"/>
    <s v="Hoodie"/>
    <s v="Clothing"/>
    <s v="Instagram"/>
    <x v="4"/>
    <s v="Returning"/>
    <s v="Easter Sale"/>
    <n v="2"/>
    <n v="35884"/>
    <n v="71768"/>
    <n v="10765.2"/>
    <n v="0.15"/>
    <n v="61002.8"/>
    <n v="45655.38"/>
    <n v="15347.420000000006"/>
  </r>
  <r>
    <s v="ORD-00473"/>
    <d v="2025-03-31T00:00:00"/>
    <s v="Sandals"/>
    <s v="Footwear"/>
    <s v="Instagram"/>
    <x v="0"/>
    <s v="Returning"/>
    <s v="None"/>
    <n v="2"/>
    <n v="32075"/>
    <n v="64150"/>
    <n v="0"/>
    <n v="0"/>
    <n v="64150"/>
    <n v="32980.81"/>
    <n v="31169.190000000002"/>
  </r>
  <r>
    <s v="ORD-00401"/>
    <d v="2025-04-01T00:00:00"/>
    <s v="Cap"/>
    <s v="Accessories"/>
    <s v="Physical Store"/>
    <x v="0"/>
    <s v="Returning"/>
    <s v="Easter Sale"/>
    <n v="2"/>
    <n v="11766"/>
    <n v="23532"/>
    <n v="2353.1999999999998"/>
    <n v="0.1"/>
    <n v="21178.799999999999"/>
    <n v="13239.61"/>
    <n v="7939.1899999999987"/>
  </r>
  <r>
    <s v="ORD-00558"/>
    <d v="2025-04-01T00:00:00"/>
    <s v="Cap"/>
    <s v="Accessories"/>
    <s v="WhatsApp"/>
    <x v="4"/>
    <s v="New"/>
    <s v="None"/>
    <n v="4"/>
    <n v="12248"/>
    <n v="48992"/>
    <n v="0"/>
    <n v="0"/>
    <n v="48992"/>
    <n v="31362.75"/>
    <n v="17629.25"/>
  </r>
  <r>
    <s v="ORD-00016"/>
    <d v="2025-04-04T00:00:00"/>
    <s v="Sandals"/>
    <s v="Footwear"/>
    <s v="Physical Store"/>
    <x v="2"/>
    <s v="New"/>
    <s v="Easter Sale"/>
    <n v="1"/>
    <n v="28021"/>
    <n v="28021"/>
    <n v="2802.1"/>
    <n v="0.1"/>
    <n v="25218.9"/>
    <n v="13636.16"/>
    <n v="11582.740000000002"/>
  </r>
  <r>
    <s v="ORD-00221"/>
    <d v="2025-04-04T00:00:00"/>
    <s v="Dress"/>
    <s v="Clothing"/>
    <s v="Website"/>
    <x v="4"/>
    <s v="New"/>
    <s v="None"/>
    <n v="1"/>
    <n v="48791"/>
    <n v="48791"/>
    <n v="0"/>
    <n v="0"/>
    <n v="48791"/>
    <n v="31172.43"/>
    <n v="17618.57"/>
  </r>
  <r>
    <s v="ORD-00518"/>
    <d v="2025-04-05T00:00:00"/>
    <s v="T-Shirt"/>
    <s v="Clothing"/>
    <s v="Instagram"/>
    <x v="1"/>
    <s v="New"/>
    <s v="Easter Sale"/>
    <n v="5"/>
    <n v="18007"/>
    <n v="90035"/>
    <n v="9003.5"/>
    <n v="0.1"/>
    <n v="81031.5"/>
    <n v="55846.25"/>
    <n v="25185.25"/>
  </r>
  <r>
    <s v="ORD-00168"/>
    <d v="2025-04-08T00:00:00"/>
    <s v="Sneakers"/>
    <s v="Footwear"/>
    <s v="Website"/>
    <x v="3"/>
    <s v="New"/>
    <s v="Easter Sale"/>
    <n v="2"/>
    <n v="63354"/>
    <n v="126708"/>
    <n v="12670.8"/>
    <n v="0.1"/>
    <n v="114037.2"/>
    <n v="66477.69"/>
    <n v="47559.509999999995"/>
  </r>
  <r>
    <s v="ORD-01073"/>
    <d v="2025-04-10T00:00:00"/>
    <s v="Jeans"/>
    <s v="Clothing"/>
    <s v="Website"/>
    <x v="3"/>
    <s v="New"/>
    <s v="None"/>
    <n v="2"/>
    <n v="44514"/>
    <n v="89028"/>
    <n v="8902.7999999999993"/>
    <n v="0.1"/>
    <n v="80125.2"/>
    <n v="50316.29"/>
    <n v="29808.909999999996"/>
  </r>
  <r>
    <s v="ORD-00005"/>
    <d v="2025-04-11T00:00:00"/>
    <s v="Polo Shirt"/>
    <s v="Clothing"/>
    <s v="Physical Store"/>
    <x v="3"/>
    <s v="Returning"/>
    <s v="Easter Sale"/>
    <n v="3"/>
    <n v="26851"/>
    <n v="80553"/>
    <n v="8055.3"/>
    <n v="0.1"/>
    <n v="72497.7"/>
    <n v="48857.36"/>
    <n v="23640.339999999997"/>
  </r>
  <r>
    <s v="ORD-00721"/>
    <d v="2025-04-12T00:00:00"/>
    <s v="T-Shirt"/>
    <s v="Clothing"/>
    <s v="Physical Store"/>
    <x v="2"/>
    <s v="Returning"/>
    <s v="Easter Sale"/>
    <n v="2"/>
    <n v="16871"/>
    <n v="33742"/>
    <n v="5061.3"/>
    <n v="0.15"/>
    <n v="28680.7"/>
    <n v="22755.27"/>
    <n v="5925.43"/>
  </r>
  <r>
    <s v="ORD-00950"/>
    <d v="2025-04-13T00:00:00"/>
    <s v="Sandals"/>
    <s v="Footwear"/>
    <s v="Instagram"/>
    <x v="1"/>
    <s v="New"/>
    <s v="Easter Sale"/>
    <n v="2"/>
    <n v="32296"/>
    <n v="64592"/>
    <n v="3229.6"/>
    <n v="0.05"/>
    <n v="61362.400000000001"/>
    <n v="38199.089999999997"/>
    <n v="23163.310000000005"/>
  </r>
  <r>
    <s v="ORD-00223"/>
    <d v="2025-04-14T00:00:00"/>
    <s v="Hoodie"/>
    <s v="Clothing"/>
    <s v="Website"/>
    <x v="4"/>
    <s v="New"/>
    <s v="Easter Sale"/>
    <n v="3"/>
    <n v="38090"/>
    <n v="114270"/>
    <n v="17140.5"/>
    <n v="0.15"/>
    <n v="97129.5"/>
    <n v="56759.15"/>
    <n v="40370.35"/>
  </r>
  <r>
    <s v="ORD-00288"/>
    <d v="2025-04-15T00:00:00"/>
    <s v="Sandals"/>
    <s v="Footwear"/>
    <s v="WhatsApp"/>
    <x v="0"/>
    <s v="New"/>
    <s v="Easter Sale"/>
    <n v="2"/>
    <n v="31606"/>
    <n v="63212"/>
    <n v="3160.6"/>
    <n v="0.05"/>
    <n v="60051.4"/>
    <n v="41882.910000000003"/>
    <n v="18168.489999999998"/>
  </r>
  <r>
    <s v="ORD-00969"/>
    <d v="2025-04-15T00:00:00"/>
    <s v="Dress"/>
    <s v="Clothing"/>
    <s v="WhatsApp"/>
    <x v="2"/>
    <s v="New"/>
    <s v="None"/>
    <n v="1"/>
    <n v="48168"/>
    <n v="48168"/>
    <n v="0"/>
    <n v="0"/>
    <n v="48168"/>
    <n v="28076.93"/>
    <n v="20091.07"/>
  </r>
  <r>
    <s v="ORD-00496"/>
    <d v="2025-04-15T00:00:00"/>
    <s v="Cap"/>
    <s v="Accessories"/>
    <s v="Website"/>
    <x v="4"/>
    <s v="New"/>
    <s v="Easter Sale"/>
    <n v="3"/>
    <n v="11615"/>
    <n v="34845"/>
    <n v="5226.75"/>
    <n v="0.15"/>
    <n v="29618.25"/>
    <n v="17391.55"/>
    <n v="12226.7"/>
  </r>
  <r>
    <s v="ORD-00181"/>
    <d v="2025-04-17T00:00:00"/>
    <s v="Sneakers"/>
    <s v="Footwear"/>
    <s v="Website"/>
    <x v="4"/>
    <s v="Returning"/>
    <s v="None"/>
    <n v="1"/>
    <n v="60103"/>
    <n v="60103"/>
    <n v="0"/>
    <n v="0"/>
    <n v="60103"/>
    <n v="36812.29"/>
    <n v="23290.71"/>
  </r>
  <r>
    <s v="ORD-00664"/>
    <d v="2025-04-18T00:00:00"/>
    <s v="Jeans"/>
    <s v="Clothing"/>
    <s v="Instagram"/>
    <x v="4"/>
    <s v="Returning"/>
    <s v="None"/>
    <n v="3"/>
    <n v="39276"/>
    <n v="117828"/>
    <n v="0"/>
    <n v="0"/>
    <n v="117828"/>
    <n v="63303.31"/>
    <n v="54524.69"/>
  </r>
  <r>
    <s v="ORD-00353"/>
    <d v="2025-04-18T00:00:00"/>
    <s v="Polo Shirt"/>
    <s v="Clothing"/>
    <s v="Physical Store"/>
    <x v="4"/>
    <s v="New"/>
    <s v="None"/>
    <n v="2"/>
    <n v="25589"/>
    <n v="51178"/>
    <n v="0"/>
    <n v="0"/>
    <n v="51178"/>
    <n v="27891.22"/>
    <n v="23286.78"/>
  </r>
  <r>
    <s v="ORD-00021"/>
    <d v="2025-04-19T00:00:00"/>
    <s v="Hoodie"/>
    <s v="Clothing"/>
    <s v="Physical Store"/>
    <x v="0"/>
    <s v="New"/>
    <s v="Easter Sale"/>
    <n v="1"/>
    <n v="38931"/>
    <n v="38931"/>
    <n v="1946.55"/>
    <n v="0.05"/>
    <n v="36984.449999999997"/>
    <n v="22910.73"/>
    <n v="14073.719999999998"/>
  </r>
  <r>
    <s v="ORD-00877"/>
    <d v="2025-04-19T00:00:00"/>
    <s v="Dress"/>
    <s v="Clothing"/>
    <s v="Website"/>
    <x v="0"/>
    <s v="Returning"/>
    <s v="None"/>
    <n v="1"/>
    <n v="53988"/>
    <n v="53988"/>
    <n v="5398.8"/>
    <n v="0.1"/>
    <n v="48589.2"/>
    <n v="33763.879999999997"/>
    <n v="14825.32"/>
  </r>
  <r>
    <s v="ORD-00550"/>
    <d v="2025-04-20T00:00:00"/>
    <s v="Belt"/>
    <s v="Accessories"/>
    <s v="WhatsApp"/>
    <x v="3"/>
    <s v="New"/>
    <s v="Easter Sale"/>
    <n v="2"/>
    <n v="14045"/>
    <n v="28090"/>
    <n v="1404.5"/>
    <n v="0.05"/>
    <n v="26685.5"/>
    <n v="13961.54"/>
    <n v="12723.96"/>
  </r>
  <r>
    <s v="ORD-00901"/>
    <d v="2025-04-20T00:00:00"/>
    <s v="Handbag"/>
    <s v="Accessories"/>
    <s v="Website"/>
    <x v="1"/>
    <s v="Returning"/>
    <s v="None"/>
    <n v="4"/>
    <n v="42771"/>
    <n v="171084"/>
    <n v="0"/>
    <n v="0"/>
    <n v="171084"/>
    <n v="84566.92"/>
    <n v="86517.08"/>
  </r>
  <r>
    <s v="ORD-00472"/>
    <d v="2025-04-20T00:00:00"/>
    <s v="Sneakers"/>
    <s v="Footwear"/>
    <s v="Physical Store"/>
    <x v="0"/>
    <s v="Returning"/>
    <s v="None"/>
    <n v="1"/>
    <n v="62086"/>
    <n v="62086"/>
    <n v="9312.9"/>
    <n v="0.15"/>
    <n v="52773.1"/>
    <n v="40969.47"/>
    <n v="11803.629999999997"/>
  </r>
  <r>
    <s v="ORD-00244"/>
    <d v="2025-04-21T00:00:00"/>
    <s v="Jeans"/>
    <s v="Clothing"/>
    <s v="Physical Store"/>
    <x v="4"/>
    <s v="New"/>
    <s v="None"/>
    <n v="4"/>
    <n v="41368"/>
    <n v="165472"/>
    <n v="0"/>
    <n v="0"/>
    <n v="165472"/>
    <n v="82081.47"/>
    <n v="83390.53"/>
  </r>
  <r>
    <s v="ORD-01125"/>
    <d v="2025-04-21T00:00:00"/>
    <s v="Hoodie"/>
    <s v="Clothing"/>
    <s v="Physical Store"/>
    <x v="2"/>
    <s v="New"/>
    <s v="Easter Sale"/>
    <n v="3"/>
    <n v="35591"/>
    <n v="106773"/>
    <n v="5338.65"/>
    <n v="0.05"/>
    <n v="101434.35"/>
    <n v="55710.67"/>
    <n v="45723.680000000008"/>
  </r>
  <r>
    <s v="ORD-00802"/>
    <d v="2025-04-22T00:00:00"/>
    <s v="T-Shirt"/>
    <s v="Clothing"/>
    <s v="Physical Store"/>
    <x v="4"/>
    <s v="New"/>
    <s v="None"/>
    <n v="1"/>
    <n v="17530"/>
    <n v="17530"/>
    <n v="0"/>
    <n v="0"/>
    <n v="17530"/>
    <n v="9521.08"/>
    <n v="8008.92"/>
  </r>
  <r>
    <s v="ORD-01042"/>
    <d v="2025-04-26T00:00:00"/>
    <s v="Dress"/>
    <s v="Clothing"/>
    <s v="Website"/>
    <x v="4"/>
    <s v="Returning"/>
    <s v="None"/>
    <n v="4"/>
    <n v="48813"/>
    <n v="195252"/>
    <n v="0"/>
    <n v="0"/>
    <n v="195252"/>
    <n v="132056.13"/>
    <n v="63195.869999999995"/>
  </r>
  <r>
    <s v="ORD-00680"/>
    <d v="2025-04-29T00:00:00"/>
    <s v="Polo Shirt"/>
    <s v="Clothing"/>
    <s v="Website"/>
    <x v="4"/>
    <s v="New"/>
    <s v="Easter Sale"/>
    <n v="2"/>
    <n v="25805"/>
    <n v="51610"/>
    <n v="7741.5"/>
    <n v="0.15"/>
    <n v="43868.5"/>
    <n v="28395.57"/>
    <n v="15472.93"/>
  </r>
  <r>
    <s v="ORD-00119"/>
    <d v="2025-04-29T00:00:00"/>
    <s v="Polo Shirt"/>
    <s v="Clothing"/>
    <s v="Physical Store"/>
    <x v="2"/>
    <s v="New"/>
    <s v="Easter Sale"/>
    <n v="2"/>
    <n v="25100"/>
    <n v="50200"/>
    <n v="7530"/>
    <n v="0.15"/>
    <n v="42670"/>
    <n v="32816.26"/>
    <n v="9853.739999999998"/>
  </r>
  <r>
    <s v="ORD-00334"/>
    <d v="2025-05-02T00:00:00"/>
    <s v="Jeans"/>
    <s v="Clothing"/>
    <s v="Website"/>
    <x v="4"/>
    <s v="New"/>
    <s v="None"/>
    <n v="2"/>
    <n v="41023"/>
    <n v="82046"/>
    <n v="8204.6"/>
    <n v="0.1"/>
    <n v="73841.399999999994"/>
    <n v="41271.54"/>
    <n v="32569.859999999993"/>
  </r>
  <r>
    <s v="ORD-00565"/>
    <d v="2025-05-02T00:00:00"/>
    <s v="Sneakers"/>
    <s v="Footwear"/>
    <s v="WhatsApp"/>
    <x v="0"/>
    <s v="New"/>
    <s v="None"/>
    <n v="2"/>
    <n v="69589"/>
    <n v="139178"/>
    <n v="0"/>
    <n v="0"/>
    <n v="139178"/>
    <n v="81146.12"/>
    <n v="58031.880000000005"/>
  </r>
  <r>
    <s v="ORD-01074"/>
    <d v="2025-05-03T00:00:00"/>
    <s v="Sandals"/>
    <s v="Footwear"/>
    <s v="Instagram"/>
    <x v="4"/>
    <s v="New"/>
    <s v="None"/>
    <n v="3"/>
    <n v="31045"/>
    <n v="93135"/>
    <n v="0"/>
    <n v="0"/>
    <n v="93135"/>
    <n v="61501.54"/>
    <n v="31633.46"/>
  </r>
  <r>
    <s v="ORD-00175"/>
    <d v="2025-05-03T00:00:00"/>
    <s v="Polo Shirt"/>
    <s v="Clothing"/>
    <s v="Website"/>
    <x v="3"/>
    <s v="Returning"/>
    <s v="None"/>
    <n v="1"/>
    <n v="26227"/>
    <n v="26227"/>
    <n v="0"/>
    <n v="0"/>
    <n v="26227"/>
    <n v="15455.98"/>
    <n v="10771.02"/>
  </r>
  <r>
    <s v="ORD-00269"/>
    <d v="2025-05-04T00:00:00"/>
    <s v="Handbag"/>
    <s v="Accessories"/>
    <s v="Website"/>
    <x v="0"/>
    <s v="Returning"/>
    <s v="None"/>
    <n v="2"/>
    <n v="45093"/>
    <n v="90186"/>
    <n v="0"/>
    <n v="0"/>
    <n v="90186"/>
    <n v="60157.17"/>
    <n v="30028.83"/>
  </r>
  <r>
    <s v="ORD-00946"/>
    <d v="2025-05-05T00:00:00"/>
    <s v="Jeans"/>
    <s v="Clothing"/>
    <s v="WhatsApp"/>
    <x v="4"/>
    <s v="New"/>
    <s v="None"/>
    <n v="1"/>
    <n v="39585"/>
    <n v="39585"/>
    <n v="0"/>
    <n v="0"/>
    <n v="39585"/>
    <n v="23419.55"/>
    <n v="16165.45"/>
  </r>
  <r>
    <s v="ORD-00450"/>
    <d v="2025-05-06T00:00:00"/>
    <s v="Hoodie"/>
    <s v="Clothing"/>
    <s v="Website"/>
    <x v="0"/>
    <s v="New"/>
    <s v="None"/>
    <n v="3"/>
    <n v="36532"/>
    <n v="109596"/>
    <n v="0"/>
    <n v="0"/>
    <n v="109596"/>
    <n v="70013.919999999998"/>
    <n v="39582.080000000002"/>
  </r>
  <r>
    <s v="ORD-00073"/>
    <d v="2025-05-07T00:00:00"/>
    <s v="Belt"/>
    <s v="Accessories"/>
    <s v="Physical Store"/>
    <x v="2"/>
    <s v="New"/>
    <s v="None"/>
    <n v="1"/>
    <n v="15276"/>
    <n v="15276"/>
    <n v="0"/>
    <n v="0"/>
    <n v="15276"/>
    <n v="9299.74"/>
    <n v="5976.26"/>
  </r>
  <r>
    <s v="ORD-01113"/>
    <d v="2025-05-07T00:00:00"/>
    <s v="Sandals"/>
    <s v="Footwear"/>
    <s v="WhatsApp"/>
    <x v="0"/>
    <s v="Returning"/>
    <s v="None"/>
    <n v="1"/>
    <n v="32058"/>
    <n v="32058"/>
    <n v="0"/>
    <n v="0"/>
    <n v="32058"/>
    <n v="17942.27"/>
    <n v="14115.73"/>
  </r>
  <r>
    <s v="ORD-00989"/>
    <d v="2025-05-08T00:00:00"/>
    <s v="Polo Shirt"/>
    <s v="Clothing"/>
    <s v="Website"/>
    <x v="4"/>
    <s v="New"/>
    <s v="None"/>
    <n v="2"/>
    <n v="23193"/>
    <n v="46386"/>
    <n v="0"/>
    <n v="0"/>
    <n v="46386"/>
    <n v="27833.29"/>
    <n v="18552.71"/>
  </r>
  <r>
    <s v="ORD-01108"/>
    <d v="2025-05-11T00:00:00"/>
    <s v="Dress"/>
    <s v="Clothing"/>
    <s v="Website"/>
    <x v="3"/>
    <s v="New"/>
    <s v="None"/>
    <n v="3"/>
    <n v="49549"/>
    <n v="148647"/>
    <n v="0"/>
    <n v="0"/>
    <n v="148647"/>
    <n v="79872.77"/>
    <n v="68774.23"/>
  </r>
  <r>
    <s v="ORD-00250"/>
    <d v="2025-05-11T00:00:00"/>
    <s v="Belt"/>
    <s v="Accessories"/>
    <s v="Physical Store"/>
    <x v="3"/>
    <s v="Returning"/>
    <s v="None"/>
    <n v="3"/>
    <n v="13845"/>
    <n v="41535"/>
    <n v="0"/>
    <n v="0"/>
    <n v="41535"/>
    <n v="25001.56"/>
    <n v="16533.439999999999"/>
  </r>
  <r>
    <s v="ORD-00370"/>
    <d v="2025-05-11T00:00:00"/>
    <s v="Handbag"/>
    <s v="Accessories"/>
    <s v="Physical Store"/>
    <x v="0"/>
    <s v="New"/>
    <s v="None"/>
    <n v="1"/>
    <n v="43655"/>
    <n v="43655"/>
    <n v="0"/>
    <n v="0"/>
    <n v="43655"/>
    <n v="24431.79"/>
    <n v="19223.21"/>
  </r>
  <r>
    <s v="ORD-00382"/>
    <d v="2025-05-13T00:00:00"/>
    <s v="Polo Shirt"/>
    <s v="Clothing"/>
    <s v="Website"/>
    <x v="2"/>
    <s v="Returning"/>
    <s v="None"/>
    <n v="2"/>
    <n v="26140"/>
    <n v="52280"/>
    <n v="0"/>
    <n v="0"/>
    <n v="52280"/>
    <n v="33670.97"/>
    <n v="18609.03"/>
  </r>
  <r>
    <s v="ORD-00458"/>
    <d v="2025-05-14T00:00:00"/>
    <s v="Polo Shirt"/>
    <s v="Clothing"/>
    <s v="Physical Store"/>
    <x v="2"/>
    <s v="New"/>
    <s v="None"/>
    <n v="3"/>
    <n v="24545"/>
    <n v="73635"/>
    <n v="11045.25"/>
    <n v="0.15"/>
    <n v="62589.75"/>
    <n v="39993.129999999997"/>
    <n v="22596.620000000003"/>
  </r>
  <r>
    <s v="ORD-00921"/>
    <d v="2025-05-16T00:00:00"/>
    <s v="Jeans"/>
    <s v="Clothing"/>
    <s v="WhatsApp"/>
    <x v="0"/>
    <s v="New"/>
    <s v="None"/>
    <n v="1"/>
    <n v="42402"/>
    <n v="42402"/>
    <n v="0"/>
    <n v="0"/>
    <n v="42402"/>
    <n v="26618.32"/>
    <n v="15783.68"/>
  </r>
  <r>
    <s v="ORD-00515"/>
    <d v="2025-05-16T00:00:00"/>
    <s v="Belt"/>
    <s v="Accessories"/>
    <s v="Website"/>
    <x v="4"/>
    <s v="Returning"/>
    <s v="None"/>
    <n v="2"/>
    <n v="15319"/>
    <n v="30638"/>
    <n v="4595.7"/>
    <n v="0.15"/>
    <n v="26042.3"/>
    <n v="18528.29"/>
    <n v="7514.0099999999984"/>
  </r>
  <r>
    <s v="ORD-00793"/>
    <d v="2025-05-17T00:00:00"/>
    <s v="Jeans"/>
    <s v="Clothing"/>
    <s v="Physical Store"/>
    <x v="2"/>
    <s v="Returning"/>
    <s v="None"/>
    <n v="1"/>
    <n v="39085"/>
    <n v="39085"/>
    <n v="0"/>
    <n v="0"/>
    <n v="39085"/>
    <n v="21908.799999999999"/>
    <n v="17176.2"/>
  </r>
  <r>
    <s v="ORD-00105"/>
    <d v="2025-05-17T00:00:00"/>
    <s v="Sneakers"/>
    <s v="Footwear"/>
    <s v="Physical Store"/>
    <x v="0"/>
    <s v="New"/>
    <s v="None"/>
    <n v="3"/>
    <n v="68711"/>
    <n v="206133"/>
    <n v="0"/>
    <n v="0"/>
    <n v="206133"/>
    <n v="129440.41"/>
    <n v="76692.59"/>
  </r>
  <r>
    <s v="ORD-00095"/>
    <d v="2025-05-17T00:00:00"/>
    <s v="Sneakers"/>
    <s v="Footwear"/>
    <s v="Website"/>
    <x v="3"/>
    <s v="New"/>
    <s v="None"/>
    <n v="3"/>
    <n v="62467"/>
    <n v="187401"/>
    <n v="0"/>
    <n v="0"/>
    <n v="187401"/>
    <n v="97377.22"/>
    <n v="90023.78"/>
  </r>
  <r>
    <s v="ORD-00727"/>
    <d v="2025-05-18T00:00:00"/>
    <s v="Jeans"/>
    <s v="Clothing"/>
    <s v="WhatsApp"/>
    <x v="1"/>
    <s v="Returning"/>
    <s v="None"/>
    <n v="1"/>
    <n v="42109"/>
    <n v="42109"/>
    <n v="0"/>
    <n v="0"/>
    <n v="42109"/>
    <n v="27974.92"/>
    <n v="14134.080000000002"/>
  </r>
  <r>
    <s v="ORD-00480"/>
    <d v="2025-05-19T00:00:00"/>
    <s v="T-Shirt"/>
    <s v="Clothing"/>
    <s v="Physical Store"/>
    <x v="4"/>
    <s v="New"/>
    <s v="None"/>
    <n v="4"/>
    <n v="18748"/>
    <n v="74992"/>
    <n v="0"/>
    <n v="0"/>
    <n v="74992"/>
    <n v="48650.74"/>
    <n v="26341.260000000002"/>
  </r>
  <r>
    <s v="ORD-01166"/>
    <d v="2025-05-20T00:00:00"/>
    <s v="Hoodie"/>
    <s v="Clothing"/>
    <s v="Physical Store"/>
    <x v="1"/>
    <s v="Returning"/>
    <s v="None"/>
    <n v="4"/>
    <n v="37060"/>
    <n v="148240"/>
    <n v="0"/>
    <n v="0"/>
    <n v="148240"/>
    <n v="83742.59"/>
    <n v="64497.41"/>
  </r>
  <r>
    <s v="ORD-00046"/>
    <d v="2025-05-23T00:00:00"/>
    <s v="Belt"/>
    <s v="Accessories"/>
    <s v="Instagram"/>
    <x v="0"/>
    <s v="Returning"/>
    <s v="None"/>
    <n v="1"/>
    <n v="15673"/>
    <n v="15673"/>
    <n v="0"/>
    <n v="0"/>
    <n v="15673"/>
    <n v="10101.61"/>
    <n v="5571.3899999999994"/>
  </r>
  <r>
    <s v="ORD-00205"/>
    <d v="2025-05-24T00:00:00"/>
    <s v="Cap"/>
    <s v="Accessories"/>
    <s v="Physical Store"/>
    <x v="2"/>
    <s v="New"/>
    <s v="None"/>
    <n v="1"/>
    <n v="11547"/>
    <n v="11547"/>
    <n v="0"/>
    <n v="0"/>
    <n v="11547"/>
    <n v="6658.09"/>
    <n v="4888.91"/>
  </r>
  <r>
    <s v="ORD-00459"/>
    <d v="2025-05-25T00:00:00"/>
    <s v="Dress"/>
    <s v="Clothing"/>
    <s v="Instagram"/>
    <x v="4"/>
    <s v="New"/>
    <s v="None"/>
    <n v="5"/>
    <n v="49557"/>
    <n v="247785"/>
    <n v="0"/>
    <n v="0"/>
    <n v="247785"/>
    <n v="167668.22"/>
    <n v="80116.78"/>
  </r>
  <r>
    <s v="ORD-00023"/>
    <d v="2025-05-25T00:00:00"/>
    <s v="Belt"/>
    <s v="Accessories"/>
    <s v="Instagram"/>
    <x v="4"/>
    <s v="New"/>
    <s v="None"/>
    <n v="5"/>
    <n v="15033"/>
    <n v="75165"/>
    <n v="3758.25"/>
    <n v="0.05"/>
    <n v="71406.75"/>
    <n v="36521.089999999997"/>
    <n v="34885.660000000003"/>
  </r>
  <r>
    <s v="ORD-00545"/>
    <d v="2025-05-25T00:00:00"/>
    <s v="Dress"/>
    <s v="Clothing"/>
    <s v="WhatsApp"/>
    <x v="4"/>
    <s v="New"/>
    <s v="None"/>
    <n v="2"/>
    <n v="51326"/>
    <n v="102652"/>
    <n v="0"/>
    <n v="0"/>
    <n v="102652"/>
    <n v="53811.65"/>
    <n v="48840.35"/>
  </r>
  <r>
    <s v="ORD-00284"/>
    <d v="2025-05-26T00:00:00"/>
    <s v="Handbag"/>
    <s v="Accessories"/>
    <s v="Website"/>
    <x v="0"/>
    <s v="New"/>
    <s v="None"/>
    <n v="1"/>
    <n v="42063"/>
    <n v="42063"/>
    <n v="0"/>
    <n v="0"/>
    <n v="42063"/>
    <n v="22093.8"/>
    <n v="19969.2"/>
  </r>
  <r>
    <s v="ORD-00331"/>
    <d v="2025-05-27T00:00:00"/>
    <s v="Belt"/>
    <s v="Accessories"/>
    <s v="Physical Store"/>
    <x v="4"/>
    <s v="Returning"/>
    <s v="None"/>
    <n v="1"/>
    <n v="16191"/>
    <n v="16191"/>
    <n v="0"/>
    <n v="0"/>
    <n v="16191"/>
    <n v="10266.540000000001"/>
    <n v="5924.4599999999991"/>
  </r>
  <r>
    <s v="ORD-00767"/>
    <d v="2025-05-27T00:00:00"/>
    <s v="Hoodie"/>
    <s v="Clothing"/>
    <s v="WhatsApp"/>
    <x v="3"/>
    <s v="New"/>
    <s v="None"/>
    <n v="1"/>
    <n v="38187"/>
    <n v="38187"/>
    <n v="0"/>
    <n v="0"/>
    <n v="38187"/>
    <n v="19540.560000000001"/>
    <n v="18646.439999999999"/>
  </r>
  <r>
    <s v="ORD-00963"/>
    <d v="2025-05-28T00:00:00"/>
    <s v="Hoodie"/>
    <s v="Clothing"/>
    <s v="Physical Store"/>
    <x v="0"/>
    <s v="New"/>
    <s v="None"/>
    <n v="1"/>
    <n v="36006"/>
    <n v="36006"/>
    <n v="0"/>
    <n v="0"/>
    <n v="36006"/>
    <n v="19597.8"/>
    <n v="16408.2"/>
  </r>
  <r>
    <s v="ORD-00365"/>
    <d v="2025-05-30T00:00:00"/>
    <s v="Polo Shirt"/>
    <s v="Clothing"/>
    <s v="Instagram"/>
    <x v="3"/>
    <s v="Returning"/>
    <s v="None"/>
    <n v="1"/>
    <n v="25675"/>
    <n v="25675"/>
    <n v="0"/>
    <n v="0"/>
    <n v="25675"/>
    <n v="17113.689999999999"/>
    <n v="8561.3100000000013"/>
  </r>
  <r>
    <s v="ORD-00708"/>
    <d v="2025-05-30T00:00:00"/>
    <s v="Sneakers"/>
    <s v="Footwear"/>
    <s v="Physical Store"/>
    <x v="3"/>
    <s v="New"/>
    <s v="None"/>
    <n v="2"/>
    <n v="67362"/>
    <n v="134724"/>
    <n v="0"/>
    <n v="0"/>
    <n v="134724"/>
    <n v="89910.85"/>
    <n v="44813.149999999994"/>
  </r>
  <r>
    <s v="ORD-00813"/>
    <d v="2025-05-31T00:00:00"/>
    <s v="Hoodie"/>
    <s v="Clothing"/>
    <s v="Instagram"/>
    <x v="4"/>
    <s v="New"/>
    <s v="None"/>
    <n v="2"/>
    <n v="39412"/>
    <n v="78824"/>
    <n v="7882.4"/>
    <n v="0.1"/>
    <n v="70941.600000000006"/>
    <n v="48369.25"/>
    <n v="22572.350000000006"/>
  </r>
  <r>
    <s v="ORD-00246"/>
    <d v="2025-06-01T00:00:00"/>
    <s v="Sneakers"/>
    <s v="Footwear"/>
    <s v="WhatsApp"/>
    <x v="2"/>
    <s v="Returning"/>
    <s v="None"/>
    <n v="3"/>
    <n v="67156"/>
    <n v="201468"/>
    <n v="0"/>
    <n v="0"/>
    <n v="201468"/>
    <n v="105926.86"/>
    <n v="95541.14"/>
  </r>
  <r>
    <s v="ORD-00549"/>
    <d v="2025-06-01T00:00:00"/>
    <s v="Polo Shirt"/>
    <s v="Clothing"/>
    <s v="WhatsApp"/>
    <x v="4"/>
    <s v="New"/>
    <s v="None"/>
    <n v="2"/>
    <n v="24458"/>
    <n v="48916"/>
    <n v="0"/>
    <n v="0"/>
    <n v="48916"/>
    <n v="25386.84"/>
    <n v="23529.16"/>
  </r>
  <r>
    <s v="ORD-00077"/>
    <d v="2025-06-04T00:00:00"/>
    <s v="Cap"/>
    <s v="Accessories"/>
    <s v="Physical Store"/>
    <x v="2"/>
    <s v="New"/>
    <s v="None"/>
    <n v="3"/>
    <n v="11386"/>
    <n v="34158"/>
    <n v="0"/>
    <n v="0"/>
    <n v="34158"/>
    <n v="18582.36"/>
    <n v="15575.64"/>
  </r>
  <r>
    <s v="ORD-01190"/>
    <d v="2025-06-04T00:00:00"/>
    <s v="Handbag"/>
    <s v="Accessories"/>
    <s v="Physical Store"/>
    <x v="0"/>
    <s v="New"/>
    <s v="None"/>
    <n v="1"/>
    <n v="43919"/>
    <n v="43919"/>
    <n v="0"/>
    <n v="0"/>
    <n v="43919"/>
    <n v="29385.03"/>
    <n v="14533.970000000001"/>
  </r>
  <r>
    <s v="ORD-00986"/>
    <d v="2025-06-04T00:00:00"/>
    <s v="Hoodie"/>
    <s v="Clothing"/>
    <s v="Physical Store"/>
    <x v="3"/>
    <s v="New"/>
    <s v="None"/>
    <n v="2"/>
    <n v="37877"/>
    <n v="75754"/>
    <n v="0"/>
    <n v="0"/>
    <n v="75754"/>
    <n v="39471.949999999997"/>
    <n v="36282.050000000003"/>
  </r>
  <r>
    <s v="ORD-00359"/>
    <d v="2025-06-05T00:00:00"/>
    <s v="Dress"/>
    <s v="Clothing"/>
    <s v="Instagram"/>
    <x v="4"/>
    <s v="Returning"/>
    <s v="Mid-Year Sale"/>
    <n v="3"/>
    <n v="47566"/>
    <n v="142698"/>
    <n v="14269.8"/>
    <n v="0.1"/>
    <n v="128428.2"/>
    <n v="72219.59"/>
    <n v="56208.61"/>
  </r>
  <r>
    <s v="ORD-00639"/>
    <d v="2025-06-07T00:00:00"/>
    <s v="Handbag"/>
    <s v="Accessories"/>
    <s v="Physical Store"/>
    <x v="4"/>
    <s v="Returning"/>
    <s v="Mid-Year Sale"/>
    <n v="5"/>
    <n v="46974"/>
    <n v="234870"/>
    <n v="35230.5"/>
    <n v="0.15"/>
    <n v="199639.5"/>
    <n v="134893.51"/>
    <n v="64745.989999999991"/>
  </r>
  <r>
    <s v="ORD-01059"/>
    <d v="2025-06-07T00:00:00"/>
    <s v="Sandals"/>
    <s v="Footwear"/>
    <s v="Instagram"/>
    <x v="3"/>
    <s v="Returning"/>
    <s v="Mid-Year Sale"/>
    <n v="4"/>
    <n v="29840"/>
    <n v="119360"/>
    <n v="11936"/>
    <n v="0.1"/>
    <n v="107424"/>
    <n v="80044.639999999999"/>
    <n v="27379.360000000001"/>
  </r>
  <r>
    <s v="ORD-00124"/>
    <d v="2025-06-08T00:00:00"/>
    <s v="Jeans"/>
    <s v="Clothing"/>
    <s v="Instagram"/>
    <x v="3"/>
    <s v="Returning"/>
    <s v="None"/>
    <n v="3"/>
    <n v="44311"/>
    <n v="132933"/>
    <n v="19939.95"/>
    <n v="0.15"/>
    <n v="112993.05"/>
    <n v="76113.5"/>
    <n v="36879.550000000003"/>
  </r>
  <r>
    <s v="ORD-00277"/>
    <d v="2025-06-08T00:00:00"/>
    <s v="Jeans"/>
    <s v="Clothing"/>
    <s v="Website"/>
    <x v="4"/>
    <s v="Returning"/>
    <s v="Mid-Year Sale"/>
    <n v="5"/>
    <n v="45258"/>
    <n v="226290"/>
    <n v="22629"/>
    <n v="0.1"/>
    <n v="203661"/>
    <n v="129112.64"/>
    <n v="74548.36"/>
  </r>
  <r>
    <s v="ORD-00985"/>
    <d v="2025-06-09T00:00:00"/>
    <s v="Polo Shirt"/>
    <s v="Clothing"/>
    <s v="Website"/>
    <x v="2"/>
    <s v="Returning"/>
    <s v="Mid-Year Sale"/>
    <n v="3"/>
    <n v="23949"/>
    <n v="71847"/>
    <n v="10777.05"/>
    <n v="0.15"/>
    <n v="61069.95"/>
    <n v="47964.88"/>
    <n v="13105.07"/>
  </r>
  <r>
    <s v="ORD-00669"/>
    <d v="2025-06-09T00:00:00"/>
    <s v="T-Shirt"/>
    <s v="Clothing"/>
    <s v="Physical Store"/>
    <x v="4"/>
    <s v="Returning"/>
    <s v="None"/>
    <n v="1"/>
    <n v="17803"/>
    <n v="17803"/>
    <n v="0"/>
    <n v="0"/>
    <n v="17803"/>
    <n v="11546.85"/>
    <n v="6256.15"/>
  </r>
  <r>
    <s v="ORD-00663"/>
    <d v="2025-06-09T00:00:00"/>
    <s v="Polo Shirt"/>
    <s v="Clothing"/>
    <s v="Physical Store"/>
    <x v="4"/>
    <s v="New"/>
    <s v="Mid-Year Sale"/>
    <n v="1"/>
    <n v="24451"/>
    <n v="24451"/>
    <n v="1222.55"/>
    <n v="0.05"/>
    <n v="23228.45"/>
    <n v="15078.61"/>
    <n v="8149.84"/>
  </r>
  <r>
    <s v="ORD-00739"/>
    <d v="2025-06-15T00:00:00"/>
    <s v="Polo Shirt"/>
    <s v="Clothing"/>
    <s v="Website"/>
    <x v="2"/>
    <s v="Returning"/>
    <s v="None"/>
    <n v="3"/>
    <n v="26450"/>
    <n v="79350"/>
    <n v="7935"/>
    <n v="0.1"/>
    <n v="71415"/>
    <n v="47385.65"/>
    <n v="24029.35"/>
  </r>
  <r>
    <s v="ORD-00635"/>
    <d v="2025-06-17T00:00:00"/>
    <s v="Sneakers"/>
    <s v="Footwear"/>
    <s v="WhatsApp"/>
    <x v="4"/>
    <s v="New"/>
    <s v="None"/>
    <n v="1"/>
    <n v="69773"/>
    <n v="69773"/>
    <n v="0"/>
    <n v="0"/>
    <n v="69773"/>
    <n v="37142.559999999998"/>
    <n v="32630.440000000002"/>
  </r>
  <r>
    <s v="ORD-00874"/>
    <d v="2025-06-20T00:00:00"/>
    <s v="Cap"/>
    <s v="Accessories"/>
    <s v="WhatsApp"/>
    <x v="4"/>
    <s v="Returning"/>
    <s v="None"/>
    <n v="2"/>
    <n v="11844"/>
    <n v="23688"/>
    <n v="0"/>
    <n v="0"/>
    <n v="23688"/>
    <n v="12719.76"/>
    <n v="10968.24"/>
  </r>
  <r>
    <s v="ORD-00687"/>
    <d v="2025-06-20T00:00:00"/>
    <s v="T-Shirt"/>
    <s v="Clothing"/>
    <s v="Website"/>
    <x v="1"/>
    <s v="New"/>
    <s v="Mid-Year Sale"/>
    <n v="5"/>
    <n v="18483"/>
    <n v="92415"/>
    <n v="9241.5"/>
    <n v="0.1"/>
    <n v="83173.5"/>
    <n v="55083.56"/>
    <n v="28089.940000000002"/>
  </r>
  <r>
    <s v="ORD-00274"/>
    <d v="2025-06-21T00:00:00"/>
    <s v="Sandals"/>
    <s v="Footwear"/>
    <s v="Instagram"/>
    <x v="4"/>
    <s v="Returning"/>
    <s v="Mid-Year Sale"/>
    <n v="1"/>
    <n v="29609"/>
    <n v="29609"/>
    <n v="2960.9"/>
    <n v="0.1"/>
    <n v="26648.1"/>
    <n v="16179.57"/>
    <n v="10468.529999999999"/>
  </r>
  <r>
    <s v="ORD-00510"/>
    <d v="2025-06-23T00:00:00"/>
    <s v="Handbag"/>
    <s v="Accessories"/>
    <s v="Website"/>
    <x v="1"/>
    <s v="New"/>
    <s v="Mid-Year Sale"/>
    <n v="1"/>
    <n v="44771"/>
    <n v="44771"/>
    <n v="2238.5500000000002"/>
    <n v="0.05"/>
    <n v="42532.45"/>
    <n v="29849.55"/>
    <n v="12682.899999999998"/>
  </r>
  <r>
    <s v="ORD-00122"/>
    <d v="2025-06-24T00:00:00"/>
    <s v="Hoodie"/>
    <s v="Clothing"/>
    <s v="Instagram"/>
    <x v="3"/>
    <s v="Returning"/>
    <s v="None"/>
    <n v="2"/>
    <n v="38038"/>
    <n v="76076"/>
    <n v="0"/>
    <n v="0"/>
    <n v="76076"/>
    <n v="37595.730000000003"/>
    <n v="38480.269999999997"/>
  </r>
  <r>
    <s v="ORD-00602"/>
    <d v="2025-06-25T00:00:00"/>
    <s v="Dress"/>
    <s v="Clothing"/>
    <s v="Website"/>
    <x v="3"/>
    <s v="New"/>
    <s v="None"/>
    <n v="1"/>
    <n v="52226"/>
    <n v="52226"/>
    <n v="0"/>
    <n v="0"/>
    <n v="52226"/>
    <n v="34070.99"/>
    <n v="18155.010000000002"/>
  </r>
  <r>
    <s v="ORD-00715"/>
    <d v="2025-06-26T00:00:00"/>
    <s v="Handbag"/>
    <s v="Accessories"/>
    <s v="Website"/>
    <x v="4"/>
    <s v="New"/>
    <s v="Mid-Year Sale"/>
    <n v="1"/>
    <n v="45916"/>
    <n v="45916"/>
    <n v="2295.8000000000002"/>
    <n v="0.05"/>
    <n v="43620.2"/>
    <n v="30976.26"/>
    <n v="12643.939999999999"/>
  </r>
  <r>
    <s v="ORD-01117"/>
    <d v="2025-06-29T00:00:00"/>
    <s v="Polo Shirt"/>
    <s v="Clothing"/>
    <s v="WhatsApp"/>
    <x v="4"/>
    <s v="Returning"/>
    <s v="Mid-Year Sale"/>
    <n v="1"/>
    <n v="25434"/>
    <n v="25434"/>
    <n v="3815.1"/>
    <n v="0.15"/>
    <n v="21618.9"/>
    <n v="17288.759999999998"/>
    <n v="4330.1400000000031"/>
  </r>
  <r>
    <s v="ORD-00642"/>
    <d v="2025-06-29T00:00:00"/>
    <s v="Sneakers"/>
    <s v="Footwear"/>
    <s v="WhatsApp"/>
    <x v="3"/>
    <s v="New"/>
    <s v="Mid-Year Sale"/>
    <n v="2"/>
    <n v="63734"/>
    <n v="127468"/>
    <n v="19120.2"/>
    <n v="0.15"/>
    <n v="108347.8"/>
    <n v="63652.9"/>
    <n v="44694.9"/>
  </r>
  <r>
    <s v="ORD-00613"/>
    <d v="2025-06-29T00:00:00"/>
    <s v="Dress"/>
    <s v="Clothing"/>
    <s v="Instagram"/>
    <x v="3"/>
    <s v="Returning"/>
    <s v="None"/>
    <n v="1"/>
    <n v="47195"/>
    <n v="47195"/>
    <n v="0"/>
    <n v="0"/>
    <n v="47195"/>
    <n v="27001.040000000001"/>
    <n v="20193.96"/>
  </r>
  <r>
    <s v="ORD-00240"/>
    <d v="2025-06-30T00:00:00"/>
    <s v="Hoodie"/>
    <s v="Clothing"/>
    <s v="WhatsApp"/>
    <x v="4"/>
    <s v="Returning"/>
    <s v="None"/>
    <n v="2"/>
    <n v="39743"/>
    <n v="79486"/>
    <n v="0"/>
    <n v="0"/>
    <n v="79486"/>
    <n v="50041.82"/>
    <n v="29444.18"/>
  </r>
  <r>
    <s v="ORD-00718"/>
    <d v="2025-07-01T00:00:00"/>
    <s v="Sandals"/>
    <s v="Footwear"/>
    <s v="Physical Store"/>
    <x v="3"/>
    <s v="Returning"/>
    <s v="None"/>
    <n v="2"/>
    <n v="28921"/>
    <n v="57842"/>
    <n v="0"/>
    <n v="0"/>
    <n v="57842"/>
    <n v="35952.089999999997"/>
    <n v="21889.910000000003"/>
  </r>
  <r>
    <s v="ORD-00806"/>
    <d v="2025-07-03T00:00:00"/>
    <s v="Sneakers"/>
    <s v="Footwear"/>
    <s v="WhatsApp"/>
    <x v="0"/>
    <s v="Returning"/>
    <s v="None"/>
    <n v="3"/>
    <n v="68454"/>
    <n v="205362"/>
    <n v="0"/>
    <n v="0"/>
    <n v="205362"/>
    <n v="125916.29"/>
    <n v="79445.710000000006"/>
  </r>
  <r>
    <s v="ORD-00832"/>
    <d v="2025-07-03T00:00:00"/>
    <s v="Cap"/>
    <s v="Accessories"/>
    <s v="Physical Store"/>
    <x v="1"/>
    <s v="Returning"/>
    <s v="None"/>
    <n v="2"/>
    <n v="11857"/>
    <n v="23714"/>
    <n v="0"/>
    <n v="0"/>
    <n v="23714"/>
    <n v="14600.33"/>
    <n v="9113.67"/>
  </r>
  <r>
    <s v="ORD-00356"/>
    <d v="2025-07-04T00:00:00"/>
    <s v="Belt"/>
    <s v="Accessories"/>
    <s v="Physical Store"/>
    <x v="3"/>
    <s v="New"/>
    <s v="None"/>
    <n v="1"/>
    <n v="14750"/>
    <n v="14750"/>
    <n v="0"/>
    <n v="0"/>
    <n v="14750"/>
    <n v="7548.27"/>
    <n v="7201.73"/>
  </r>
  <r>
    <s v="ORD-00177"/>
    <d v="2025-07-04T00:00:00"/>
    <s v="Sandals"/>
    <s v="Footwear"/>
    <s v="Website"/>
    <x v="2"/>
    <s v="New"/>
    <s v="Mid-Year Sale"/>
    <n v="5"/>
    <n v="28651"/>
    <n v="143255"/>
    <n v="14325.5"/>
    <n v="0.1"/>
    <n v="128929.5"/>
    <n v="95103.77"/>
    <n v="33825.729999999996"/>
  </r>
  <r>
    <s v="ORD-00987"/>
    <d v="2025-07-05T00:00:00"/>
    <s v="Sandals"/>
    <s v="Footwear"/>
    <s v="Instagram"/>
    <x v="0"/>
    <s v="Returning"/>
    <s v="Mid-Year Sale"/>
    <n v="1"/>
    <n v="32396"/>
    <n v="32396"/>
    <n v="4859.3999999999996"/>
    <n v="0.15"/>
    <n v="27536.6"/>
    <n v="21964.36"/>
    <n v="5572.239999999998"/>
  </r>
  <r>
    <s v="ORD-00800"/>
    <d v="2025-07-07T00:00:00"/>
    <s v="Handbag"/>
    <s v="Accessories"/>
    <s v="Instagram"/>
    <x v="1"/>
    <s v="New"/>
    <s v="None"/>
    <n v="1"/>
    <n v="48104"/>
    <n v="48104"/>
    <n v="0"/>
    <n v="0"/>
    <n v="48104"/>
    <n v="23215.73"/>
    <n v="24888.27"/>
  </r>
  <r>
    <s v="ORD-00127"/>
    <d v="2025-07-10T00:00:00"/>
    <s v="Belt"/>
    <s v="Accessories"/>
    <s v="Physical Store"/>
    <x v="4"/>
    <s v="Returning"/>
    <s v="Mid-Year Sale"/>
    <n v="3"/>
    <n v="15531"/>
    <n v="46593"/>
    <n v="9318.6"/>
    <n v="0.2"/>
    <n v="37274.400000000001"/>
    <n v="22384.240000000002"/>
    <n v="14890.16"/>
  </r>
  <r>
    <s v="ORD-00742"/>
    <d v="2025-07-12T00:00:00"/>
    <s v="Sandals"/>
    <s v="Footwear"/>
    <s v="WhatsApp"/>
    <x v="2"/>
    <s v="New"/>
    <s v="Mid-Year Sale"/>
    <n v="3"/>
    <n v="28424"/>
    <n v="85272"/>
    <n v="8527.2000000000007"/>
    <n v="0.1"/>
    <n v="76744.800000000003"/>
    <n v="45876.12"/>
    <n v="30868.68"/>
  </r>
  <r>
    <s v="ORD-00333"/>
    <d v="2025-07-13T00:00:00"/>
    <s v="T-Shirt"/>
    <s v="Clothing"/>
    <s v="Physical Store"/>
    <x v="4"/>
    <s v="New"/>
    <s v="None"/>
    <n v="3"/>
    <n v="18229"/>
    <n v="54687"/>
    <n v="0"/>
    <n v="0"/>
    <n v="54687"/>
    <n v="35172.160000000003"/>
    <n v="19514.839999999997"/>
  </r>
  <r>
    <s v="ORD-00903"/>
    <d v="2025-07-14T00:00:00"/>
    <s v="Polo Shirt"/>
    <s v="Clothing"/>
    <s v="Physical Store"/>
    <x v="4"/>
    <s v="New"/>
    <s v="None"/>
    <n v="1"/>
    <n v="23086"/>
    <n v="23086"/>
    <n v="0"/>
    <n v="0"/>
    <n v="23086"/>
    <n v="13394.72"/>
    <n v="9691.2800000000007"/>
  </r>
  <r>
    <s v="ORD-00228"/>
    <d v="2025-07-16T00:00:00"/>
    <s v="Dress"/>
    <s v="Clothing"/>
    <s v="Physical Store"/>
    <x v="3"/>
    <s v="New"/>
    <s v="None"/>
    <n v="1"/>
    <n v="50485"/>
    <n v="50485"/>
    <n v="0"/>
    <n v="0"/>
    <n v="50485"/>
    <n v="31185.91"/>
    <n v="19299.09"/>
  </r>
  <r>
    <s v="ORD-00030"/>
    <d v="2025-07-16T00:00:00"/>
    <s v="Sandals"/>
    <s v="Footwear"/>
    <s v="Website"/>
    <x v="4"/>
    <s v="New"/>
    <s v="Mid-Year Sale"/>
    <n v="2"/>
    <n v="27788"/>
    <n v="55576"/>
    <n v="11115.2"/>
    <n v="0.2"/>
    <n v="44460.800000000003"/>
    <n v="31702.76"/>
    <n v="12758.040000000005"/>
  </r>
  <r>
    <s v="ORD-01158"/>
    <d v="2025-07-17T00:00:00"/>
    <s v="Sneakers"/>
    <s v="Footwear"/>
    <s v="WhatsApp"/>
    <x v="3"/>
    <s v="New"/>
    <s v="None"/>
    <n v="2"/>
    <n v="66284"/>
    <n v="132568"/>
    <n v="0"/>
    <n v="0"/>
    <n v="132568"/>
    <n v="86020.87"/>
    <n v="46547.130000000005"/>
  </r>
  <r>
    <s v="ORD-00142"/>
    <d v="2025-07-17T00:00:00"/>
    <s v="Sandals"/>
    <s v="Footwear"/>
    <s v="Physical Store"/>
    <x v="2"/>
    <s v="New"/>
    <s v="Mid-Year Sale"/>
    <n v="1"/>
    <n v="30206"/>
    <n v="30206"/>
    <n v="3020.6"/>
    <n v="0.1"/>
    <n v="27185.4"/>
    <n v="20322.77"/>
    <n v="6862.630000000001"/>
  </r>
  <r>
    <s v="ORD-00116"/>
    <d v="2025-07-17T00:00:00"/>
    <s v="Cap"/>
    <s v="Accessories"/>
    <s v="Instagram"/>
    <x v="0"/>
    <s v="New"/>
    <s v="None"/>
    <n v="1"/>
    <n v="12078"/>
    <n v="12078"/>
    <n v="0"/>
    <n v="0"/>
    <n v="12078"/>
    <n v="6381.76"/>
    <n v="5696.24"/>
  </r>
  <r>
    <s v="ORD-00042"/>
    <d v="2025-07-18T00:00:00"/>
    <s v="Jeans"/>
    <s v="Clothing"/>
    <s v="Website"/>
    <x v="1"/>
    <s v="New"/>
    <s v="Mid-Year Sale"/>
    <n v="2"/>
    <n v="40554"/>
    <n v="81108"/>
    <n v="8110.8"/>
    <n v="0.1"/>
    <n v="72997.2"/>
    <n v="51958.2"/>
    <n v="21039"/>
  </r>
  <r>
    <s v="ORD-00262"/>
    <d v="2025-07-19T00:00:00"/>
    <s v="Dress"/>
    <s v="Clothing"/>
    <s v="Website"/>
    <x v="3"/>
    <s v="Returning"/>
    <s v="None"/>
    <n v="2"/>
    <n v="48891"/>
    <n v="97782"/>
    <n v="0"/>
    <n v="0"/>
    <n v="97782"/>
    <n v="54891"/>
    <n v="42891"/>
  </r>
  <r>
    <s v="ORD-00052"/>
    <d v="2025-07-19T00:00:00"/>
    <s v="Dress"/>
    <s v="Clothing"/>
    <s v="Instagram"/>
    <x v="2"/>
    <s v="Returning"/>
    <s v="None"/>
    <n v="2"/>
    <n v="49721"/>
    <n v="99442"/>
    <n v="0"/>
    <n v="0"/>
    <n v="99442"/>
    <n v="58915.34"/>
    <n v="40526.660000000003"/>
  </r>
  <r>
    <s v="ORD-00863"/>
    <d v="2025-07-20T00:00:00"/>
    <s v="Belt"/>
    <s v="Accessories"/>
    <s v="Instagram"/>
    <x v="2"/>
    <s v="Returning"/>
    <s v="Mid-Year Sale"/>
    <n v="3"/>
    <n v="14656"/>
    <n v="43968"/>
    <n v="6595.2"/>
    <n v="0.15"/>
    <n v="37372.800000000003"/>
    <n v="23413.599999999999"/>
    <n v="13959.200000000004"/>
  </r>
  <r>
    <s v="ORD-00436"/>
    <d v="2025-07-22T00:00:00"/>
    <s v="Belt"/>
    <s v="Accessories"/>
    <s v="Instagram"/>
    <x v="3"/>
    <s v="New"/>
    <s v="None"/>
    <n v="2"/>
    <n v="15578"/>
    <n v="31156"/>
    <n v="0"/>
    <n v="0"/>
    <n v="31156"/>
    <n v="19027.509999999998"/>
    <n v="12128.490000000002"/>
  </r>
  <r>
    <s v="ORD-00263"/>
    <d v="2025-07-23T00:00:00"/>
    <s v="Handbag"/>
    <s v="Accessories"/>
    <s v="Physical Store"/>
    <x v="3"/>
    <s v="New"/>
    <s v="None"/>
    <n v="4"/>
    <n v="45073"/>
    <n v="180292"/>
    <n v="0"/>
    <n v="0"/>
    <n v="180292"/>
    <n v="105034.41"/>
    <n v="75257.59"/>
  </r>
  <r>
    <s v="ORD-00296"/>
    <d v="2025-07-23T00:00:00"/>
    <s v="Handbag"/>
    <s v="Accessories"/>
    <s v="Physical Store"/>
    <x v="0"/>
    <s v="New"/>
    <s v="None"/>
    <n v="2"/>
    <n v="44505"/>
    <n v="89010"/>
    <n v="0"/>
    <n v="0"/>
    <n v="89010"/>
    <n v="59014.71"/>
    <n v="29995.29"/>
  </r>
  <r>
    <s v="ORD-00729"/>
    <d v="2025-07-27T00:00:00"/>
    <s v="Jeans"/>
    <s v="Clothing"/>
    <s v="Instagram"/>
    <x v="2"/>
    <s v="New"/>
    <s v="None"/>
    <n v="4"/>
    <n v="42402"/>
    <n v="169608"/>
    <n v="0"/>
    <n v="0"/>
    <n v="169608"/>
    <n v="102694.13"/>
    <n v="66913.87"/>
  </r>
  <r>
    <s v="ORD-00776"/>
    <d v="2025-07-27T00:00:00"/>
    <s v="Jeans"/>
    <s v="Clothing"/>
    <s v="Instagram"/>
    <x v="0"/>
    <s v="Returning"/>
    <s v="Mid-Year Sale"/>
    <n v="3"/>
    <n v="42288"/>
    <n v="126864"/>
    <n v="6343.2"/>
    <n v="0.05"/>
    <n v="120520.8"/>
    <n v="75806.06"/>
    <n v="44714.740000000005"/>
  </r>
  <r>
    <s v="ORD-00293"/>
    <d v="2025-07-28T00:00:00"/>
    <s v="Hoodie"/>
    <s v="Clothing"/>
    <s v="Instagram"/>
    <x v="2"/>
    <s v="Returning"/>
    <s v="Mid-Year Sale"/>
    <n v="2"/>
    <n v="35913"/>
    <n v="71826"/>
    <n v="3591.3"/>
    <n v="0.05"/>
    <n v="68234.7"/>
    <n v="35078.6"/>
    <n v="33156.1"/>
  </r>
  <r>
    <s v="ORD-00872"/>
    <d v="2025-07-28T00:00:00"/>
    <s v="Sneakers"/>
    <s v="Footwear"/>
    <s v="Physical Store"/>
    <x v="2"/>
    <s v="New"/>
    <s v="None"/>
    <n v="4"/>
    <n v="63782"/>
    <n v="255128"/>
    <n v="0"/>
    <n v="0"/>
    <n v="255128"/>
    <n v="153291.39000000001"/>
    <n v="101836.60999999999"/>
  </r>
  <r>
    <s v="ORD-00787"/>
    <d v="2025-07-28T00:00:00"/>
    <s v="Hoodie"/>
    <s v="Clothing"/>
    <s v="Physical Store"/>
    <x v="2"/>
    <s v="Returning"/>
    <s v="Mid-Year Sale"/>
    <n v="3"/>
    <n v="36998"/>
    <n v="110994"/>
    <n v="11099.4"/>
    <n v="0.1"/>
    <n v="99894.6"/>
    <n v="71093.09"/>
    <n v="28801.510000000009"/>
  </r>
  <r>
    <s v="ORD-01137"/>
    <d v="2025-07-30T00:00:00"/>
    <s v="Dress"/>
    <s v="Clothing"/>
    <s v="WhatsApp"/>
    <x v="2"/>
    <s v="Returning"/>
    <s v="Mid-Year Sale"/>
    <n v="1"/>
    <n v="49477"/>
    <n v="49477"/>
    <n v="7421.55"/>
    <n v="0.15"/>
    <n v="42055.45"/>
    <n v="28961.34"/>
    <n v="13094.109999999997"/>
  </r>
  <r>
    <s v="ORD-00125"/>
    <d v="2025-07-31T00:00:00"/>
    <s v="Sneakers"/>
    <s v="Footwear"/>
    <s v="Physical Store"/>
    <x v="3"/>
    <s v="New"/>
    <s v="None"/>
    <n v="2"/>
    <n v="68309"/>
    <n v="136618"/>
    <n v="6830.9"/>
    <n v="0.05"/>
    <n v="129787.1"/>
    <n v="89617.66"/>
    <n v="40169.440000000002"/>
  </r>
  <r>
    <s v="ORD-00586"/>
    <d v="2025-07-31T00:00:00"/>
    <s v="Dress"/>
    <s v="Clothing"/>
    <s v="Physical Store"/>
    <x v="3"/>
    <s v="Returning"/>
    <s v="None"/>
    <n v="4"/>
    <n v="46554"/>
    <n v="186216"/>
    <n v="0"/>
    <n v="0"/>
    <n v="186216"/>
    <n v="112090.45"/>
    <n v="74125.55"/>
  </r>
  <r>
    <s v="ORD-00941"/>
    <d v="2025-08-01T00:00:00"/>
    <s v="Handbag"/>
    <s v="Accessories"/>
    <s v="Instagram"/>
    <x v="4"/>
    <s v="New"/>
    <s v="None"/>
    <n v="3"/>
    <n v="47575"/>
    <n v="142725"/>
    <n v="0"/>
    <n v="0"/>
    <n v="142725"/>
    <n v="95531.78"/>
    <n v="47193.22"/>
  </r>
  <r>
    <s v="ORD-00798"/>
    <d v="2025-08-01T00:00:00"/>
    <s v="Dress"/>
    <s v="Clothing"/>
    <s v="WhatsApp"/>
    <x v="3"/>
    <s v="New"/>
    <s v="None"/>
    <n v="1"/>
    <n v="49593"/>
    <n v="49593"/>
    <n v="0"/>
    <n v="0"/>
    <n v="49593"/>
    <n v="24708.59"/>
    <n v="24884.41"/>
  </r>
  <r>
    <s v="ORD-01183"/>
    <d v="2025-08-02T00:00:00"/>
    <s v="Cap"/>
    <s v="Accessories"/>
    <s v="WhatsApp"/>
    <x v="2"/>
    <s v="New"/>
    <s v="None"/>
    <n v="2"/>
    <n v="12194"/>
    <n v="24388"/>
    <n v="0"/>
    <n v="0"/>
    <n v="24388"/>
    <n v="13604.43"/>
    <n v="10783.57"/>
  </r>
  <r>
    <s v="ORD-00337"/>
    <d v="2025-08-03T00:00:00"/>
    <s v="Polo Shirt"/>
    <s v="Clothing"/>
    <s v="Website"/>
    <x v="2"/>
    <s v="Returning"/>
    <s v="None"/>
    <n v="1"/>
    <n v="26487"/>
    <n v="26487"/>
    <n v="2648.7"/>
    <n v="0.1"/>
    <n v="23838.3"/>
    <n v="14543.91"/>
    <n v="9294.39"/>
  </r>
  <r>
    <s v="ORD-01146"/>
    <d v="2025-08-07T00:00:00"/>
    <s v="Sandals"/>
    <s v="Footwear"/>
    <s v="Website"/>
    <x v="4"/>
    <s v="Returning"/>
    <s v="None"/>
    <n v="1"/>
    <n v="27619"/>
    <n v="27619"/>
    <n v="0"/>
    <n v="0"/>
    <n v="27619"/>
    <n v="15830.5"/>
    <n v="11788.5"/>
  </r>
  <r>
    <s v="ORD-00202"/>
    <d v="2025-08-09T00:00:00"/>
    <s v="T-Shirt"/>
    <s v="Clothing"/>
    <s v="Instagram"/>
    <x v="0"/>
    <s v="Returning"/>
    <s v="None"/>
    <n v="1"/>
    <n v="16801"/>
    <n v="16801"/>
    <n v="0"/>
    <n v="0"/>
    <n v="16801"/>
    <n v="10341.15"/>
    <n v="6459.85"/>
  </r>
  <r>
    <s v="ORD-01005"/>
    <d v="2025-08-10T00:00:00"/>
    <s v="Jeans"/>
    <s v="Clothing"/>
    <s v="Physical Store"/>
    <x v="2"/>
    <s v="New"/>
    <s v="None"/>
    <n v="1"/>
    <n v="39875"/>
    <n v="39875"/>
    <n v="0"/>
    <n v="0"/>
    <n v="39875"/>
    <n v="19592.22"/>
    <n v="20282.78"/>
  </r>
  <r>
    <s v="ORD-00447"/>
    <d v="2025-08-10T00:00:00"/>
    <s v="Hoodie"/>
    <s v="Clothing"/>
    <s v="Instagram"/>
    <x v="3"/>
    <s v="Returning"/>
    <s v="None"/>
    <n v="4"/>
    <n v="38699"/>
    <n v="154796"/>
    <n v="0"/>
    <n v="0"/>
    <n v="154796"/>
    <n v="104086.64"/>
    <n v="50709.36"/>
  </r>
  <r>
    <s v="ORD-00766"/>
    <d v="2025-08-10T00:00:00"/>
    <s v="Handbag"/>
    <s v="Accessories"/>
    <s v="Website"/>
    <x v="0"/>
    <s v="New"/>
    <s v="None"/>
    <n v="3"/>
    <n v="42106"/>
    <n v="126318"/>
    <n v="0"/>
    <n v="0"/>
    <n v="126318"/>
    <n v="84943.88"/>
    <n v="41374.119999999995"/>
  </r>
  <r>
    <s v="ORD-00918"/>
    <d v="2025-08-12T00:00:00"/>
    <s v="T-Shirt"/>
    <s v="Clothing"/>
    <s v="Instagram"/>
    <x v="4"/>
    <s v="New"/>
    <s v="None"/>
    <n v="3"/>
    <n v="18108"/>
    <n v="54324"/>
    <n v="0"/>
    <n v="0"/>
    <n v="54324"/>
    <n v="30411.759999999998"/>
    <n v="23912.240000000002"/>
  </r>
  <r>
    <s v="ORD-00080"/>
    <d v="2025-08-15T00:00:00"/>
    <s v="Cap"/>
    <s v="Accessories"/>
    <s v="Physical Store"/>
    <x v="4"/>
    <s v="New"/>
    <s v="None"/>
    <n v="1"/>
    <n v="12434"/>
    <n v="12434"/>
    <n v="0"/>
    <n v="0"/>
    <n v="12434"/>
    <n v="6214.96"/>
    <n v="6219.04"/>
  </r>
  <r>
    <s v="ORD-00978"/>
    <d v="2025-08-15T00:00:00"/>
    <s v="Sandals"/>
    <s v="Footwear"/>
    <s v="Physical Store"/>
    <x v="1"/>
    <s v="New"/>
    <s v="None"/>
    <n v="3"/>
    <n v="31792"/>
    <n v="95376"/>
    <n v="0"/>
    <n v="0"/>
    <n v="95376"/>
    <n v="45933.69"/>
    <n v="49442.31"/>
  </r>
  <r>
    <s v="ORD-01090"/>
    <d v="2025-08-16T00:00:00"/>
    <s v="Belt"/>
    <s v="Accessories"/>
    <s v="Website"/>
    <x v="3"/>
    <s v="Returning"/>
    <s v="None"/>
    <n v="2"/>
    <n v="15216"/>
    <n v="30432"/>
    <n v="0"/>
    <n v="0"/>
    <n v="30432"/>
    <n v="18144.21"/>
    <n v="12287.79"/>
  </r>
  <r>
    <s v="ORD-00699"/>
    <d v="2025-08-17T00:00:00"/>
    <s v="Hoodie"/>
    <s v="Clothing"/>
    <s v="Instagram"/>
    <x v="4"/>
    <s v="New"/>
    <s v="None"/>
    <n v="1"/>
    <n v="37189"/>
    <n v="37189"/>
    <n v="1859.45"/>
    <n v="0.05"/>
    <n v="35329.550000000003"/>
    <n v="21177.45"/>
    <n v="14152.100000000002"/>
  </r>
  <r>
    <s v="ORD-00415"/>
    <d v="2025-08-18T00:00:00"/>
    <s v="Sneakers"/>
    <s v="Footwear"/>
    <s v="Physical Store"/>
    <x v="0"/>
    <s v="New"/>
    <s v="None"/>
    <n v="2"/>
    <n v="67148"/>
    <n v="134296"/>
    <n v="0"/>
    <n v="0"/>
    <n v="134296"/>
    <n v="81526.36"/>
    <n v="52769.64"/>
  </r>
  <r>
    <s v="ORD-00812"/>
    <d v="2025-08-20T00:00:00"/>
    <s v="Sandals"/>
    <s v="Footwear"/>
    <s v="Instagram"/>
    <x v="1"/>
    <s v="New"/>
    <s v="None"/>
    <n v="5"/>
    <n v="31309"/>
    <n v="156545"/>
    <n v="0"/>
    <n v="0"/>
    <n v="156545"/>
    <n v="79621.34"/>
    <n v="76923.66"/>
  </r>
  <r>
    <s v="ORD-00037"/>
    <d v="2025-08-23T00:00:00"/>
    <s v="Hoodie"/>
    <s v="Clothing"/>
    <s v="Physical Store"/>
    <x v="0"/>
    <s v="Returning"/>
    <s v="None"/>
    <n v="3"/>
    <n v="39932"/>
    <n v="119796"/>
    <n v="0"/>
    <n v="0"/>
    <n v="119796"/>
    <n v="70547.600000000006"/>
    <n v="49248.399999999994"/>
  </r>
  <r>
    <s v="ORD-00778"/>
    <d v="2025-08-23T00:00:00"/>
    <s v="Cap"/>
    <s v="Accessories"/>
    <s v="WhatsApp"/>
    <x v="0"/>
    <s v="New"/>
    <s v="None"/>
    <n v="3"/>
    <n v="12466"/>
    <n v="37398"/>
    <n v="0"/>
    <n v="0"/>
    <n v="37398"/>
    <n v="23627.23"/>
    <n v="13770.77"/>
  </r>
  <r>
    <s v="ORD-00633"/>
    <d v="2025-08-26T00:00:00"/>
    <s v="T-Shirt"/>
    <s v="Clothing"/>
    <s v="Website"/>
    <x v="1"/>
    <s v="Returning"/>
    <s v="None"/>
    <n v="2"/>
    <n v="17884"/>
    <n v="35768"/>
    <n v="5365.2"/>
    <n v="0.15"/>
    <n v="30402.799999999999"/>
    <n v="17404.34"/>
    <n v="12998.46"/>
  </r>
  <r>
    <s v="ORD-00853"/>
    <d v="2025-08-26T00:00:00"/>
    <s v="Dress"/>
    <s v="Clothing"/>
    <s v="Website"/>
    <x v="4"/>
    <s v="New"/>
    <s v="None"/>
    <n v="2"/>
    <n v="52153"/>
    <n v="104306"/>
    <n v="10430.6"/>
    <n v="0.1"/>
    <n v="93875.4"/>
    <n v="70093.88"/>
    <n v="23781.51999999999"/>
  </r>
  <r>
    <s v="ORD-00389"/>
    <d v="2025-08-27T00:00:00"/>
    <s v="T-Shirt"/>
    <s v="Clothing"/>
    <s v="WhatsApp"/>
    <x v="4"/>
    <s v="Returning"/>
    <s v="None"/>
    <n v="1"/>
    <n v="17236"/>
    <n v="17236"/>
    <n v="1723.6"/>
    <n v="0.1"/>
    <n v="15512.4"/>
    <n v="9436.1299999999992"/>
    <n v="6076.27"/>
  </r>
  <r>
    <s v="ORD-00253"/>
    <d v="2025-08-29T00:00:00"/>
    <s v="Handbag"/>
    <s v="Accessories"/>
    <s v="Physical Store"/>
    <x v="1"/>
    <s v="Returning"/>
    <s v="None"/>
    <n v="1"/>
    <n v="47768"/>
    <n v="47768"/>
    <n v="0"/>
    <n v="0"/>
    <n v="47768"/>
    <n v="24844.639999999999"/>
    <n v="22923.360000000001"/>
  </r>
  <r>
    <s v="ORD-00166"/>
    <d v="2025-08-31T00:00:00"/>
    <s v="Sandals"/>
    <s v="Footwear"/>
    <s v="Physical Store"/>
    <x v="1"/>
    <s v="New"/>
    <s v="None"/>
    <n v="3"/>
    <n v="31949"/>
    <n v="95847"/>
    <n v="0"/>
    <n v="0"/>
    <n v="95847"/>
    <n v="59901.62"/>
    <n v="35945.379999999997"/>
  </r>
  <r>
    <s v="ORD-01011"/>
    <d v="2025-09-01T00:00:00"/>
    <s v="Cap"/>
    <s v="Accessories"/>
    <s v="Instagram"/>
    <x v="3"/>
    <s v="Returning"/>
    <s v="None"/>
    <n v="2"/>
    <n v="11651"/>
    <n v="23302"/>
    <n v="0"/>
    <n v="0"/>
    <n v="23302"/>
    <n v="13499.89"/>
    <n v="9802.11"/>
  </r>
  <r>
    <s v="ORD-00994"/>
    <d v="2025-09-01T00:00:00"/>
    <s v="Dress"/>
    <s v="Clothing"/>
    <s v="Physical Store"/>
    <x v="4"/>
    <s v="New"/>
    <s v="None"/>
    <n v="3"/>
    <n v="51687"/>
    <n v="155061"/>
    <n v="0"/>
    <n v="0"/>
    <n v="155061"/>
    <n v="90229.46"/>
    <n v="64831.539999999994"/>
  </r>
  <r>
    <s v="ORD-00303"/>
    <d v="2025-09-04T00:00:00"/>
    <s v="T-Shirt"/>
    <s v="Clothing"/>
    <s v="Website"/>
    <x v="0"/>
    <s v="Returning"/>
    <s v="None"/>
    <n v="4"/>
    <n v="17463"/>
    <n v="69852"/>
    <n v="0"/>
    <n v="0"/>
    <n v="69852"/>
    <n v="43276.34"/>
    <n v="26575.660000000003"/>
  </r>
  <r>
    <s v="ORD-00102"/>
    <d v="2025-09-04T00:00:00"/>
    <s v="Handbag"/>
    <s v="Accessories"/>
    <s v="WhatsApp"/>
    <x v="3"/>
    <s v="Returning"/>
    <s v="None"/>
    <n v="5"/>
    <n v="45167"/>
    <n v="225835"/>
    <n v="0"/>
    <n v="0"/>
    <n v="225835"/>
    <n v="144211.66"/>
    <n v="81623.34"/>
  </r>
  <r>
    <s v="ORD-00701"/>
    <d v="2025-09-04T00:00:00"/>
    <s v="Polo Shirt"/>
    <s v="Clothing"/>
    <s v="Website"/>
    <x v="4"/>
    <s v="New"/>
    <s v="None"/>
    <n v="4"/>
    <n v="25109"/>
    <n v="100436"/>
    <n v="0"/>
    <n v="0"/>
    <n v="100436"/>
    <n v="48225.14"/>
    <n v="52210.86"/>
  </r>
  <r>
    <s v="ORD-01096"/>
    <d v="2025-09-06T00:00:00"/>
    <s v="Cap"/>
    <s v="Accessories"/>
    <s v="Instagram"/>
    <x v="1"/>
    <s v="New"/>
    <s v="None"/>
    <n v="2"/>
    <n v="12777"/>
    <n v="25554"/>
    <n v="0"/>
    <n v="0"/>
    <n v="25554"/>
    <n v="13480.75"/>
    <n v="12073.25"/>
  </r>
  <r>
    <s v="ORD-00783"/>
    <d v="2025-09-07T00:00:00"/>
    <s v="Jeans"/>
    <s v="Clothing"/>
    <s v="Instagram"/>
    <x v="4"/>
    <s v="Returning"/>
    <s v="None"/>
    <n v="1"/>
    <n v="38642"/>
    <n v="38642"/>
    <n v="0"/>
    <n v="0"/>
    <n v="38642"/>
    <n v="25626.93"/>
    <n v="13015.07"/>
  </r>
  <r>
    <s v="ORD-00394"/>
    <d v="2025-09-08T00:00:00"/>
    <s v="Sandals"/>
    <s v="Footwear"/>
    <s v="Website"/>
    <x v="3"/>
    <s v="Returning"/>
    <s v="None"/>
    <n v="4"/>
    <n v="31534"/>
    <n v="126136"/>
    <n v="0"/>
    <n v="0"/>
    <n v="126136"/>
    <n v="65571.03"/>
    <n v="60564.97"/>
  </r>
  <r>
    <s v="ORD-01098"/>
    <d v="2025-09-11T00:00:00"/>
    <s v="Hoodie"/>
    <s v="Clothing"/>
    <s v="Website"/>
    <x v="1"/>
    <s v="New"/>
    <s v="None"/>
    <n v="3"/>
    <n v="38668"/>
    <n v="116004"/>
    <n v="0"/>
    <n v="0"/>
    <n v="116004"/>
    <n v="62978.03"/>
    <n v="53025.97"/>
  </r>
  <r>
    <s v="ORD-00697"/>
    <d v="2025-09-14T00:00:00"/>
    <s v="T-Shirt"/>
    <s v="Clothing"/>
    <s v="Physical Store"/>
    <x v="2"/>
    <s v="New"/>
    <s v="None"/>
    <n v="3"/>
    <n v="19101"/>
    <n v="57303"/>
    <n v="0"/>
    <n v="0"/>
    <n v="57303"/>
    <n v="28959.15"/>
    <n v="28343.85"/>
  </r>
  <r>
    <s v="ORD-01034"/>
    <d v="2025-09-14T00:00:00"/>
    <s v="Cap"/>
    <s v="Accessories"/>
    <s v="Website"/>
    <x v="4"/>
    <s v="Returning"/>
    <s v="None"/>
    <n v="3"/>
    <n v="12435"/>
    <n v="37305"/>
    <n v="0"/>
    <n v="0"/>
    <n v="37305"/>
    <n v="25294.77"/>
    <n v="12010.23"/>
  </r>
  <r>
    <s v="ORD-00582"/>
    <d v="2025-09-15T00:00:00"/>
    <s v="T-Shirt"/>
    <s v="Clothing"/>
    <s v="Instagram"/>
    <x v="4"/>
    <s v="New"/>
    <s v="None"/>
    <n v="1"/>
    <n v="18334"/>
    <n v="18334"/>
    <n v="0"/>
    <n v="0"/>
    <n v="18334"/>
    <n v="10231.57"/>
    <n v="8102.43"/>
  </r>
  <r>
    <s v="ORD-00186"/>
    <d v="2025-09-15T00:00:00"/>
    <s v="Jeans"/>
    <s v="Clothing"/>
    <s v="Website"/>
    <x v="3"/>
    <s v="Returning"/>
    <s v="None"/>
    <n v="3"/>
    <n v="43768"/>
    <n v="131304"/>
    <n v="0"/>
    <n v="0"/>
    <n v="131304"/>
    <n v="86368.81"/>
    <n v="44935.19"/>
  </r>
  <r>
    <s v="ORD-00707"/>
    <d v="2025-09-15T00:00:00"/>
    <s v="Dress"/>
    <s v="Clothing"/>
    <s v="Instagram"/>
    <x v="4"/>
    <s v="Returning"/>
    <s v="None"/>
    <n v="1"/>
    <n v="49913"/>
    <n v="49913"/>
    <n v="0"/>
    <n v="0"/>
    <n v="49913"/>
    <n v="33184.339999999997"/>
    <n v="16728.660000000003"/>
  </r>
  <r>
    <s v="ORD-00657"/>
    <d v="2025-09-16T00:00:00"/>
    <s v="Polo Shirt"/>
    <s v="Clothing"/>
    <s v="Website"/>
    <x v="3"/>
    <s v="Returning"/>
    <s v="None"/>
    <n v="1"/>
    <n v="26890"/>
    <n v="26890"/>
    <n v="1344.5"/>
    <n v="0.05"/>
    <n v="25545.5"/>
    <n v="13552.14"/>
    <n v="11993.36"/>
  </r>
  <r>
    <s v="ORD-00265"/>
    <d v="2025-09-17T00:00:00"/>
    <s v="Sandals"/>
    <s v="Footwear"/>
    <s v="WhatsApp"/>
    <x v="4"/>
    <s v="Returning"/>
    <s v="None"/>
    <n v="5"/>
    <n v="28286"/>
    <n v="141430"/>
    <n v="0"/>
    <n v="0"/>
    <n v="141430"/>
    <n v="90451.05"/>
    <n v="50978.95"/>
  </r>
  <r>
    <s v="ORD-00826"/>
    <d v="2025-09-18T00:00:00"/>
    <s v="Belt"/>
    <s v="Accessories"/>
    <s v="Website"/>
    <x v="4"/>
    <s v="New"/>
    <s v="None"/>
    <n v="1"/>
    <n v="14317"/>
    <n v="14317"/>
    <n v="1431.7"/>
    <n v="0.1"/>
    <n v="12885.3"/>
    <n v="8254.8799999999992"/>
    <n v="4630.42"/>
  </r>
  <r>
    <s v="ORD-00201"/>
    <d v="2025-09-19T00:00:00"/>
    <s v="Jeans"/>
    <s v="Clothing"/>
    <s v="Physical Store"/>
    <x v="4"/>
    <s v="New"/>
    <s v="None"/>
    <n v="1"/>
    <n v="40701"/>
    <n v="40701"/>
    <n v="2035.05"/>
    <n v="0.05"/>
    <n v="38665.949999999997"/>
    <n v="24593.919999999998"/>
    <n v="14072.029999999999"/>
  </r>
  <r>
    <s v="ORD-00134"/>
    <d v="2025-09-19T00:00:00"/>
    <s v="Hoodie"/>
    <s v="Clothing"/>
    <s v="Instagram"/>
    <x v="3"/>
    <s v="New"/>
    <s v="None"/>
    <n v="1"/>
    <n v="35232"/>
    <n v="35232"/>
    <n v="0"/>
    <n v="0"/>
    <n v="35232"/>
    <n v="23581.8"/>
    <n v="11650.2"/>
  </r>
  <r>
    <s v="ORD-01084"/>
    <d v="2025-09-20T00:00:00"/>
    <s v="Dress"/>
    <s v="Clothing"/>
    <s v="WhatsApp"/>
    <x v="3"/>
    <s v="Returning"/>
    <s v="None"/>
    <n v="3"/>
    <n v="46923"/>
    <n v="140769"/>
    <n v="0"/>
    <n v="0"/>
    <n v="140769"/>
    <n v="91288.08"/>
    <n v="49480.92"/>
  </r>
  <r>
    <s v="ORD-00980"/>
    <d v="2025-09-23T00:00:00"/>
    <s v="Sandals"/>
    <s v="Footwear"/>
    <s v="Physical Store"/>
    <x v="1"/>
    <s v="Returning"/>
    <s v="None"/>
    <n v="5"/>
    <n v="27610"/>
    <n v="138050"/>
    <n v="0"/>
    <n v="0"/>
    <n v="138050"/>
    <n v="88863.96"/>
    <n v="49186.039999999994"/>
  </r>
  <r>
    <s v="ORD-00133"/>
    <d v="2025-09-24T00:00:00"/>
    <s v="Polo Shirt"/>
    <s v="Clothing"/>
    <s v="Instagram"/>
    <x v="3"/>
    <s v="New"/>
    <s v="None"/>
    <n v="3"/>
    <n v="25328"/>
    <n v="75984"/>
    <n v="11397.6"/>
    <n v="0.15"/>
    <n v="64586.400000000001"/>
    <n v="45606.720000000001"/>
    <n v="18979.68"/>
  </r>
  <r>
    <s v="ORD-00442"/>
    <d v="2025-09-25T00:00:00"/>
    <s v="Handbag"/>
    <s v="Accessories"/>
    <s v="Website"/>
    <x v="4"/>
    <s v="Returning"/>
    <s v="None"/>
    <n v="1"/>
    <n v="45019"/>
    <n v="45019"/>
    <n v="0"/>
    <n v="0"/>
    <n v="45019"/>
    <n v="27469.09"/>
    <n v="17549.91"/>
  </r>
  <r>
    <s v="ORD-00330"/>
    <d v="2025-09-25T00:00:00"/>
    <s v="Dress"/>
    <s v="Clothing"/>
    <s v="WhatsApp"/>
    <x v="4"/>
    <s v="New"/>
    <s v="None"/>
    <n v="3"/>
    <n v="48462"/>
    <n v="145386"/>
    <n v="0"/>
    <n v="0"/>
    <n v="145386"/>
    <n v="95894.720000000001"/>
    <n v="49491.28"/>
  </r>
  <r>
    <s v="ORD-00455"/>
    <d v="2025-09-25T00:00:00"/>
    <s v="Hoodie"/>
    <s v="Clothing"/>
    <s v="Website"/>
    <x v="4"/>
    <s v="New"/>
    <s v="None"/>
    <n v="1"/>
    <n v="36066"/>
    <n v="36066"/>
    <n v="3606.6"/>
    <n v="0.1"/>
    <n v="32459.4"/>
    <n v="23405.37"/>
    <n v="9054.0300000000025"/>
  </r>
  <r>
    <s v="ORD-00630"/>
    <d v="2025-09-25T00:00:00"/>
    <s v="T-Shirt"/>
    <s v="Clothing"/>
    <s v="Website"/>
    <x v="3"/>
    <s v="Returning"/>
    <s v="None"/>
    <n v="1"/>
    <n v="17345"/>
    <n v="17345"/>
    <n v="0"/>
    <n v="0"/>
    <n v="17345"/>
    <n v="11405.51"/>
    <n v="5939.49"/>
  </r>
  <r>
    <s v="ORD-01019"/>
    <d v="2025-09-25T00:00:00"/>
    <s v="Dress"/>
    <s v="Clothing"/>
    <s v="Website"/>
    <x v="0"/>
    <s v="New"/>
    <s v="None"/>
    <n v="3"/>
    <n v="53847"/>
    <n v="161541"/>
    <n v="0"/>
    <n v="0"/>
    <n v="161541"/>
    <n v="78347.87"/>
    <n v="83193.13"/>
  </r>
  <r>
    <s v="ORD-01185"/>
    <d v="2025-09-26T00:00:00"/>
    <s v="Jeans"/>
    <s v="Clothing"/>
    <s v="WhatsApp"/>
    <x v="3"/>
    <s v="Returning"/>
    <s v="None"/>
    <n v="4"/>
    <n v="45238"/>
    <n v="180952"/>
    <n v="0"/>
    <n v="0"/>
    <n v="180952"/>
    <n v="104811.8"/>
    <n v="76140.2"/>
  </r>
  <r>
    <s v="ORD-00320"/>
    <d v="2025-09-27T00:00:00"/>
    <s v="Sandals"/>
    <s v="Footwear"/>
    <s v="Website"/>
    <x v="2"/>
    <s v="New"/>
    <s v="None"/>
    <n v="2"/>
    <n v="31921"/>
    <n v="63842"/>
    <n v="0"/>
    <n v="0"/>
    <n v="63842"/>
    <n v="39280.21"/>
    <n v="24561.79"/>
  </r>
  <r>
    <s v="ORD-00660"/>
    <d v="2025-09-30T00:00:00"/>
    <s v="Hoodie"/>
    <s v="Clothing"/>
    <s v="Instagram"/>
    <x v="2"/>
    <s v="New"/>
    <s v="None"/>
    <n v="2"/>
    <n v="37726"/>
    <n v="75452"/>
    <n v="0"/>
    <n v="0"/>
    <n v="75452"/>
    <n v="46880.480000000003"/>
    <n v="28571.519999999997"/>
  </r>
  <r>
    <s v="ORD-00218"/>
    <d v="2025-10-01T00:00:00"/>
    <s v="T-Shirt"/>
    <s v="Clothing"/>
    <s v="Physical Store"/>
    <x v="3"/>
    <s v="Returning"/>
    <s v="None"/>
    <n v="1"/>
    <n v="17022"/>
    <n v="17022"/>
    <n v="0"/>
    <n v="0"/>
    <n v="17022"/>
    <n v="8802.58"/>
    <n v="8219.42"/>
  </r>
  <r>
    <s v="ORD-00880"/>
    <d v="2025-10-01T00:00:00"/>
    <s v="Handbag"/>
    <s v="Accessories"/>
    <s v="Instagram"/>
    <x v="4"/>
    <s v="Returning"/>
    <s v="None"/>
    <n v="1"/>
    <n v="45125"/>
    <n v="45125"/>
    <n v="0"/>
    <n v="0"/>
    <n v="45125"/>
    <n v="26615.48"/>
    <n v="18509.52"/>
  </r>
  <r>
    <s v="ORD-00180"/>
    <d v="2025-10-02T00:00:00"/>
    <s v="Hoodie"/>
    <s v="Clothing"/>
    <s v="Physical Store"/>
    <x v="0"/>
    <s v="New"/>
    <s v="None"/>
    <n v="1"/>
    <n v="37252"/>
    <n v="37252"/>
    <n v="1862.6"/>
    <n v="0.05"/>
    <n v="35389.4"/>
    <n v="23876.69"/>
    <n v="11512.710000000003"/>
  </r>
  <r>
    <s v="ORD-00147"/>
    <d v="2025-10-03T00:00:00"/>
    <s v="T-Shirt"/>
    <s v="Clothing"/>
    <s v="WhatsApp"/>
    <x v="4"/>
    <s v="Returning"/>
    <s v="None"/>
    <n v="2"/>
    <n v="18364"/>
    <n v="36728"/>
    <n v="0"/>
    <n v="0"/>
    <n v="36728"/>
    <n v="17769.86"/>
    <n v="18958.14"/>
  </r>
  <r>
    <s v="ORD-00103"/>
    <d v="2025-10-04T00:00:00"/>
    <s v="Hoodie"/>
    <s v="Clothing"/>
    <s v="Website"/>
    <x v="4"/>
    <s v="Returning"/>
    <s v="None"/>
    <n v="1"/>
    <n v="38122"/>
    <n v="38122"/>
    <n v="0"/>
    <n v="0"/>
    <n v="38122"/>
    <n v="22551.599999999999"/>
    <n v="15570.400000000001"/>
  </r>
  <r>
    <s v="ORD-00637"/>
    <d v="2025-10-06T00:00:00"/>
    <s v="Belt"/>
    <s v="Accessories"/>
    <s v="Instagram"/>
    <x v="4"/>
    <s v="New"/>
    <s v="None"/>
    <n v="3"/>
    <n v="14093"/>
    <n v="42279"/>
    <n v="2113.9499999999998"/>
    <n v="0.05"/>
    <n v="40165.050000000003"/>
    <n v="27730.48"/>
    <n v="12434.570000000003"/>
  </r>
  <r>
    <s v="ORD-00129"/>
    <d v="2025-10-07T00:00:00"/>
    <s v="Belt"/>
    <s v="Accessories"/>
    <s v="Physical Store"/>
    <x v="4"/>
    <s v="New"/>
    <s v="None"/>
    <n v="1"/>
    <n v="15404"/>
    <n v="15404"/>
    <n v="0"/>
    <n v="0"/>
    <n v="15404"/>
    <n v="8508.92"/>
    <n v="6895.08"/>
  </r>
  <r>
    <s v="ORD-00724"/>
    <d v="2025-10-07T00:00:00"/>
    <s v="Sandals"/>
    <s v="Footwear"/>
    <s v="WhatsApp"/>
    <x v="4"/>
    <s v="New"/>
    <s v="None"/>
    <n v="1"/>
    <n v="31098"/>
    <n v="31098"/>
    <n v="0"/>
    <n v="0"/>
    <n v="31098"/>
    <n v="16661.509999999998"/>
    <n v="14436.490000000002"/>
  </r>
  <r>
    <s v="ORD-01008"/>
    <d v="2025-10-07T00:00:00"/>
    <s v="Polo Shirt"/>
    <s v="Clothing"/>
    <s v="Website"/>
    <x v="4"/>
    <s v="New"/>
    <s v="None"/>
    <n v="2"/>
    <n v="26849"/>
    <n v="53698"/>
    <n v="0"/>
    <n v="0"/>
    <n v="53698"/>
    <n v="34776.53"/>
    <n v="18921.47"/>
  </r>
  <r>
    <s v="ORD-00032"/>
    <d v="2025-10-08T00:00:00"/>
    <s v="Cap"/>
    <s v="Accessories"/>
    <s v="Physical Store"/>
    <x v="4"/>
    <s v="New"/>
    <s v="None"/>
    <n v="1"/>
    <n v="11281"/>
    <n v="11281"/>
    <n v="0"/>
    <n v="0"/>
    <n v="11281"/>
    <n v="5738.74"/>
    <n v="5542.26"/>
  </r>
  <r>
    <s v="ORD-00078"/>
    <d v="2025-10-09T00:00:00"/>
    <s v="Sandals"/>
    <s v="Footwear"/>
    <s v="WhatsApp"/>
    <x v="1"/>
    <s v="New"/>
    <s v="None"/>
    <n v="1"/>
    <n v="31084"/>
    <n v="31084"/>
    <n v="0"/>
    <n v="0"/>
    <n v="31084"/>
    <n v="16247.68"/>
    <n v="14836.32"/>
  </r>
  <r>
    <s v="ORD-00137"/>
    <d v="2025-10-10T00:00:00"/>
    <s v="Hoodie"/>
    <s v="Clothing"/>
    <s v="Website"/>
    <x v="4"/>
    <s v="Returning"/>
    <s v="None"/>
    <n v="2"/>
    <n v="36864"/>
    <n v="73728"/>
    <n v="0"/>
    <n v="0"/>
    <n v="73728"/>
    <n v="42583.1"/>
    <n v="31144.9"/>
  </r>
  <r>
    <s v="ORD-00469"/>
    <d v="2025-10-14T00:00:00"/>
    <s v="Sandals"/>
    <s v="Footwear"/>
    <s v="Physical Store"/>
    <x v="4"/>
    <s v="Returning"/>
    <s v="None"/>
    <n v="3"/>
    <n v="28147"/>
    <n v="84441"/>
    <n v="0"/>
    <n v="0"/>
    <n v="84441"/>
    <n v="54621.919999999998"/>
    <n v="29819.08"/>
  </r>
  <r>
    <s v="ORD-00286"/>
    <d v="2025-10-15T00:00:00"/>
    <s v="Sandals"/>
    <s v="Footwear"/>
    <s v="Instagram"/>
    <x v="0"/>
    <s v="New"/>
    <s v="None"/>
    <n v="3"/>
    <n v="28292"/>
    <n v="84876"/>
    <n v="0"/>
    <n v="0"/>
    <n v="84876"/>
    <n v="41203.050000000003"/>
    <n v="43672.95"/>
  </r>
  <r>
    <s v="ORD-00745"/>
    <d v="2025-10-15T00:00:00"/>
    <s v="Dress"/>
    <s v="Clothing"/>
    <s v="Instagram"/>
    <x v="3"/>
    <s v="New"/>
    <s v="None"/>
    <n v="2"/>
    <n v="46915"/>
    <n v="93830"/>
    <n v="0"/>
    <n v="0"/>
    <n v="93830"/>
    <n v="59699.47"/>
    <n v="34130.53"/>
  </r>
  <r>
    <s v="ORD-00495"/>
    <d v="2025-10-17T00:00:00"/>
    <s v="Dress"/>
    <s v="Clothing"/>
    <s v="WhatsApp"/>
    <x v="1"/>
    <s v="New"/>
    <s v="None"/>
    <n v="4"/>
    <n v="48022"/>
    <n v="192088"/>
    <n v="0"/>
    <n v="0"/>
    <n v="192088"/>
    <n v="102498.05"/>
    <n v="89589.95"/>
  </r>
  <r>
    <s v="ORD-00317"/>
    <d v="2025-10-17T00:00:00"/>
    <s v="Cap"/>
    <s v="Accessories"/>
    <s v="WhatsApp"/>
    <x v="4"/>
    <s v="Returning"/>
    <s v="None"/>
    <n v="2"/>
    <n v="11093"/>
    <n v="22186"/>
    <n v="0"/>
    <n v="0"/>
    <n v="22186"/>
    <n v="14229.02"/>
    <n v="7956.98"/>
  </r>
  <r>
    <s v="ORD-00321"/>
    <d v="2025-10-18T00:00:00"/>
    <s v="Hoodie"/>
    <s v="Clothing"/>
    <s v="Physical Store"/>
    <x v="2"/>
    <s v="New"/>
    <s v="None"/>
    <n v="3"/>
    <n v="38983"/>
    <n v="116949"/>
    <n v="5847.45"/>
    <n v="0.05"/>
    <n v="111101.55"/>
    <n v="70016.460000000006"/>
    <n v="41085.089999999997"/>
  </r>
  <r>
    <s v="ORD-00445"/>
    <d v="2025-10-19T00:00:00"/>
    <s v="Jeans"/>
    <s v="Clothing"/>
    <s v="Physical Store"/>
    <x v="4"/>
    <s v="Returning"/>
    <s v="None"/>
    <n v="2"/>
    <n v="39172"/>
    <n v="78344"/>
    <n v="0"/>
    <n v="0"/>
    <n v="78344"/>
    <n v="37909.85"/>
    <n v="40434.15"/>
  </r>
  <r>
    <s v="ORD-00239"/>
    <d v="2025-10-20T00:00:00"/>
    <s v="Sandals"/>
    <s v="Footwear"/>
    <s v="Physical Store"/>
    <x v="2"/>
    <s v="Returning"/>
    <s v="None"/>
    <n v="1"/>
    <n v="31564"/>
    <n v="31564"/>
    <n v="0"/>
    <n v="0"/>
    <n v="31564"/>
    <n v="16908.57"/>
    <n v="14655.43"/>
  </r>
  <r>
    <s v="ORD-00169"/>
    <d v="2025-10-21T00:00:00"/>
    <s v="Cap"/>
    <s v="Accessories"/>
    <s v="Instagram"/>
    <x v="4"/>
    <s v="New"/>
    <s v="None"/>
    <n v="2"/>
    <n v="12666"/>
    <n v="25332"/>
    <n v="0"/>
    <n v="0"/>
    <n v="25332"/>
    <n v="16711.830000000002"/>
    <n v="8620.1699999999983"/>
  </r>
  <r>
    <s v="ORD-01069"/>
    <d v="2025-10-22T00:00:00"/>
    <s v="Polo Shirt"/>
    <s v="Clothing"/>
    <s v="Instagram"/>
    <x v="3"/>
    <s v="Returning"/>
    <s v="None"/>
    <n v="3"/>
    <n v="26951"/>
    <n v="80853"/>
    <n v="0"/>
    <n v="0"/>
    <n v="80853"/>
    <n v="45883.91"/>
    <n v="34969.089999999997"/>
  </r>
  <r>
    <s v="ORD-00866"/>
    <d v="2025-10-22T00:00:00"/>
    <s v="Hoodie"/>
    <s v="Clothing"/>
    <s v="Website"/>
    <x v="3"/>
    <s v="Returning"/>
    <s v="None"/>
    <n v="3"/>
    <n v="40072"/>
    <n v="120216"/>
    <n v="12021.6"/>
    <n v="0.1"/>
    <n v="108194.4"/>
    <n v="72353.289999999994"/>
    <n v="35841.11"/>
  </r>
  <r>
    <s v="ORD-00705"/>
    <d v="2025-10-23T00:00:00"/>
    <s v="Handbag"/>
    <s v="Accessories"/>
    <s v="WhatsApp"/>
    <x v="0"/>
    <s v="Returning"/>
    <s v="None"/>
    <n v="2"/>
    <n v="47450"/>
    <n v="94900"/>
    <n v="0"/>
    <n v="0"/>
    <n v="94900"/>
    <n v="51981.47"/>
    <n v="42918.53"/>
  </r>
  <r>
    <s v="ORD-00892"/>
    <d v="2025-10-23T00:00:00"/>
    <s v="Polo Shirt"/>
    <s v="Clothing"/>
    <s v="WhatsApp"/>
    <x v="1"/>
    <s v="New"/>
    <s v="None"/>
    <n v="4"/>
    <n v="26378"/>
    <n v="105512"/>
    <n v="0"/>
    <n v="0"/>
    <n v="105512"/>
    <n v="59948.86"/>
    <n v="45563.14"/>
  </r>
  <r>
    <s v="ORD-00408"/>
    <d v="2025-10-24T00:00:00"/>
    <s v="Dress"/>
    <s v="Clothing"/>
    <s v="Instagram"/>
    <x v="0"/>
    <s v="Returning"/>
    <s v="None"/>
    <n v="2"/>
    <n v="52440"/>
    <n v="104880"/>
    <n v="0"/>
    <n v="0"/>
    <n v="104880"/>
    <n v="58629.04"/>
    <n v="46250.96"/>
  </r>
  <r>
    <s v="ORD-00885"/>
    <d v="2025-10-25T00:00:00"/>
    <s v="Hoodie"/>
    <s v="Clothing"/>
    <s v="Instagram"/>
    <x v="4"/>
    <s v="Returning"/>
    <s v="None"/>
    <n v="3"/>
    <n v="40038"/>
    <n v="120114"/>
    <n v="0"/>
    <n v="0"/>
    <n v="120114"/>
    <n v="75073.490000000005"/>
    <n v="45040.509999999995"/>
  </r>
  <r>
    <s v="ORD-01035"/>
    <d v="2025-10-25T00:00:00"/>
    <s v="Polo Shirt"/>
    <s v="Clothing"/>
    <s v="WhatsApp"/>
    <x v="4"/>
    <s v="New"/>
    <s v="None"/>
    <n v="2"/>
    <n v="24498"/>
    <n v="48996"/>
    <n v="2449.8000000000002"/>
    <n v="0.05"/>
    <n v="46546.2"/>
    <n v="27313.22"/>
    <n v="19232.979999999996"/>
  </r>
  <r>
    <s v="ORD-00140"/>
    <d v="2025-10-25T00:00:00"/>
    <s v="Jeans"/>
    <s v="Clothing"/>
    <s v="Instagram"/>
    <x v="4"/>
    <s v="New"/>
    <s v="None"/>
    <n v="1"/>
    <n v="40456"/>
    <n v="40456"/>
    <n v="0"/>
    <n v="0"/>
    <n v="40456"/>
    <n v="23931.41"/>
    <n v="16524.59"/>
  </r>
  <r>
    <s v="ORD-00790"/>
    <d v="2025-10-26T00:00:00"/>
    <s v="Handbag"/>
    <s v="Accessories"/>
    <s v="Website"/>
    <x v="3"/>
    <s v="New"/>
    <s v="None"/>
    <n v="1"/>
    <n v="44596"/>
    <n v="44596"/>
    <n v="0"/>
    <n v="0"/>
    <n v="44596"/>
    <n v="23177.88"/>
    <n v="21418.12"/>
  </r>
  <r>
    <s v="ORD-00668"/>
    <d v="2025-10-27T00:00:00"/>
    <s v="T-Shirt"/>
    <s v="Clothing"/>
    <s v="Website"/>
    <x v="2"/>
    <s v="New"/>
    <s v="None"/>
    <n v="3"/>
    <n v="17757"/>
    <n v="53271"/>
    <n v="0"/>
    <n v="0"/>
    <n v="53271"/>
    <n v="29487.72"/>
    <n v="23783.279999999999"/>
  </r>
  <r>
    <s v="ORD-00893"/>
    <d v="2025-10-27T00:00:00"/>
    <s v="Cap"/>
    <s v="Accessories"/>
    <s v="Physical Store"/>
    <x v="2"/>
    <s v="New"/>
    <s v="None"/>
    <n v="1"/>
    <n v="11597"/>
    <n v="11597"/>
    <n v="0"/>
    <n v="0"/>
    <n v="11597"/>
    <n v="5936.25"/>
    <n v="5660.75"/>
  </r>
  <r>
    <s v="ORD-00991"/>
    <d v="2025-10-27T00:00:00"/>
    <s v="Sneakers"/>
    <s v="Footwear"/>
    <s v="Physical Store"/>
    <x v="1"/>
    <s v="Returning"/>
    <s v="None"/>
    <n v="1"/>
    <n v="64209"/>
    <n v="64209"/>
    <n v="0"/>
    <n v="0"/>
    <n v="64209"/>
    <n v="41074.449999999997"/>
    <n v="23134.550000000003"/>
  </r>
  <r>
    <s v="ORD-00626"/>
    <d v="2025-10-28T00:00:00"/>
    <s v="Sneakers"/>
    <s v="Footwear"/>
    <s v="Website"/>
    <x v="2"/>
    <s v="New"/>
    <s v="None"/>
    <n v="1"/>
    <n v="66109"/>
    <n v="66109"/>
    <n v="0"/>
    <n v="0"/>
    <n v="66109"/>
    <n v="32010.74"/>
    <n v="34098.259999999995"/>
  </r>
  <r>
    <s v="ORD-00504"/>
    <d v="2025-10-29T00:00:00"/>
    <s v="Polo Shirt"/>
    <s v="Clothing"/>
    <s v="Instagram"/>
    <x v="4"/>
    <s v="Returning"/>
    <s v="None"/>
    <n v="4"/>
    <n v="23769"/>
    <n v="95076"/>
    <n v="0"/>
    <n v="0"/>
    <n v="95076"/>
    <n v="58269.03"/>
    <n v="36806.97"/>
  </r>
  <r>
    <s v="ORD-00911"/>
    <d v="2025-10-31T00:00:00"/>
    <s v="Dress"/>
    <s v="Clothing"/>
    <s v="Physical Store"/>
    <x v="4"/>
    <s v="New"/>
    <s v="None"/>
    <n v="2"/>
    <n v="47174"/>
    <n v="94348"/>
    <n v="0"/>
    <n v="0"/>
    <n v="94348"/>
    <n v="45615.95"/>
    <n v="48732.05"/>
  </r>
  <r>
    <s v="ORD-00628"/>
    <d v="2025-11-02T00:00:00"/>
    <s v="Hoodie"/>
    <s v="Clothing"/>
    <s v="Instagram"/>
    <x v="4"/>
    <s v="Returning"/>
    <s v="Black Friday"/>
    <n v="2"/>
    <n v="37670"/>
    <n v="75340"/>
    <n v="7534"/>
    <n v="0.1"/>
    <n v="67806"/>
    <n v="40155.72"/>
    <n v="27650.28"/>
  </r>
  <r>
    <s v="ORD-00487"/>
    <d v="2025-11-02T00:00:00"/>
    <s v="Belt"/>
    <s v="Accessories"/>
    <s v="Website"/>
    <x v="0"/>
    <s v="New"/>
    <s v="None"/>
    <n v="1"/>
    <n v="14358"/>
    <n v="14358"/>
    <n v="0"/>
    <n v="0"/>
    <n v="14358"/>
    <n v="8854.3799999999992"/>
    <n v="5503.6200000000008"/>
  </r>
  <r>
    <s v="ORD-00571"/>
    <d v="2025-11-04T00:00:00"/>
    <s v="Sneakers"/>
    <s v="Footwear"/>
    <s v="Physical Store"/>
    <x v="4"/>
    <s v="New"/>
    <s v="Black Friday"/>
    <n v="5"/>
    <n v="64213"/>
    <n v="321065"/>
    <n v="32106.5"/>
    <n v="0.1"/>
    <n v="288958.5"/>
    <n v="192882.54"/>
    <n v="96075.959999999992"/>
  </r>
  <r>
    <s v="ORD-01028"/>
    <d v="2025-11-06T00:00:00"/>
    <s v="Sandals"/>
    <s v="Footwear"/>
    <s v="Physical Store"/>
    <x v="0"/>
    <s v="New"/>
    <s v="Black Friday"/>
    <n v="1"/>
    <n v="32154"/>
    <n v="32154"/>
    <n v="3215.4"/>
    <n v="0.1"/>
    <n v="28938.6"/>
    <n v="16436.490000000002"/>
    <n v="12502.109999999997"/>
  </r>
  <r>
    <s v="ORD-00507"/>
    <d v="2025-11-06T00:00:00"/>
    <s v="Sneakers"/>
    <s v="Footwear"/>
    <s v="Physical Store"/>
    <x v="2"/>
    <s v="Returning"/>
    <s v="Black Friday"/>
    <n v="2"/>
    <n v="67091"/>
    <n v="134182"/>
    <n v="6709.1"/>
    <n v="0.05"/>
    <n v="127472.9"/>
    <n v="88874.85"/>
    <n v="38598.049999999988"/>
  </r>
  <r>
    <s v="ORD-00400"/>
    <d v="2025-11-06T00:00:00"/>
    <s v="Handbag"/>
    <s v="Accessories"/>
    <s v="WhatsApp"/>
    <x v="2"/>
    <s v="New"/>
    <s v="Black Friday"/>
    <n v="2"/>
    <n v="46135"/>
    <n v="92270"/>
    <n v="18454"/>
    <n v="0.2"/>
    <n v="73816"/>
    <n v="61506.38"/>
    <n v="12309.620000000003"/>
  </r>
  <r>
    <s v="ORD-00555"/>
    <d v="2025-11-07T00:00:00"/>
    <s v="Dress"/>
    <s v="Clothing"/>
    <s v="Website"/>
    <x v="4"/>
    <s v="Returning"/>
    <s v="Black Friday"/>
    <n v="2"/>
    <n v="51958"/>
    <n v="103916"/>
    <n v="10391.6"/>
    <n v="0.1"/>
    <n v="93524.4"/>
    <n v="53827.13"/>
    <n v="39697.269999999997"/>
  </r>
  <r>
    <s v="ORD-00298"/>
    <d v="2025-11-12T00:00:00"/>
    <s v="T-Shirt"/>
    <s v="Clothing"/>
    <s v="Physical Store"/>
    <x v="4"/>
    <s v="New"/>
    <s v="Black Friday"/>
    <n v="3"/>
    <n v="17828"/>
    <n v="53484"/>
    <n v="8022.6"/>
    <n v="0.15"/>
    <n v="45461.4"/>
    <n v="29761.200000000001"/>
    <n v="15700.2"/>
  </r>
  <r>
    <s v="ORD-00126"/>
    <d v="2025-11-12T00:00:00"/>
    <s v="Handbag"/>
    <s v="Accessories"/>
    <s v="WhatsApp"/>
    <x v="3"/>
    <s v="Returning"/>
    <s v="None"/>
    <n v="1"/>
    <n v="44240"/>
    <n v="44240"/>
    <n v="0"/>
    <n v="0"/>
    <n v="44240"/>
    <n v="24871.91"/>
    <n v="19368.09"/>
  </r>
  <r>
    <s v="ORD-00634"/>
    <d v="2025-11-12T00:00:00"/>
    <s v="Belt"/>
    <s v="Accessories"/>
    <s v="Physical Store"/>
    <x v="4"/>
    <s v="New"/>
    <s v="None"/>
    <n v="2"/>
    <n v="14885"/>
    <n v="29770"/>
    <n v="0"/>
    <n v="0"/>
    <n v="29770"/>
    <n v="16132.96"/>
    <n v="13637.04"/>
  </r>
  <r>
    <s v="ORD-00846"/>
    <d v="2025-11-13T00:00:00"/>
    <s v="Sneakers"/>
    <s v="Footwear"/>
    <s v="Physical Store"/>
    <x v="2"/>
    <s v="New"/>
    <s v="None"/>
    <n v="1"/>
    <n v="65204"/>
    <n v="65204"/>
    <n v="9780.6"/>
    <n v="0.15"/>
    <n v="55423.4"/>
    <n v="38114.26"/>
    <n v="17309.14"/>
  </r>
  <r>
    <s v="ORD-00099"/>
    <d v="2025-11-14T00:00:00"/>
    <s v="Belt"/>
    <s v="Accessories"/>
    <s v="Physical Store"/>
    <x v="4"/>
    <s v="New"/>
    <s v="None"/>
    <n v="3"/>
    <n v="14615"/>
    <n v="43845"/>
    <n v="0"/>
    <n v="0"/>
    <n v="43845"/>
    <n v="25823.37"/>
    <n v="18021.63"/>
  </r>
  <r>
    <s v="ORD-00139"/>
    <d v="2025-11-14T00:00:00"/>
    <s v="Hoodie"/>
    <s v="Clothing"/>
    <s v="Website"/>
    <x v="1"/>
    <s v="Returning"/>
    <s v="None"/>
    <n v="2"/>
    <n v="35983"/>
    <n v="71966"/>
    <n v="0"/>
    <n v="0"/>
    <n v="71966"/>
    <n v="46613.09"/>
    <n v="25352.910000000003"/>
  </r>
  <r>
    <s v="ORD-00561"/>
    <d v="2025-11-15T00:00:00"/>
    <s v="Jeans"/>
    <s v="Clothing"/>
    <s v="WhatsApp"/>
    <x v="4"/>
    <s v="Returning"/>
    <s v="Black Friday"/>
    <n v="2"/>
    <n v="42898"/>
    <n v="85796"/>
    <n v="12869.4"/>
    <n v="0.15"/>
    <n v="72926.600000000006"/>
    <n v="48782.76"/>
    <n v="24143.840000000004"/>
  </r>
  <r>
    <s v="ORD-00486"/>
    <d v="2025-11-15T00:00:00"/>
    <s v="T-Shirt"/>
    <s v="Clothing"/>
    <s v="Website"/>
    <x v="1"/>
    <s v="New"/>
    <s v="None"/>
    <n v="3"/>
    <n v="18349"/>
    <n v="55047"/>
    <n v="0"/>
    <n v="0"/>
    <n v="55047"/>
    <n v="31746.43"/>
    <n v="23300.57"/>
  </r>
  <r>
    <s v="ORD-00281"/>
    <d v="2025-11-15T00:00:00"/>
    <s v="Cap"/>
    <s v="Accessories"/>
    <s v="Physical Store"/>
    <x v="1"/>
    <s v="Returning"/>
    <s v="None"/>
    <n v="3"/>
    <n v="11972"/>
    <n v="35916"/>
    <n v="0"/>
    <n v="0"/>
    <n v="35916"/>
    <n v="22139.72"/>
    <n v="13776.279999999999"/>
  </r>
  <r>
    <s v="ORD-00264"/>
    <d v="2025-11-16T00:00:00"/>
    <s v="Sandals"/>
    <s v="Footwear"/>
    <s v="Website"/>
    <x v="3"/>
    <s v="New"/>
    <s v="Black Friday"/>
    <n v="1"/>
    <n v="28489"/>
    <n v="28489"/>
    <n v="2848.9"/>
    <n v="0.1"/>
    <n v="25640.1"/>
    <n v="14920.88"/>
    <n v="10719.22"/>
  </r>
  <r>
    <s v="ORD-00028"/>
    <d v="2025-11-17T00:00:00"/>
    <s v="Dress"/>
    <s v="Clothing"/>
    <s v="Website"/>
    <x v="4"/>
    <s v="New"/>
    <s v="Black Friday"/>
    <n v="3"/>
    <n v="47989"/>
    <n v="143967"/>
    <n v="14396.7"/>
    <n v="0.1"/>
    <n v="129570.3"/>
    <n v="89454.68"/>
    <n v="40115.62000000001"/>
  </r>
  <r>
    <s v="ORD-01087"/>
    <d v="2025-11-18T00:00:00"/>
    <s v="T-Shirt"/>
    <s v="Clothing"/>
    <s v="Instagram"/>
    <x v="1"/>
    <s v="Returning"/>
    <s v="Black Friday"/>
    <n v="3"/>
    <n v="19202"/>
    <n v="57606"/>
    <n v="5760.6"/>
    <n v="0.1"/>
    <n v="51845.4"/>
    <n v="36226.15"/>
    <n v="15619.25"/>
  </r>
  <r>
    <s v="ORD-00220"/>
    <d v="2025-11-18T00:00:00"/>
    <s v="Cap"/>
    <s v="Accessories"/>
    <s v="Instagram"/>
    <x v="4"/>
    <s v="Returning"/>
    <s v="None"/>
    <n v="1"/>
    <n v="12869"/>
    <n v="12869"/>
    <n v="0"/>
    <n v="0"/>
    <n v="12869"/>
    <n v="7089.34"/>
    <n v="5779.66"/>
  </r>
  <r>
    <s v="ORD-01171"/>
    <d v="2025-11-19T00:00:00"/>
    <s v="Handbag"/>
    <s v="Accessories"/>
    <s v="Physical Store"/>
    <x v="0"/>
    <s v="Returning"/>
    <s v="Black Friday"/>
    <n v="4"/>
    <n v="47182"/>
    <n v="188728"/>
    <n v="18872.8"/>
    <n v="0.1"/>
    <n v="169855.2"/>
    <n v="104815.57"/>
    <n v="65039.630000000005"/>
  </r>
  <r>
    <s v="ORD-00543"/>
    <d v="2025-11-19T00:00:00"/>
    <s v="Hoodie"/>
    <s v="Clothing"/>
    <s v="Physical Store"/>
    <x v="0"/>
    <s v="New"/>
    <s v="Black Friday"/>
    <n v="1"/>
    <n v="39814"/>
    <n v="39814"/>
    <n v="1990.7"/>
    <n v="0.05"/>
    <n v="37823.300000000003"/>
    <n v="20626.689999999999"/>
    <n v="17196.610000000004"/>
  </r>
  <r>
    <s v="ORD-00898"/>
    <d v="2025-11-19T00:00:00"/>
    <s v="Polo Shirt"/>
    <s v="Clothing"/>
    <s v="Instagram"/>
    <x v="4"/>
    <s v="New"/>
    <s v="Black Friday"/>
    <n v="3"/>
    <n v="24783"/>
    <n v="74349"/>
    <n v="11152.35"/>
    <n v="0.15"/>
    <n v="63196.65"/>
    <n v="46495.839999999997"/>
    <n v="16700.810000000005"/>
  </r>
  <r>
    <s v="ORD-00374"/>
    <d v="2025-11-20T00:00:00"/>
    <s v="Belt"/>
    <s v="Accessories"/>
    <s v="Website"/>
    <x v="4"/>
    <s v="New"/>
    <s v="Black Friday"/>
    <n v="1"/>
    <n v="14868"/>
    <n v="14868"/>
    <n v="743.4"/>
    <n v="0.05"/>
    <n v="14124.6"/>
    <n v="9166.58"/>
    <n v="4958.0200000000004"/>
  </r>
  <r>
    <s v="ORD-00751"/>
    <d v="2025-11-20T00:00:00"/>
    <s v="Belt"/>
    <s v="Accessories"/>
    <s v="Physical Store"/>
    <x v="2"/>
    <s v="New"/>
    <s v="None"/>
    <n v="1"/>
    <n v="15650"/>
    <n v="15650"/>
    <n v="0"/>
    <n v="0"/>
    <n v="15650"/>
    <n v="10475.620000000001"/>
    <n v="5174.3799999999992"/>
  </r>
  <r>
    <s v="ORD-01174"/>
    <d v="2025-11-20T00:00:00"/>
    <s v="T-Shirt"/>
    <s v="Clothing"/>
    <s v="Physical Store"/>
    <x v="2"/>
    <s v="New"/>
    <s v="Black Friday"/>
    <n v="2"/>
    <n v="19270"/>
    <n v="38540"/>
    <n v="3854"/>
    <n v="0.1"/>
    <n v="34686"/>
    <n v="20897.87"/>
    <n v="13788.130000000001"/>
  </r>
  <r>
    <s v="ORD-00377"/>
    <d v="2025-11-21T00:00:00"/>
    <s v="Handbag"/>
    <s v="Accessories"/>
    <s v="Website"/>
    <x v="0"/>
    <s v="New"/>
    <s v="Black Friday"/>
    <n v="3"/>
    <n v="45751"/>
    <n v="137253"/>
    <n v="13725.3"/>
    <n v="0.1"/>
    <n v="123527.7"/>
    <n v="88630"/>
    <n v="34897.699999999997"/>
  </r>
  <r>
    <s v="ORD-00702"/>
    <d v="2025-11-22T00:00:00"/>
    <s v="Dress"/>
    <s v="Clothing"/>
    <s v="Instagram"/>
    <x v="0"/>
    <s v="New"/>
    <s v="Black Friday"/>
    <n v="3"/>
    <n v="47300"/>
    <n v="141900"/>
    <n v="14190"/>
    <n v="0.1"/>
    <n v="127710"/>
    <n v="71899.850000000006"/>
    <n v="55810.149999999994"/>
  </r>
  <r>
    <s v="ORD-01023"/>
    <d v="2025-11-23T00:00:00"/>
    <s v="Belt"/>
    <s v="Accessories"/>
    <s v="WhatsApp"/>
    <x v="1"/>
    <s v="Returning"/>
    <s v="Black Friday"/>
    <n v="1"/>
    <n v="14082"/>
    <n v="14082"/>
    <n v="2112.3000000000002"/>
    <n v="0.15"/>
    <n v="11969.7"/>
    <n v="7392.52"/>
    <n v="4577.18"/>
  </r>
  <r>
    <s v="ORD-01129"/>
    <d v="2025-11-27T00:00:00"/>
    <s v="Handbag"/>
    <s v="Accessories"/>
    <s v="Website"/>
    <x v="2"/>
    <s v="New"/>
    <s v="Black Friday"/>
    <n v="2"/>
    <n v="41775"/>
    <n v="83550"/>
    <n v="8355"/>
    <n v="0.1"/>
    <n v="75195"/>
    <n v="40474.29"/>
    <n v="34720.71"/>
  </r>
  <r>
    <s v="ORD-00343"/>
    <d v="2025-11-27T00:00:00"/>
    <s v="Sandals"/>
    <s v="Footwear"/>
    <s v="Website"/>
    <x v="4"/>
    <s v="New"/>
    <s v="None"/>
    <n v="4"/>
    <n v="28545"/>
    <n v="114180"/>
    <n v="0"/>
    <n v="0"/>
    <n v="114180"/>
    <n v="59360.160000000003"/>
    <n v="54819.839999999997"/>
  </r>
  <r>
    <s v="ORD-00509"/>
    <d v="2025-11-28T00:00:00"/>
    <s v="Dress"/>
    <s v="Clothing"/>
    <s v="Website"/>
    <x v="4"/>
    <s v="New"/>
    <s v="None"/>
    <n v="2"/>
    <n v="53479"/>
    <n v="106958"/>
    <n v="0"/>
    <n v="0"/>
    <n v="106958"/>
    <n v="70563.78"/>
    <n v="36394.22"/>
  </r>
  <r>
    <s v="ORD-00144"/>
    <d v="2025-11-29T00:00:00"/>
    <s v="Cap"/>
    <s v="Accessories"/>
    <s v="WhatsApp"/>
    <x v="1"/>
    <s v="New"/>
    <s v="Black Friday"/>
    <n v="5"/>
    <n v="12698"/>
    <n v="63490"/>
    <n v="6349"/>
    <n v="0.1"/>
    <n v="57141"/>
    <n v="35241.14"/>
    <n v="21899.86"/>
  </r>
  <r>
    <s v="ORD-00670"/>
    <d v="2025-11-29T00:00:00"/>
    <s v="Jeans"/>
    <s v="Clothing"/>
    <s v="Website"/>
    <x v="4"/>
    <s v="New"/>
    <s v="Black Friday"/>
    <n v="2"/>
    <n v="39541"/>
    <n v="79082"/>
    <n v="3954.1"/>
    <n v="0.05"/>
    <n v="75127.899999999994"/>
    <n v="43331.57"/>
    <n v="31796.329999999994"/>
  </r>
  <r>
    <s v="ORD-00418"/>
    <d v="2025-11-29T00:00:00"/>
    <s v="Hoodie"/>
    <s v="Clothing"/>
    <s v="Website"/>
    <x v="2"/>
    <s v="Returning"/>
    <s v="None"/>
    <n v="2"/>
    <n v="35698"/>
    <n v="71396"/>
    <n v="0"/>
    <n v="0"/>
    <n v="71396"/>
    <n v="36894.379999999997"/>
    <n v="34501.620000000003"/>
  </r>
  <r>
    <s v="ORD-00961"/>
    <d v="2025-11-30T00:00:00"/>
    <s v="Polo Shirt"/>
    <s v="Clothing"/>
    <s v="Physical Store"/>
    <x v="3"/>
    <s v="New"/>
    <s v="Black Friday"/>
    <n v="2"/>
    <n v="24001"/>
    <n v="48002"/>
    <n v="4800.2"/>
    <n v="0.1"/>
    <n v="43201.8"/>
    <n v="26238.71"/>
    <n v="16963.090000000004"/>
  </r>
  <r>
    <s v="ORD-00024"/>
    <d v="2025-11-30T00:00:00"/>
    <s v="Polo Shirt"/>
    <s v="Clothing"/>
    <s v="Physical Store"/>
    <x v="0"/>
    <s v="Returning"/>
    <s v="Black Friday"/>
    <n v="1"/>
    <n v="26649"/>
    <n v="26649"/>
    <n v="2664.9"/>
    <n v="0.1"/>
    <n v="23984.1"/>
    <n v="16111.81"/>
    <n v="7872.2899999999991"/>
  </r>
  <r>
    <s v="ORD-00254"/>
    <d v="2025-11-30T00:00:00"/>
    <s v="Sneakers"/>
    <s v="Footwear"/>
    <s v="WhatsApp"/>
    <x v="2"/>
    <s v="Returning"/>
    <s v="Black Friday"/>
    <n v="3"/>
    <n v="63286"/>
    <n v="189858"/>
    <n v="9492.9"/>
    <n v="0.05"/>
    <n v="180365.1"/>
    <n v="128167.18"/>
    <n v="52197.920000000013"/>
  </r>
  <r>
    <s v="ORD-01018"/>
    <d v="2025-12-02T00:00:00"/>
    <s v="Cap"/>
    <s v="Accessories"/>
    <s v="WhatsApp"/>
    <x v="4"/>
    <s v="New"/>
    <s v="Christmas Promo"/>
    <n v="1"/>
    <n v="12343"/>
    <n v="12343"/>
    <n v="1234.3"/>
    <n v="0.1"/>
    <n v="11108.7"/>
    <n v="7181.17"/>
    <n v="3927.5300000000007"/>
  </r>
  <r>
    <s v="ORD-00053"/>
    <d v="2025-12-03T00:00:00"/>
    <s v="Hoodie"/>
    <s v="Clothing"/>
    <s v="WhatsApp"/>
    <x v="2"/>
    <s v="Returning"/>
    <s v="Christmas Promo"/>
    <n v="2"/>
    <n v="39956"/>
    <n v="79912"/>
    <n v="7991.2"/>
    <n v="0.1"/>
    <n v="71920.800000000003"/>
    <n v="43166.11"/>
    <n v="28754.690000000002"/>
  </r>
  <r>
    <s v="ORD-00336"/>
    <d v="2025-12-04T00:00:00"/>
    <s v="T-Shirt"/>
    <s v="Clothing"/>
    <s v="WhatsApp"/>
    <x v="4"/>
    <s v="New"/>
    <s v="Christmas Promo"/>
    <n v="2"/>
    <n v="17533"/>
    <n v="35066"/>
    <n v="3506.6"/>
    <n v="0.1"/>
    <n v="31559.4"/>
    <n v="19579.05"/>
    <n v="11980.350000000002"/>
  </r>
  <r>
    <s v="ORD-01144"/>
    <d v="2025-12-05T00:00:00"/>
    <s v="Belt"/>
    <s v="Accessories"/>
    <s v="Physical Store"/>
    <x v="3"/>
    <s v="New"/>
    <s v="Christmas Promo"/>
    <n v="5"/>
    <n v="15553"/>
    <n v="77765"/>
    <n v="15553"/>
    <n v="0.2"/>
    <n v="62212"/>
    <n v="38911.910000000003"/>
    <n v="23300.089999999997"/>
  </r>
  <r>
    <s v="ORD-00968"/>
    <d v="2025-12-07T00:00:00"/>
    <s v="Hoodie"/>
    <s v="Clothing"/>
    <s v="Physical Store"/>
    <x v="3"/>
    <s v="New"/>
    <s v="None"/>
    <n v="1"/>
    <n v="40623"/>
    <n v="40623"/>
    <n v="0"/>
    <n v="0"/>
    <n v="40623"/>
    <n v="27023.58"/>
    <n v="13599.419999999998"/>
  </r>
  <r>
    <s v="ORD-00965"/>
    <d v="2025-12-09T00:00:00"/>
    <s v="Handbag"/>
    <s v="Accessories"/>
    <s v="Physical Store"/>
    <x v="3"/>
    <s v="New"/>
    <s v="None"/>
    <n v="1"/>
    <n v="43115"/>
    <n v="43115"/>
    <n v="0"/>
    <n v="0"/>
    <n v="43115"/>
    <n v="28179.66"/>
    <n v="14935.34"/>
  </r>
  <r>
    <s v="ORD-00526"/>
    <d v="2025-12-09T00:00:00"/>
    <s v="Hoodie"/>
    <s v="Clothing"/>
    <s v="Physical Store"/>
    <x v="0"/>
    <s v="New"/>
    <s v="None"/>
    <n v="1"/>
    <n v="38534"/>
    <n v="38534"/>
    <n v="3853.4"/>
    <n v="0.1"/>
    <n v="34680.6"/>
    <n v="24091.93"/>
    <n v="10588.669999999998"/>
  </r>
  <r>
    <s v="ORD-00551"/>
    <d v="2025-12-09T00:00:00"/>
    <s v="Cap"/>
    <s v="Accessories"/>
    <s v="Website"/>
    <x v="3"/>
    <s v="Returning"/>
    <s v="Christmas Promo"/>
    <n v="4"/>
    <n v="11712"/>
    <n v="46848"/>
    <n v="7027.2"/>
    <n v="0.15"/>
    <n v="39820.800000000003"/>
    <n v="29275.86"/>
    <n v="10544.940000000002"/>
  </r>
  <r>
    <s v="ORD-01153"/>
    <d v="2025-12-10T00:00:00"/>
    <s v="Jeans"/>
    <s v="Clothing"/>
    <s v="Website"/>
    <x v="0"/>
    <s v="Returning"/>
    <s v="Christmas Promo"/>
    <n v="1"/>
    <n v="38893"/>
    <n v="38893"/>
    <n v="7778.6"/>
    <n v="0.2"/>
    <n v="31114.400000000001"/>
    <n v="18704.77"/>
    <n v="12409.630000000001"/>
  </r>
  <r>
    <s v="ORD-00887"/>
    <d v="2025-12-10T00:00:00"/>
    <s v="Belt"/>
    <s v="Accessories"/>
    <s v="Website"/>
    <x v="4"/>
    <s v="Returning"/>
    <s v="Christmas Promo"/>
    <n v="1"/>
    <n v="14838"/>
    <n v="14838"/>
    <n v="741.9"/>
    <n v="0.05"/>
    <n v="14096.1"/>
    <n v="9014.57"/>
    <n v="5081.5300000000007"/>
  </r>
  <r>
    <s v="ORD-01072"/>
    <d v="2025-12-10T00:00:00"/>
    <s v="Handbag"/>
    <s v="Accessories"/>
    <s v="Instagram"/>
    <x v="2"/>
    <s v="Returning"/>
    <s v="Christmas Promo"/>
    <n v="2"/>
    <n v="45789"/>
    <n v="91578"/>
    <n v="13736.7"/>
    <n v="0.15"/>
    <n v="77841.3"/>
    <n v="55454.74"/>
    <n v="22386.560000000005"/>
  </r>
  <r>
    <s v="ORD-00136"/>
    <d v="2025-12-10T00:00:00"/>
    <s v="Belt"/>
    <s v="Accessories"/>
    <s v="Instagram"/>
    <x v="4"/>
    <s v="Returning"/>
    <s v="Christmas Promo"/>
    <n v="3"/>
    <n v="14965"/>
    <n v="44895"/>
    <n v="2244.75"/>
    <n v="0.05"/>
    <n v="42650.25"/>
    <n v="26088.080000000002"/>
    <n v="16562.169999999998"/>
  </r>
  <r>
    <s v="ORD-01078"/>
    <d v="2025-12-11T00:00:00"/>
    <s v="Belt"/>
    <s v="Accessories"/>
    <s v="Website"/>
    <x v="4"/>
    <s v="Returning"/>
    <s v="Christmas Promo"/>
    <n v="2"/>
    <n v="15971"/>
    <n v="31942"/>
    <n v="3194.2"/>
    <n v="0.1"/>
    <n v="28747.8"/>
    <n v="16762.77"/>
    <n v="11985.029999999999"/>
  </r>
  <r>
    <s v="ORD-00833"/>
    <d v="2025-12-12T00:00:00"/>
    <s v="T-Shirt"/>
    <s v="Clothing"/>
    <s v="Instagram"/>
    <x v="4"/>
    <s v="New"/>
    <s v="Christmas Promo"/>
    <n v="2"/>
    <n v="17632"/>
    <n v="35264"/>
    <n v="5289.6"/>
    <n v="0.15"/>
    <n v="29974.400000000001"/>
    <n v="22284.880000000001"/>
    <n v="7689.52"/>
  </r>
  <r>
    <s v="ORD-01046"/>
    <d v="2025-12-13T00:00:00"/>
    <s v="Cap"/>
    <s v="Accessories"/>
    <s v="Physical Store"/>
    <x v="4"/>
    <s v="New"/>
    <s v="Christmas Promo"/>
    <n v="4"/>
    <n v="12137"/>
    <n v="48548"/>
    <n v="2427.4"/>
    <n v="0.05"/>
    <n v="46120.6"/>
    <n v="31084.04"/>
    <n v="15036.559999999998"/>
  </r>
  <r>
    <s v="ORD-00556"/>
    <d v="2025-12-14T00:00:00"/>
    <s v="Hoodie"/>
    <s v="Clothing"/>
    <s v="WhatsApp"/>
    <x v="2"/>
    <s v="New"/>
    <s v="Christmas Promo"/>
    <n v="2"/>
    <n v="39977"/>
    <n v="79954"/>
    <n v="11993.1"/>
    <n v="0.15"/>
    <n v="67960.899999999994"/>
    <n v="45000.21"/>
    <n v="22960.689999999995"/>
  </r>
  <r>
    <s v="ORD-00466"/>
    <d v="2025-12-14T00:00:00"/>
    <s v="Sneakers"/>
    <s v="Footwear"/>
    <s v="Physical Store"/>
    <x v="1"/>
    <s v="New"/>
    <s v="Christmas Promo"/>
    <n v="2"/>
    <n v="61426"/>
    <n v="122852"/>
    <n v="24570.400000000001"/>
    <n v="0.2"/>
    <n v="98281.600000000006"/>
    <n v="72931.55"/>
    <n v="25350.050000000003"/>
  </r>
  <r>
    <s v="ORD-00682"/>
    <d v="2025-12-14T00:00:00"/>
    <s v="Cap"/>
    <s v="Accessories"/>
    <s v="Website"/>
    <x v="0"/>
    <s v="Returning"/>
    <s v="None"/>
    <n v="2"/>
    <n v="11932"/>
    <n v="23864"/>
    <n v="0"/>
    <n v="0"/>
    <n v="23864"/>
    <n v="13600.57"/>
    <n v="10263.43"/>
  </r>
  <r>
    <s v="ORD-00979"/>
    <d v="2025-12-14T00:00:00"/>
    <s v="Polo Shirt"/>
    <s v="Clothing"/>
    <s v="Physical Store"/>
    <x v="4"/>
    <s v="New"/>
    <s v="None"/>
    <n v="2"/>
    <n v="25490"/>
    <n v="50980"/>
    <n v="0"/>
    <n v="0"/>
    <n v="50980"/>
    <n v="32315.16"/>
    <n v="18664.84"/>
  </r>
  <r>
    <s v="ORD-00732"/>
    <d v="2025-12-15T00:00:00"/>
    <s v="Polo Shirt"/>
    <s v="Clothing"/>
    <s v="WhatsApp"/>
    <x v="4"/>
    <s v="Returning"/>
    <s v="Christmas Promo"/>
    <n v="1"/>
    <n v="25356"/>
    <n v="25356"/>
    <n v="2535.6"/>
    <n v="0.1"/>
    <n v="22820.400000000001"/>
    <n v="15949.66"/>
    <n v="6870.7400000000016"/>
  </r>
  <r>
    <s v="ORD-00562"/>
    <d v="2025-12-17T00:00:00"/>
    <s v="Belt"/>
    <s v="Accessories"/>
    <s v="Instagram"/>
    <x v="0"/>
    <s v="Returning"/>
    <s v="None"/>
    <n v="1"/>
    <n v="13943"/>
    <n v="13943"/>
    <n v="0"/>
    <n v="0"/>
    <n v="13943"/>
    <n v="7610.3"/>
    <n v="6332.7"/>
  </r>
  <r>
    <s v="ORD-00426"/>
    <d v="2025-12-18T00:00:00"/>
    <s v="T-Shirt"/>
    <s v="Clothing"/>
    <s v="WhatsApp"/>
    <x v="1"/>
    <s v="Returning"/>
    <s v="Christmas Promo"/>
    <n v="3"/>
    <n v="18376"/>
    <n v="55128"/>
    <n v="5512.8"/>
    <n v="0.1"/>
    <n v="49615.199999999997"/>
    <n v="31775.97"/>
    <n v="17839.229999999996"/>
  </r>
  <r>
    <s v="ORD-00658"/>
    <d v="2025-12-19T00:00:00"/>
    <s v="Belt"/>
    <s v="Accessories"/>
    <s v="WhatsApp"/>
    <x v="4"/>
    <s v="New"/>
    <s v="Christmas Promo"/>
    <n v="3"/>
    <n v="14265"/>
    <n v="42795"/>
    <n v="2139.75"/>
    <n v="0.05"/>
    <n v="40655.25"/>
    <n v="26859.43"/>
    <n v="13795.82"/>
  </r>
  <r>
    <s v="ORD-00064"/>
    <d v="2025-12-20T00:00:00"/>
    <s v="Hoodie"/>
    <s v="Clothing"/>
    <s v="Physical Store"/>
    <x v="3"/>
    <s v="New"/>
    <s v="None"/>
    <n v="2"/>
    <n v="37195"/>
    <n v="74390"/>
    <n v="0"/>
    <n v="0"/>
    <n v="74390"/>
    <n v="48019.31"/>
    <n v="26370.690000000002"/>
  </r>
  <r>
    <s v="ORD-00984"/>
    <d v="2025-12-21T00:00:00"/>
    <s v="Dress"/>
    <s v="Clothing"/>
    <s v="Instagram"/>
    <x v="3"/>
    <s v="New"/>
    <s v="Christmas Promo"/>
    <n v="1"/>
    <n v="50869"/>
    <n v="50869"/>
    <n v="10173.799999999999"/>
    <n v="0.2"/>
    <n v="40695.199999999997"/>
    <n v="30979.32"/>
    <n v="9715.8799999999974"/>
  </r>
  <r>
    <s v="ORD-01111"/>
    <d v="2025-12-22T00:00:00"/>
    <s v="Belt"/>
    <s v="Accessories"/>
    <s v="Instagram"/>
    <x v="0"/>
    <s v="Returning"/>
    <s v="Christmas Promo"/>
    <n v="1"/>
    <n v="14418"/>
    <n v="14418"/>
    <n v="2162.6999999999998"/>
    <n v="0.15"/>
    <n v="12255.3"/>
    <n v="7293.34"/>
    <n v="4961.9599999999991"/>
  </r>
  <r>
    <s v="ORD-00909"/>
    <d v="2025-12-23T00:00:00"/>
    <s v="T-Shirt"/>
    <s v="Clothing"/>
    <s v="WhatsApp"/>
    <x v="1"/>
    <s v="New"/>
    <s v="Christmas Promo"/>
    <n v="3"/>
    <n v="18149"/>
    <n v="54447"/>
    <n v="5444.7"/>
    <n v="0.1"/>
    <n v="49002.3"/>
    <n v="34230.86"/>
    <n v="14771.440000000002"/>
  </r>
  <r>
    <s v="ORD-00737"/>
    <d v="2025-12-24T00:00:00"/>
    <s v="Belt"/>
    <s v="Accessories"/>
    <s v="Website"/>
    <x v="3"/>
    <s v="New"/>
    <s v="Christmas Promo"/>
    <n v="2"/>
    <n v="14795"/>
    <n v="29590"/>
    <n v="2959"/>
    <n v="0.1"/>
    <n v="26631"/>
    <n v="18262.22"/>
    <n v="8368.7799999999988"/>
  </r>
  <r>
    <s v="ORD-00772"/>
    <d v="2025-12-25T00:00:00"/>
    <s v="Belt"/>
    <s v="Accessories"/>
    <s v="WhatsApp"/>
    <x v="4"/>
    <s v="New"/>
    <s v="None"/>
    <n v="3"/>
    <n v="15797"/>
    <n v="47391"/>
    <n v="0"/>
    <n v="0"/>
    <n v="47391"/>
    <n v="26765.78"/>
    <n v="20625.22"/>
  </r>
  <r>
    <s v="ORD-00100"/>
    <d v="2025-12-26T00:00:00"/>
    <s v="Hoodie"/>
    <s v="Clothing"/>
    <s v="Physical Store"/>
    <x v="3"/>
    <s v="New"/>
    <s v="None"/>
    <n v="4"/>
    <n v="36411"/>
    <n v="145644"/>
    <n v="0"/>
    <n v="0"/>
    <n v="145644"/>
    <n v="98600.69"/>
    <n v="47043.31"/>
  </r>
  <r>
    <s v="ORD-00662"/>
    <d v="2025-12-26T00:00:00"/>
    <s v="Handbag"/>
    <s v="Accessories"/>
    <s v="WhatsApp"/>
    <x v="2"/>
    <s v="New"/>
    <s v="Christmas Promo"/>
    <n v="3"/>
    <n v="44087"/>
    <n v="132261"/>
    <n v="13226.1"/>
    <n v="0.1"/>
    <n v="119034.9"/>
    <n v="78804.539999999994"/>
    <n v="40230.36"/>
  </r>
  <r>
    <s v="ORD-00290"/>
    <d v="2025-12-27T00:00:00"/>
    <s v="Sandals"/>
    <s v="Footwear"/>
    <s v="Website"/>
    <x v="3"/>
    <s v="Returning"/>
    <s v="None"/>
    <n v="1"/>
    <n v="30739"/>
    <n v="30739"/>
    <n v="0"/>
    <n v="0"/>
    <n v="30739"/>
    <n v="16796.46"/>
    <n v="13942.54"/>
  </r>
  <r>
    <s v="ORD-01089"/>
    <d v="2025-12-27T00:00:00"/>
    <s v="Polo Shirt"/>
    <s v="Clothing"/>
    <s v="Website"/>
    <x v="4"/>
    <s v="Returning"/>
    <s v="Christmas Promo"/>
    <n v="3"/>
    <n v="26054"/>
    <n v="78162"/>
    <n v="7816.2"/>
    <n v="0.1"/>
    <n v="70345.8"/>
    <n v="42564.13"/>
    <n v="27781.670000000006"/>
  </r>
  <r>
    <s v="ORD-01170"/>
    <d v="2025-12-27T00:00:00"/>
    <s v="Belt"/>
    <s v="Accessories"/>
    <s v="Website"/>
    <x v="4"/>
    <s v="New"/>
    <s v="Christmas Promo"/>
    <n v="1"/>
    <n v="15230"/>
    <n v="15230"/>
    <n v="2284.5"/>
    <n v="0.15"/>
    <n v="12945.5"/>
    <n v="7352.01"/>
    <n v="5593.49"/>
  </r>
  <r>
    <s v="ORD-00385"/>
    <d v="2025-12-27T00:00:00"/>
    <s v="Sandals"/>
    <s v="Footwear"/>
    <s v="Physical Store"/>
    <x v="4"/>
    <s v="New"/>
    <s v="Christmas Promo"/>
    <n v="3"/>
    <n v="29666"/>
    <n v="88998"/>
    <n v="17799.599999999999"/>
    <n v="0.2"/>
    <n v="71198.399999999994"/>
    <n v="51839.43"/>
    <n v="19358.969999999994"/>
  </r>
  <r>
    <s v="ORD-00397"/>
    <d v="2025-12-29T00:00:00"/>
    <s v="Handbag"/>
    <s v="Accessories"/>
    <s v="Website"/>
    <x v="1"/>
    <s v="Returning"/>
    <s v="Christmas Promo"/>
    <n v="3"/>
    <n v="46482"/>
    <n v="139446"/>
    <n v="6972.3"/>
    <n v="0.05"/>
    <n v="132473.70000000001"/>
    <n v="90058.43"/>
    <n v="42415.270000000019"/>
  </r>
  <r>
    <s v="ORD-00416"/>
    <d v="2025-12-29T00:00:00"/>
    <s v="Sandals"/>
    <s v="Footwear"/>
    <s v="Website"/>
    <x v="4"/>
    <s v="New"/>
    <s v="Christmas Promo"/>
    <n v="3"/>
    <n v="29689"/>
    <n v="89067"/>
    <n v="13360.05"/>
    <n v="0.15"/>
    <n v="75706.95"/>
    <n v="55564.36"/>
    <n v="20142.589999999997"/>
  </r>
  <r>
    <s v="ORD-00055"/>
    <d v="2025-12-30T00:00:00"/>
    <s v="Sneakers"/>
    <s v="Footwear"/>
    <s v="Website"/>
    <x v="4"/>
    <s v="Returning"/>
    <s v="None"/>
    <n v="2"/>
    <n v="61456"/>
    <n v="122912"/>
    <n v="0"/>
    <n v="0"/>
    <n v="122912"/>
    <n v="61889.86"/>
    <n v="61022.14"/>
  </r>
  <r>
    <s v="ORD-00152"/>
    <d v="2025-12-30T00:00:00"/>
    <s v="Polo Shirt"/>
    <s v="Clothing"/>
    <s v="Website"/>
    <x v="4"/>
    <s v="Returning"/>
    <s v="Christmas Promo"/>
    <n v="1"/>
    <n v="23968"/>
    <n v="23968"/>
    <n v="3595.2"/>
    <n v="0.15"/>
    <n v="20372.8"/>
    <n v="12200.65"/>
    <n v="8172.15"/>
  </r>
  <r>
    <s v="ORD-01009"/>
    <d v="2025-12-31T00:00:00"/>
    <s v="Sandals"/>
    <s v="Footwear"/>
    <s v="Website"/>
    <x v="3"/>
    <s v="New"/>
    <s v="Christmas Promo"/>
    <n v="2"/>
    <n v="30875"/>
    <n v="61750"/>
    <n v="6175"/>
    <n v="0.1"/>
    <n v="55575"/>
    <n v="38206.18"/>
    <n v="17368.82"/>
  </r>
  <r>
    <s v="ORD-00511"/>
    <d v="2026-01-01T00:00:00"/>
    <s v="Dress"/>
    <s v="Clothing"/>
    <s v="Instagram"/>
    <x v="3"/>
    <s v="New"/>
    <s v="None"/>
    <n v="5"/>
    <n v="48283"/>
    <n v="241415"/>
    <n v="0"/>
    <n v="0"/>
    <n v="241415"/>
    <n v="121165.34"/>
    <n v="120249.66"/>
  </r>
  <r>
    <s v="ORD-00519"/>
    <d v="2026-01-01T00:00:00"/>
    <s v="Jeans"/>
    <s v="Clothing"/>
    <s v="Website"/>
    <x v="2"/>
    <s v="New"/>
    <s v="None"/>
    <n v="5"/>
    <n v="43436"/>
    <n v="217180"/>
    <n v="0"/>
    <n v="0"/>
    <n v="217180"/>
    <n v="133232.63"/>
    <n v="83947.37"/>
  </r>
  <r>
    <s v="ORD-00443"/>
    <d v="2026-01-02T00:00:00"/>
    <s v="Polo Shirt"/>
    <s v="Clothing"/>
    <s v="Website"/>
    <x v="3"/>
    <s v="Returning"/>
    <s v="None"/>
    <n v="5"/>
    <n v="23038"/>
    <n v="115190"/>
    <n v="0"/>
    <n v="0"/>
    <n v="115190"/>
    <n v="63950.09"/>
    <n v="51239.91"/>
  </r>
  <r>
    <s v="ORD-00427"/>
    <d v="2026-01-04T00:00:00"/>
    <s v="Handbag"/>
    <s v="Accessories"/>
    <s v="Website"/>
    <x v="4"/>
    <s v="New"/>
    <s v="None"/>
    <n v="2"/>
    <n v="47972"/>
    <n v="95944"/>
    <n v="9594.4"/>
    <n v="0.1"/>
    <n v="86349.6"/>
    <n v="56538.02"/>
    <n v="29811.580000000009"/>
  </r>
  <r>
    <s v="ORD-00952"/>
    <d v="2026-01-04T00:00:00"/>
    <s v="Cap"/>
    <s v="Accessories"/>
    <s v="WhatsApp"/>
    <x v="1"/>
    <s v="New"/>
    <s v="None"/>
    <n v="1"/>
    <n v="11556"/>
    <n v="11556"/>
    <n v="0"/>
    <n v="0"/>
    <n v="11556"/>
    <n v="6949.45"/>
    <n v="4606.55"/>
  </r>
  <r>
    <s v="ORD-00499"/>
    <d v="2026-01-05T00:00:00"/>
    <s v="Cap"/>
    <s v="Accessories"/>
    <s v="Website"/>
    <x v="0"/>
    <s v="New"/>
    <s v="None"/>
    <n v="1"/>
    <n v="11431"/>
    <n v="11431"/>
    <n v="0"/>
    <n v="0"/>
    <n v="11431"/>
    <n v="5698.42"/>
    <n v="5732.58"/>
  </r>
  <r>
    <s v="ORD-00983"/>
    <d v="2026-01-05T00:00:00"/>
    <s v="Sneakers"/>
    <s v="Footwear"/>
    <s v="WhatsApp"/>
    <x v="0"/>
    <s v="Returning"/>
    <s v="None"/>
    <n v="4"/>
    <n v="66522"/>
    <n v="266088"/>
    <n v="0"/>
    <n v="0"/>
    <n v="266088"/>
    <n v="130447.32"/>
    <n v="135640.68"/>
  </r>
  <r>
    <s v="ORD-01188"/>
    <d v="2026-01-07T00:00:00"/>
    <s v="Sneakers"/>
    <s v="Footwear"/>
    <s v="Instagram"/>
    <x v="4"/>
    <s v="New"/>
    <s v="None"/>
    <n v="5"/>
    <n v="69881"/>
    <n v="349405"/>
    <n v="0"/>
    <n v="0"/>
    <n v="349405"/>
    <n v="208760.18"/>
    <n v="140644.82"/>
  </r>
  <r>
    <s v="ORD-00591"/>
    <d v="2026-01-07T00:00:00"/>
    <s v="Sandals"/>
    <s v="Footwear"/>
    <s v="Physical Store"/>
    <x v="3"/>
    <s v="Returning"/>
    <s v="None"/>
    <n v="1"/>
    <n v="29084"/>
    <n v="29084"/>
    <n v="0"/>
    <n v="0"/>
    <n v="29084"/>
    <n v="14054.11"/>
    <n v="15029.89"/>
  </r>
  <r>
    <s v="ORD-00678"/>
    <d v="2026-01-08T00:00:00"/>
    <s v="Hoodie"/>
    <s v="Clothing"/>
    <s v="Website"/>
    <x v="3"/>
    <s v="Returning"/>
    <s v="None"/>
    <n v="3"/>
    <n v="37013"/>
    <n v="111039"/>
    <n v="0"/>
    <n v="0"/>
    <n v="111039"/>
    <n v="69918.17"/>
    <n v="41120.83"/>
  </r>
  <r>
    <s v="ORD-00404"/>
    <d v="2026-01-08T00:00:00"/>
    <s v="Polo Shirt"/>
    <s v="Clothing"/>
    <s v="WhatsApp"/>
    <x v="4"/>
    <s v="Returning"/>
    <s v="None"/>
    <n v="2"/>
    <n v="25215"/>
    <n v="50430"/>
    <n v="0"/>
    <n v="0"/>
    <n v="50430"/>
    <n v="26177.79"/>
    <n v="24252.21"/>
  </r>
  <r>
    <s v="ORD-01116"/>
    <d v="2026-01-08T00:00:00"/>
    <s v="T-Shirt"/>
    <s v="Clothing"/>
    <s v="WhatsApp"/>
    <x v="0"/>
    <s v="New"/>
    <s v="None"/>
    <n v="3"/>
    <n v="16848"/>
    <n v="50544"/>
    <n v="0"/>
    <n v="0"/>
    <n v="50544"/>
    <n v="28334.69"/>
    <n v="22209.31"/>
  </r>
  <r>
    <s v="ORD-00514"/>
    <d v="2026-01-09T00:00:00"/>
    <s v="Dress"/>
    <s v="Clothing"/>
    <s v="WhatsApp"/>
    <x v="4"/>
    <s v="New"/>
    <s v="None"/>
    <n v="3"/>
    <n v="48150"/>
    <n v="144450"/>
    <n v="0"/>
    <n v="0"/>
    <n v="144450"/>
    <n v="94127.63"/>
    <n v="50322.369999999995"/>
  </r>
  <r>
    <s v="ORD-00325"/>
    <d v="2026-01-10T00:00:00"/>
    <s v="Cap"/>
    <s v="Accessories"/>
    <s v="Instagram"/>
    <x v="3"/>
    <s v="New"/>
    <s v="None"/>
    <n v="1"/>
    <n v="12915"/>
    <n v="12915"/>
    <n v="0"/>
    <n v="0"/>
    <n v="12915"/>
    <n v="6425.6"/>
    <n v="6489.4"/>
  </r>
  <r>
    <s v="ORD-00115"/>
    <d v="2026-01-12T00:00:00"/>
    <s v="Handbag"/>
    <s v="Accessories"/>
    <s v="Website"/>
    <x v="2"/>
    <s v="Returning"/>
    <s v="None"/>
    <n v="3"/>
    <n v="47444"/>
    <n v="142332"/>
    <n v="0"/>
    <n v="0"/>
    <n v="142332"/>
    <n v="86006.8"/>
    <n v="56325.2"/>
  </r>
  <r>
    <s v="ORD-01031"/>
    <d v="2026-01-13T00:00:00"/>
    <s v="Sandals"/>
    <s v="Footwear"/>
    <s v="Physical Store"/>
    <x v="3"/>
    <s v="Returning"/>
    <s v="None"/>
    <n v="2"/>
    <n v="28999"/>
    <n v="57998"/>
    <n v="0"/>
    <n v="0"/>
    <n v="57998"/>
    <n v="37760.35"/>
    <n v="20237.650000000001"/>
  </r>
  <r>
    <s v="ORD-00966"/>
    <d v="2026-01-15T00:00:00"/>
    <s v="Sneakers"/>
    <s v="Footwear"/>
    <s v="Physical Store"/>
    <x v="2"/>
    <s v="Returning"/>
    <s v="None"/>
    <n v="1"/>
    <n v="65130"/>
    <n v="65130"/>
    <n v="0"/>
    <n v="0"/>
    <n v="65130"/>
    <n v="42471.42"/>
    <n v="22658.58"/>
  </r>
  <r>
    <s v="ORD-00698"/>
    <d v="2026-01-17T00:00:00"/>
    <s v="Jeans"/>
    <s v="Clothing"/>
    <s v="WhatsApp"/>
    <x v="1"/>
    <s v="New"/>
    <s v="None"/>
    <n v="3"/>
    <n v="42972"/>
    <n v="128916"/>
    <n v="12891.6"/>
    <n v="0.1"/>
    <n v="116024.4"/>
    <n v="63147.199999999997"/>
    <n v="52877.2"/>
  </r>
  <r>
    <s v="ORD-00019"/>
    <d v="2026-01-17T00:00:00"/>
    <s v="Hoodie"/>
    <s v="Clothing"/>
    <s v="Instagram"/>
    <x v="0"/>
    <s v="New"/>
    <s v="None"/>
    <n v="4"/>
    <n v="39929"/>
    <n v="159716"/>
    <n v="0"/>
    <n v="0"/>
    <n v="159716"/>
    <n v="97221.61"/>
    <n v="62494.39"/>
  </r>
  <r>
    <s v="ORD-01128"/>
    <d v="2026-01-17T00:00:00"/>
    <s v="Hoodie"/>
    <s v="Clothing"/>
    <s v="Physical Store"/>
    <x v="2"/>
    <s v="Returning"/>
    <s v="None"/>
    <n v="4"/>
    <n v="35474"/>
    <n v="141896"/>
    <n v="0"/>
    <n v="0"/>
    <n v="141896"/>
    <n v="82790.259999999995"/>
    <n v="59105.740000000005"/>
  </r>
  <r>
    <s v="ORD-00121"/>
    <d v="2026-01-18T00:00:00"/>
    <s v="Dress"/>
    <s v="Clothing"/>
    <s v="Website"/>
    <x v="4"/>
    <s v="Returning"/>
    <s v="None"/>
    <n v="2"/>
    <n v="51116"/>
    <n v="102232"/>
    <n v="0"/>
    <n v="0"/>
    <n v="102232"/>
    <n v="51764.02"/>
    <n v="50467.98"/>
  </r>
  <r>
    <s v="ORD-00225"/>
    <d v="2026-01-19T00:00:00"/>
    <s v="Handbag"/>
    <s v="Accessories"/>
    <s v="Website"/>
    <x v="3"/>
    <s v="New"/>
    <s v="None"/>
    <n v="1"/>
    <n v="45837"/>
    <n v="45837"/>
    <n v="0"/>
    <n v="0"/>
    <n v="45837"/>
    <n v="25813.34"/>
    <n v="20023.66"/>
  </r>
  <r>
    <s v="ORD-00675"/>
    <d v="2026-01-19T00:00:00"/>
    <s v="Jeans"/>
    <s v="Clothing"/>
    <s v="Physical Store"/>
    <x v="3"/>
    <s v="Returning"/>
    <s v="None"/>
    <n v="2"/>
    <n v="42667"/>
    <n v="85334"/>
    <n v="0"/>
    <n v="0"/>
    <n v="85334"/>
    <n v="42826.68"/>
    <n v="42507.32"/>
  </r>
  <r>
    <s v="ORD-01039"/>
    <d v="2026-01-20T00:00:00"/>
    <s v="Belt"/>
    <s v="Accessories"/>
    <s v="Instagram"/>
    <x v="4"/>
    <s v="Returning"/>
    <s v="None"/>
    <n v="2"/>
    <n v="15343"/>
    <n v="30686"/>
    <n v="3068.6"/>
    <n v="0.1"/>
    <n v="27617.4"/>
    <n v="20688.36"/>
    <n v="6929.0400000000009"/>
  </r>
  <r>
    <s v="ORD-00446"/>
    <d v="2026-01-20T00:00:00"/>
    <s v="Hoodie"/>
    <s v="Clothing"/>
    <s v="Physical Store"/>
    <x v="3"/>
    <s v="New"/>
    <s v="None"/>
    <n v="3"/>
    <n v="38665"/>
    <n v="115995"/>
    <n v="11599.5"/>
    <n v="0.1"/>
    <n v="104395.5"/>
    <n v="74051.05"/>
    <n v="30344.449999999997"/>
  </r>
  <r>
    <s v="ORD-00164"/>
    <d v="2026-01-21T00:00:00"/>
    <s v="Belt"/>
    <s v="Accessories"/>
    <s v="WhatsApp"/>
    <x v="4"/>
    <s v="Returning"/>
    <s v="None"/>
    <n v="5"/>
    <n v="14278"/>
    <n v="71390"/>
    <n v="7139"/>
    <n v="0.1"/>
    <n v="64251"/>
    <n v="38370.83"/>
    <n v="25880.17"/>
  </r>
  <r>
    <s v="ORD-00520"/>
    <d v="2026-01-21T00:00:00"/>
    <s v="Cap"/>
    <s v="Accessories"/>
    <s v="Physical Store"/>
    <x v="0"/>
    <s v="New"/>
    <s v="None"/>
    <n v="1"/>
    <n v="11370"/>
    <n v="11370"/>
    <n v="0"/>
    <n v="0"/>
    <n v="11370"/>
    <n v="6851.83"/>
    <n v="4518.17"/>
  </r>
  <r>
    <s v="ORD-01165"/>
    <d v="2026-01-22T00:00:00"/>
    <s v="Polo Shirt"/>
    <s v="Clothing"/>
    <s v="WhatsApp"/>
    <x v="0"/>
    <s v="New"/>
    <s v="None"/>
    <n v="3"/>
    <n v="24188"/>
    <n v="72564"/>
    <n v="0"/>
    <n v="0"/>
    <n v="72564"/>
    <n v="37529.43"/>
    <n v="35034.57"/>
  </r>
  <r>
    <s v="ORD-00470"/>
    <d v="2026-01-23T00:00:00"/>
    <s v="Sneakers"/>
    <s v="Footwear"/>
    <s v="Physical Store"/>
    <x v="4"/>
    <s v="Returning"/>
    <s v="None"/>
    <n v="1"/>
    <n v="60686"/>
    <n v="60686"/>
    <n v="0"/>
    <n v="0"/>
    <n v="60686"/>
    <n v="35188.01"/>
    <n v="25497.989999999998"/>
  </r>
  <r>
    <s v="ORD-00383"/>
    <d v="2026-01-23T00:00:00"/>
    <s v="Dress"/>
    <s v="Clothing"/>
    <s v="Physical Store"/>
    <x v="4"/>
    <s v="New"/>
    <s v="None"/>
    <n v="1"/>
    <n v="51286"/>
    <n v="51286"/>
    <n v="0"/>
    <n v="0"/>
    <n v="51286"/>
    <n v="27813.13"/>
    <n v="23472.87"/>
  </r>
  <r>
    <s v="ORD-00827"/>
    <d v="2026-01-24T00:00:00"/>
    <s v="Cap"/>
    <s v="Accessories"/>
    <s v="WhatsApp"/>
    <x v="2"/>
    <s v="Returning"/>
    <s v="None"/>
    <n v="1"/>
    <n v="12651"/>
    <n v="12651"/>
    <n v="0"/>
    <n v="0"/>
    <n v="12651"/>
    <n v="7343.34"/>
    <n v="5307.66"/>
  </r>
  <r>
    <s v="ORD-01036"/>
    <d v="2026-01-27T00:00:00"/>
    <s v="Hoodie"/>
    <s v="Clothing"/>
    <s v="Physical Store"/>
    <x v="2"/>
    <s v="New"/>
    <s v="None"/>
    <n v="1"/>
    <n v="35445"/>
    <n v="35445"/>
    <n v="0"/>
    <n v="0"/>
    <n v="35445"/>
    <n v="17665.05"/>
    <n v="17779.95"/>
  </r>
  <r>
    <s v="ORD-01120"/>
    <d v="2026-01-28T00:00:00"/>
    <s v="Handbag"/>
    <s v="Accessories"/>
    <s v="Website"/>
    <x v="2"/>
    <s v="New"/>
    <s v="None"/>
    <n v="1"/>
    <n v="42828"/>
    <n v="42828"/>
    <n v="0"/>
    <n v="0"/>
    <n v="42828"/>
    <n v="22974.9"/>
    <n v="19853.099999999999"/>
  </r>
  <r>
    <s v="ORD-00936"/>
    <d v="2026-01-28T00:00:00"/>
    <s v="Belt"/>
    <s v="Accessories"/>
    <s v="WhatsApp"/>
    <x v="4"/>
    <s v="New"/>
    <s v="None"/>
    <n v="2"/>
    <n v="15992"/>
    <n v="31984"/>
    <n v="0"/>
    <n v="0"/>
    <n v="31984"/>
    <n v="18993.060000000001"/>
    <n v="12990.939999999999"/>
  </r>
  <r>
    <s v="ORD-00603"/>
    <d v="2026-01-28T00:00:00"/>
    <s v="T-Shirt"/>
    <s v="Clothing"/>
    <s v="Physical Store"/>
    <x v="0"/>
    <s v="New"/>
    <s v="None"/>
    <n v="2"/>
    <n v="17906"/>
    <n v="35812"/>
    <n v="0"/>
    <n v="0"/>
    <n v="35812"/>
    <n v="24077.21"/>
    <n v="11734.79"/>
  </r>
  <r>
    <s v="ORD-00712"/>
    <d v="2026-01-28T00:00:00"/>
    <s v="Cap"/>
    <s v="Accessories"/>
    <s v="Instagram"/>
    <x v="3"/>
    <s v="New"/>
    <s v="None"/>
    <n v="3"/>
    <n v="11343"/>
    <n v="34029"/>
    <n v="1701.45"/>
    <n v="0.05"/>
    <n v="32327.55"/>
    <n v="20456.189999999999"/>
    <n v="11871.36"/>
  </r>
  <r>
    <s v="ORD-00273"/>
    <d v="2026-01-28T00:00:00"/>
    <s v="Dress"/>
    <s v="Clothing"/>
    <s v="Instagram"/>
    <x v="0"/>
    <s v="New"/>
    <s v="None"/>
    <n v="3"/>
    <n v="51419"/>
    <n v="154257"/>
    <n v="0"/>
    <n v="0"/>
    <n v="154257"/>
    <n v="102708.78"/>
    <n v="51548.22"/>
  </r>
  <r>
    <s v="ORD-00399"/>
    <d v="2026-01-30T00:00:00"/>
    <s v="Handbag"/>
    <s v="Accessories"/>
    <s v="WhatsApp"/>
    <x v="2"/>
    <s v="Returning"/>
    <s v="None"/>
    <n v="1"/>
    <n v="43658"/>
    <n v="43658"/>
    <n v="0"/>
    <n v="0"/>
    <n v="43658"/>
    <n v="24063.919999999998"/>
    <n v="19594.080000000002"/>
  </r>
  <r>
    <s v="ORD-00619"/>
    <d v="2026-01-30T00:00:00"/>
    <s v="T-Shirt"/>
    <s v="Clothing"/>
    <s v="Physical Store"/>
    <x v="4"/>
    <s v="New"/>
    <s v="None"/>
    <n v="1"/>
    <n v="16983"/>
    <n v="16983"/>
    <n v="0"/>
    <n v="0"/>
    <n v="16983"/>
    <n v="11457.98"/>
    <n v="5525.02"/>
  </r>
  <r>
    <s v="ORD-00940"/>
    <d v="2026-01-30T00:00:00"/>
    <s v="Hoodie"/>
    <s v="Clothing"/>
    <s v="Physical Store"/>
    <x v="2"/>
    <s v="New"/>
    <s v="None"/>
    <n v="5"/>
    <n v="36297"/>
    <n v="181485"/>
    <n v="0"/>
    <n v="0"/>
    <n v="181485"/>
    <n v="111627.95"/>
    <n v="69857.05"/>
  </r>
  <r>
    <s v="ORD-00361"/>
    <d v="2026-01-31T00:00:00"/>
    <s v="Sandals"/>
    <s v="Footwear"/>
    <s v="Website"/>
    <x v="4"/>
    <s v="New"/>
    <s v="None"/>
    <n v="1"/>
    <n v="27892"/>
    <n v="27892"/>
    <n v="0"/>
    <n v="0"/>
    <n v="27892"/>
    <n v="17373.45"/>
    <n v="10518.55"/>
  </r>
  <r>
    <s v="ORD-00884"/>
    <d v="2026-02-01T00:00:00"/>
    <s v="Belt"/>
    <s v="Accessories"/>
    <s v="WhatsApp"/>
    <x v="4"/>
    <s v="New"/>
    <s v="None"/>
    <n v="2"/>
    <n v="15440"/>
    <n v="30880"/>
    <n v="0"/>
    <n v="0"/>
    <n v="30880"/>
    <n v="19365.73"/>
    <n v="11514.27"/>
  </r>
  <r>
    <s v="ORD-00580"/>
    <d v="2026-02-01T00:00:00"/>
    <s v="Hoodie"/>
    <s v="Clothing"/>
    <s v="WhatsApp"/>
    <x v="4"/>
    <s v="Returning"/>
    <s v="Valentine Promo"/>
    <n v="3"/>
    <n v="37710"/>
    <n v="113130"/>
    <n v="11313"/>
    <n v="0.1"/>
    <n v="101817"/>
    <n v="68711.12"/>
    <n v="33105.880000000005"/>
  </r>
  <r>
    <s v="ORD-00070"/>
    <d v="2026-02-02T00:00:00"/>
    <s v="Handbag"/>
    <s v="Accessories"/>
    <s v="Physical Store"/>
    <x v="4"/>
    <s v="Returning"/>
    <s v="Valentine Promo"/>
    <n v="3"/>
    <n v="42010"/>
    <n v="126030"/>
    <n v="6301.5"/>
    <n v="0.05"/>
    <n v="119728.5"/>
    <n v="62311.360000000001"/>
    <n v="57417.14"/>
  </r>
  <r>
    <s v="ORD-00590"/>
    <d v="2026-02-02T00:00:00"/>
    <s v="Hoodie"/>
    <s v="Clothing"/>
    <s v="Website"/>
    <x v="4"/>
    <s v="New"/>
    <s v="None"/>
    <n v="1"/>
    <n v="38433"/>
    <n v="38433"/>
    <n v="5764.95"/>
    <n v="0.15"/>
    <n v="32668.05"/>
    <n v="22469.15"/>
    <n v="10198.899999999998"/>
  </r>
  <r>
    <s v="ORD-00493"/>
    <d v="2026-02-02T00:00:00"/>
    <s v="Jeans"/>
    <s v="Clothing"/>
    <s v="WhatsApp"/>
    <x v="1"/>
    <s v="New"/>
    <s v="None"/>
    <n v="2"/>
    <n v="45263"/>
    <n v="90526"/>
    <n v="0"/>
    <n v="0"/>
    <n v="90526"/>
    <n v="47863.17"/>
    <n v="42662.83"/>
  </r>
  <r>
    <s v="ORD-00170"/>
    <d v="2026-02-02T00:00:00"/>
    <s v="T-Shirt"/>
    <s v="Clothing"/>
    <s v="Physical Store"/>
    <x v="4"/>
    <s v="New"/>
    <s v="Valentine Promo"/>
    <n v="4"/>
    <n v="19259"/>
    <n v="77036"/>
    <n v="11555.4"/>
    <n v="0.15"/>
    <n v="65480.6"/>
    <n v="44271.06"/>
    <n v="21209.54"/>
  </r>
  <r>
    <s v="ORD-00158"/>
    <d v="2026-02-05T00:00:00"/>
    <s v="Cap"/>
    <s v="Accessories"/>
    <s v="Instagram"/>
    <x v="1"/>
    <s v="New"/>
    <s v="None"/>
    <n v="3"/>
    <n v="12124"/>
    <n v="36372"/>
    <n v="0"/>
    <n v="0"/>
    <n v="36372"/>
    <n v="21618.13"/>
    <n v="14753.869999999999"/>
  </r>
  <r>
    <s v="ORD-00583"/>
    <d v="2026-02-05T00:00:00"/>
    <s v="T-Shirt"/>
    <s v="Clothing"/>
    <s v="Instagram"/>
    <x v="3"/>
    <s v="Returning"/>
    <s v="Valentine Promo"/>
    <n v="2"/>
    <n v="17304"/>
    <n v="34608"/>
    <n v="3460.8"/>
    <n v="0.1"/>
    <n v="31147.200000000001"/>
    <n v="22838.52"/>
    <n v="8308.68"/>
  </r>
  <r>
    <s v="ORD-00106"/>
    <d v="2026-02-05T00:00:00"/>
    <s v="Handbag"/>
    <s v="Accessories"/>
    <s v="WhatsApp"/>
    <x v="3"/>
    <s v="Returning"/>
    <s v="None"/>
    <n v="2"/>
    <n v="47749"/>
    <n v="95498"/>
    <n v="0"/>
    <n v="0"/>
    <n v="95498"/>
    <n v="48937.63"/>
    <n v="46560.37"/>
  </r>
  <r>
    <s v="ORD-00363"/>
    <d v="2026-02-07T00:00:00"/>
    <s v="Jeans"/>
    <s v="Clothing"/>
    <s v="WhatsApp"/>
    <x v="2"/>
    <s v="New"/>
    <s v="Valentine Promo"/>
    <n v="1"/>
    <n v="39857"/>
    <n v="39857"/>
    <n v="1992.85"/>
    <n v="0.05"/>
    <n v="37864.15"/>
    <n v="22198.22"/>
    <n v="15665.93"/>
  </r>
  <r>
    <s v="ORD-00917"/>
    <d v="2026-02-07T00:00:00"/>
    <s v="Handbag"/>
    <s v="Accessories"/>
    <s v="Physical Store"/>
    <x v="2"/>
    <s v="Returning"/>
    <s v="Valentine Promo"/>
    <n v="3"/>
    <n v="46839"/>
    <n v="140517"/>
    <n v="7025.85"/>
    <n v="0.05"/>
    <n v="133491.15"/>
    <n v="80848.92"/>
    <n v="52642.229999999996"/>
  </r>
  <r>
    <s v="ORD-00010"/>
    <d v="2026-02-08T00:00:00"/>
    <s v="Belt"/>
    <s v="Accessories"/>
    <s v="Instagram"/>
    <x v="1"/>
    <s v="New"/>
    <s v="Valentine Promo"/>
    <n v="2"/>
    <n v="16161"/>
    <n v="32322"/>
    <n v="3232.2"/>
    <n v="0.1"/>
    <n v="29089.8"/>
    <n v="21294.37"/>
    <n v="7795.43"/>
  </r>
  <r>
    <s v="ORD-00574"/>
    <d v="2026-02-09T00:00:00"/>
    <s v="Handbag"/>
    <s v="Accessories"/>
    <s v="Website"/>
    <x v="0"/>
    <s v="New"/>
    <s v="Valentine Promo"/>
    <n v="3"/>
    <n v="46780"/>
    <n v="140340"/>
    <n v="21051"/>
    <n v="0.15"/>
    <n v="119289"/>
    <n v="82438.06"/>
    <n v="36850.94"/>
  </r>
  <r>
    <s v="ORD-00552"/>
    <d v="2026-02-09T00:00:00"/>
    <s v="Sandals"/>
    <s v="Footwear"/>
    <s v="Physical Store"/>
    <x v="3"/>
    <s v="New"/>
    <s v="None"/>
    <n v="2"/>
    <n v="29405"/>
    <n v="58810"/>
    <n v="0"/>
    <n v="0"/>
    <n v="58810"/>
    <n v="34414.980000000003"/>
    <n v="24395.019999999997"/>
  </r>
  <r>
    <s v="ORD-01159"/>
    <d v="2026-02-10T00:00:00"/>
    <s v="Jeans"/>
    <s v="Clothing"/>
    <s v="Physical Store"/>
    <x v="0"/>
    <s v="Returning"/>
    <s v="None"/>
    <n v="1"/>
    <n v="42155"/>
    <n v="42155"/>
    <n v="4215.5"/>
    <n v="0.1"/>
    <n v="37939.5"/>
    <n v="26360.43"/>
    <n v="11579.07"/>
  </r>
  <r>
    <s v="ORD-00309"/>
    <d v="2026-02-12T00:00:00"/>
    <s v="Sandals"/>
    <s v="Footwear"/>
    <s v="Website"/>
    <x v="1"/>
    <s v="Returning"/>
    <s v="Valentine Promo"/>
    <n v="1"/>
    <n v="28754"/>
    <n v="28754"/>
    <n v="2875.4"/>
    <n v="0.1"/>
    <n v="25878.6"/>
    <n v="18552.45"/>
    <n v="7326.1499999999978"/>
  </r>
  <r>
    <s v="ORD-00957"/>
    <d v="2026-02-13T00:00:00"/>
    <s v="Handbag"/>
    <s v="Accessories"/>
    <s v="Website"/>
    <x v="3"/>
    <s v="Returning"/>
    <s v="Valentine Promo"/>
    <n v="2"/>
    <n v="47044"/>
    <n v="94088"/>
    <n v="14113.2"/>
    <n v="0.15"/>
    <n v="79974.8"/>
    <n v="61306.84"/>
    <n v="18667.960000000006"/>
  </r>
  <r>
    <s v="ORD-00047"/>
    <d v="2026-02-14T00:00:00"/>
    <s v="Handbag"/>
    <s v="Accessories"/>
    <s v="Physical Store"/>
    <x v="4"/>
    <s v="Returning"/>
    <s v="Valentine Promo"/>
    <n v="2"/>
    <n v="46705"/>
    <n v="93410"/>
    <n v="4670.5"/>
    <n v="0.05"/>
    <n v="88739.5"/>
    <n v="48885.93"/>
    <n v="39853.57"/>
  </r>
  <r>
    <s v="ORD-00388"/>
    <d v="2026-02-14T00:00:00"/>
    <s v="Jeans"/>
    <s v="Clothing"/>
    <s v="Website"/>
    <x v="3"/>
    <s v="New"/>
    <s v="None"/>
    <n v="1"/>
    <n v="40517"/>
    <n v="40517"/>
    <n v="0"/>
    <n v="0"/>
    <n v="40517"/>
    <n v="26631.84"/>
    <n v="13885.16"/>
  </r>
  <r>
    <s v="ORD-00041"/>
    <d v="2026-02-15T00:00:00"/>
    <s v="Handbag"/>
    <s v="Accessories"/>
    <s v="WhatsApp"/>
    <x v="2"/>
    <s v="Returning"/>
    <s v="Valentine Promo"/>
    <n v="1"/>
    <n v="46061"/>
    <n v="46061"/>
    <n v="2303.0500000000002"/>
    <n v="0.05"/>
    <n v="43757.95"/>
    <n v="24352.29"/>
    <n v="19405.659999999996"/>
  </r>
  <r>
    <s v="ORD-00760"/>
    <d v="2026-02-15T00:00:00"/>
    <s v="Dress"/>
    <s v="Clothing"/>
    <s v="Physical Store"/>
    <x v="1"/>
    <s v="New"/>
    <s v="Valentine Promo"/>
    <n v="3"/>
    <n v="50166"/>
    <n v="150498"/>
    <n v="7524.9"/>
    <n v="0.05"/>
    <n v="142973.1"/>
    <n v="97227.5"/>
    <n v="45745.600000000006"/>
  </r>
  <r>
    <s v="ORD-01076"/>
    <d v="2026-02-16T00:00:00"/>
    <s v="Hoodie"/>
    <s v="Clothing"/>
    <s v="WhatsApp"/>
    <x v="2"/>
    <s v="New"/>
    <s v="None"/>
    <n v="1"/>
    <n v="35507"/>
    <n v="35507"/>
    <n v="0"/>
    <n v="0"/>
    <n v="35507"/>
    <n v="17851.23"/>
    <n v="17655.77"/>
  </r>
  <r>
    <s v="ORD-00929"/>
    <d v="2026-02-16T00:00:00"/>
    <s v="Polo Shirt"/>
    <s v="Clothing"/>
    <s v="Website"/>
    <x v="3"/>
    <s v="New"/>
    <s v="None"/>
    <n v="3"/>
    <n v="26289"/>
    <n v="78867"/>
    <n v="0"/>
    <n v="0"/>
    <n v="78867"/>
    <n v="53067.86"/>
    <n v="25799.14"/>
  </r>
  <r>
    <s v="ORD-00857"/>
    <d v="2026-02-17T00:00:00"/>
    <s v="Cap"/>
    <s v="Accessories"/>
    <s v="WhatsApp"/>
    <x v="4"/>
    <s v="Returning"/>
    <s v="None"/>
    <n v="2"/>
    <n v="12855"/>
    <n v="25710"/>
    <n v="0"/>
    <n v="0"/>
    <n v="25710"/>
    <n v="15422.37"/>
    <n v="10287.629999999999"/>
  </r>
  <r>
    <s v="ORD-00091"/>
    <d v="2026-02-18T00:00:00"/>
    <s v="Dress"/>
    <s v="Clothing"/>
    <s v="WhatsApp"/>
    <x v="2"/>
    <s v="Returning"/>
    <s v="Valentine Promo"/>
    <n v="4"/>
    <n v="52241"/>
    <n v="208964"/>
    <n v="41792.800000000003"/>
    <n v="0.2"/>
    <n v="167171.20000000001"/>
    <n v="102696.62"/>
    <n v="64474.580000000016"/>
  </r>
  <r>
    <s v="ORD-01180"/>
    <d v="2026-02-19T00:00:00"/>
    <s v="Cap"/>
    <s v="Accessories"/>
    <s v="Website"/>
    <x v="0"/>
    <s v="New"/>
    <s v="Valentine Promo"/>
    <n v="2"/>
    <n v="12529"/>
    <n v="25058"/>
    <n v="1252.9000000000001"/>
    <n v="0.05"/>
    <n v="23805.1"/>
    <n v="13093.43"/>
    <n v="10711.669999999998"/>
  </r>
  <r>
    <s v="ORD-00500"/>
    <d v="2026-02-22T00:00:00"/>
    <s v="Polo Shirt"/>
    <s v="Clothing"/>
    <s v="WhatsApp"/>
    <x v="2"/>
    <s v="New"/>
    <s v="Valentine Promo"/>
    <n v="5"/>
    <n v="24125"/>
    <n v="120625"/>
    <n v="18093.75"/>
    <n v="0.15"/>
    <n v="102531.25"/>
    <n v="59266.09"/>
    <n v="43265.16"/>
  </r>
  <r>
    <s v="ORD-00610"/>
    <d v="2026-02-23T00:00:00"/>
    <s v="Jeans"/>
    <s v="Clothing"/>
    <s v="Website"/>
    <x v="4"/>
    <s v="Returning"/>
    <s v="Valentine Promo"/>
    <n v="4"/>
    <n v="39123"/>
    <n v="156492"/>
    <n v="23473.8"/>
    <n v="0.15"/>
    <n v="133018.20000000001"/>
    <n v="105092.72"/>
    <n v="27925.48000000001"/>
  </r>
  <r>
    <s v="ORD-00759"/>
    <d v="2026-02-23T00:00:00"/>
    <s v="Belt"/>
    <s v="Accessories"/>
    <s v="Instagram"/>
    <x v="3"/>
    <s v="New"/>
    <s v="Valentine Promo"/>
    <n v="5"/>
    <n v="14590"/>
    <n v="72950"/>
    <n v="10942.5"/>
    <n v="0.15"/>
    <n v="62007.5"/>
    <n v="47378.06"/>
    <n v="14629.440000000002"/>
  </r>
  <r>
    <s v="ORD-00270"/>
    <d v="2026-02-23T00:00:00"/>
    <s v="Polo Shirt"/>
    <s v="Clothing"/>
    <s v="Instagram"/>
    <x v="0"/>
    <s v="New"/>
    <s v="Valentine Promo"/>
    <n v="1"/>
    <n v="25042"/>
    <n v="25042"/>
    <n v="2504.1999999999998"/>
    <n v="0.1"/>
    <n v="22537.8"/>
    <n v="16580.84"/>
    <n v="5956.9599999999991"/>
  </r>
  <r>
    <s v="ORD-00338"/>
    <d v="2026-02-28T00:00:00"/>
    <s v="Jeans"/>
    <s v="Clothing"/>
    <s v="Instagram"/>
    <x v="3"/>
    <s v="Returning"/>
    <s v="Valentine Promo"/>
    <n v="1"/>
    <n v="44545"/>
    <n v="44545"/>
    <n v="2227.25"/>
    <n v="0.05"/>
    <n v="42317.75"/>
    <n v="29131.88"/>
    <n v="13185.869999999999"/>
  </r>
  <r>
    <s v="ORD-00327"/>
    <d v="2026-03-01T00:00:00"/>
    <s v="T-Shirt"/>
    <s v="Clothing"/>
    <s v="Physical Store"/>
    <x v="4"/>
    <s v="New"/>
    <s v="None"/>
    <n v="3"/>
    <n v="19073"/>
    <n v="57219"/>
    <n v="0"/>
    <n v="0"/>
    <n v="57219"/>
    <n v="35821.949999999997"/>
    <n v="21397.050000000003"/>
  </r>
  <r>
    <s v="ORD-00068"/>
    <d v="2026-03-02T00:00:00"/>
    <s v="Sandals"/>
    <s v="Footwear"/>
    <s v="Instagram"/>
    <x v="1"/>
    <s v="New"/>
    <s v="Easter Sale"/>
    <n v="2"/>
    <n v="31482"/>
    <n v="62964"/>
    <n v="12592.8"/>
    <n v="0.2"/>
    <n v="50371.199999999997"/>
    <n v="33740.74"/>
    <n v="16630.46"/>
  </r>
  <r>
    <s v="ORD-00367"/>
    <d v="2026-03-02T00:00:00"/>
    <s v="Cap"/>
    <s v="Accessories"/>
    <s v="WhatsApp"/>
    <x v="4"/>
    <s v="New"/>
    <s v="None"/>
    <n v="1"/>
    <n v="11305"/>
    <n v="11305"/>
    <n v="0"/>
    <n v="0"/>
    <n v="11305"/>
    <n v="6557.03"/>
    <n v="4747.97"/>
  </r>
  <r>
    <s v="ORD-00828"/>
    <d v="2026-03-04T00:00:00"/>
    <s v="T-Shirt"/>
    <s v="Clothing"/>
    <s v="Website"/>
    <x v="2"/>
    <s v="Returning"/>
    <s v="Easter Sale"/>
    <n v="1"/>
    <n v="18654"/>
    <n v="18654"/>
    <n v="1865.4"/>
    <n v="0.1"/>
    <n v="16788.599999999999"/>
    <n v="9722.65"/>
    <n v="7065.9499999999989"/>
  </r>
  <r>
    <s v="ORD-00643"/>
    <d v="2026-03-04T00:00:00"/>
    <s v="Dress"/>
    <s v="Clothing"/>
    <s v="WhatsApp"/>
    <x v="2"/>
    <s v="New"/>
    <s v="Easter Sale"/>
    <n v="1"/>
    <n v="47077"/>
    <n v="47077"/>
    <n v="9415.4"/>
    <n v="0.2"/>
    <n v="37661.599999999999"/>
    <n v="27168.11"/>
    <n v="10493.489999999998"/>
  </r>
  <r>
    <s v="ORD-01024"/>
    <d v="2026-03-04T00:00:00"/>
    <s v="Cap"/>
    <s v="Accessories"/>
    <s v="Physical Store"/>
    <x v="0"/>
    <s v="New"/>
    <s v="None"/>
    <n v="1"/>
    <n v="12588"/>
    <n v="12588"/>
    <n v="0"/>
    <n v="0"/>
    <n v="12588"/>
    <n v="7156.3"/>
    <n v="5431.7"/>
  </r>
  <r>
    <s v="ORD-00109"/>
    <d v="2026-03-05T00:00:00"/>
    <s v="Dress"/>
    <s v="Clothing"/>
    <s v="Website"/>
    <x v="4"/>
    <s v="New"/>
    <s v="None"/>
    <n v="2"/>
    <n v="51917"/>
    <n v="103834"/>
    <n v="0"/>
    <n v="0"/>
    <n v="103834"/>
    <n v="62586.51"/>
    <n v="41247.49"/>
  </r>
  <r>
    <s v="ORD-00454"/>
    <d v="2026-03-05T00:00:00"/>
    <s v="Belt"/>
    <s v="Accessories"/>
    <s v="WhatsApp"/>
    <x v="4"/>
    <s v="Returning"/>
    <s v="Easter Sale"/>
    <n v="1"/>
    <n v="14606"/>
    <n v="14606"/>
    <n v="730.3"/>
    <n v="0.05"/>
    <n v="13875.7"/>
    <n v="9338.0400000000009"/>
    <n v="4537.66"/>
  </r>
  <r>
    <s v="ORD-00542"/>
    <d v="2026-03-05T00:00:00"/>
    <s v="Jeans"/>
    <s v="Clothing"/>
    <s v="Physical Store"/>
    <x v="1"/>
    <s v="New"/>
    <s v="Easter Sale"/>
    <n v="3"/>
    <n v="44612"/>
    <n v="133836"/>
    <n v="20075.400000000001"/>
    <n v="0.15"/>
    <n v="113760.6"/>
    <n v="70759.850000000006"/>
    <n v="43000.75"/>
  </r>
  <r>
    <s v="ORD-00130"/>
    <d v="2026-03-06T00:00:00"/>
    <s v="Dress"/>
    <s v="Clothing"/>
    <s v="Physical Store"/>
    <x v="4"/>
    <s v="New"/>
    <s v="Easter Sale"/>
    <n v="1"/>
    <n v="51927"/>
    <n v="51927"/>
    <n v="7789.05"/>
    <n v="0.15"/>
    <n v="44137.95"/>
    <n v="33534.639999999999"/>
    <n v="10603.309999999998"/>
  </r>
  <r>
    <s v="ORD-00606"/>
    <d v="2026-03-07T00:00:00"/>
    <s v="Hoodie"/>
    <s v="Clothing"/>
    <s v="WhatsApp"/>
    <x v="0"/>
    <s v="Returning"/>
    <s v="None"/>
    <n v="2"/>
    <n v="40831"/>
    <n v="81662"/>
    <n v="0"/>
    <n v="0"/>
    <n v="81662"/>
    <n v="52445.04"/>
    <n v="29216.959999999999"/>
  </r>
  <r>
    <s v="ORD-00530"/>
    <d v="2026-03-08T00:00:00"/>
    <s v="Handbag"/>
    <s v="Accessories"/>
    <s v="Physical Store"/>
    <x v="4"/>
    <s v="Returning"/>
    <s v="Easter Sale"/>
    <n v="3"/>
    <n v="47695"/>
    <n v="143085"/>
    <n v="7154.25"/>
    <n v="0.05"/>
    <n v="135930.75"/>
    <n v="89361.84"/>
    <n v="46568.91"/>
  </r>
  <r>
    <s v="ORD-00232"/>
    <d v="2026-03-08T00:00:00"/>
    <s v="Polo Shirt"/>
    <s v="Clothing"/>
    <s v="Physical Store"/>
    <x v="1"/>
    <s v="New"/>
    <s v="None"/>
    <n v="1"/>
    <n v="23280"/>
    <n v="23280"/>
    <n v="0"/>
    <n v="0"/>
    <n v="23280"/>
    <n v="14007.15"/>
    <n v="9272.85"/>
  </r>
  <r>
    <s v="ORD-00594"/>
    <d v="2026-03-08T00:00:00"/>
    <s v="T-Shirt"/>
    <s v="Clothing"/>
    <s v="Physical Store"/>
    <x v="4"/>
    <s v="New"/>
    <s v="Easter Sale"/>
    <n v="1"/>
    <n v="17823"/>
    <n v="17823"/>
    <n v="1782.3"/>
    <n v="0.1"/>
    <n v="16040.7"/>
    <n v="9020.0499999999993"/>
    <n v="7020.6500000000015"/>
  </r>
  <r>
    <s v="ORD-00771"/>
    <d v="2026-03-08T00:00:00"/>
    <s v="Cap"/>
    <s v="Accessories"/>
    <s v="Instagram"/>
    <x v="1"/>
    <s v="Returning"/>
    <s v="None"/>
    <n v="3"/>
    <n v="11163"/>
    <n v="33489"/>
    <n v="0"/>
    <n v="0"/>
    <n v="33489"/>
    <n v="18471.28"/>
    <n v="15017.720000000001"/>
  </r>
  <r>
    <s v="ORD-00928"/>
    <d v="2026-03-10T00:00:00"/>
    <s v="Handbag"/>
    <s v="Accessories"/>
    <s v="Website"/>
    <x v="3"/>
    <s v="New"/>
    <s v="None"/>
    <n v="1"/>
    <n v="45121"/>
    <n v="45121"/>
    <n v="0"/>
    <n v="0"/>
    <n v="45121"/>
    <n v="23551.94"/>
    <n v="21569.06"/>
  </r>
  <r>
    <s v="ORD-00784"/>
    <d v="2026-03-10T00:00:00"/>
    <s v="T-Shirt"/>
    <s v="Clothing"/>
    <s v="Website"/>
    <x v="2"/>
    <s v="Returning"/>
    <s v="None"/>
    <n v="1"/>
    <n v="19313"/>
    <n v="19313"/>
    <n v="0"/>
    <n v="0"/>
    <n v="19313"/>
    <n v="11036.67"/>
    <n v="8276.33"/>
  </r>
  <r>
    <s v="ORD-00214"/>
    <d v="2026-03-11T00:00:00"/>
    <s v="Handbag"/>
    <s v="Accessories"/>
    <s v="WhatsApp"/>
    <x v="0"/>
    <s v="Returning"/>
    <s v="None"/>
    <n v="2"/>
    <n v="45840"/>
    <n v="91680"/>
    <n v="0"/>
    <n v="0"/>
    <n v="91680"/>
    <n v="57536.85"/>
    <n v="34143.15"/>
  </r>
  <r>
    <s v="ORD-00332"/>
    <d v="2026-03-12T00:00:00"/>
    <s v="Jeans"/>
    <s v="Clothing"/>
    <s v="WhatsApp"/>
    <x v="4"/>
    <s v="New"/>
    <s v="Easter Sale"/>
    <n v="3"/>
    <n v="40866"/>
    <n v="122598"/>
    <n v="18389.7"/>
    <n v="0.15"/>
    <n v="104208.3"/>
    <n v="68555.259999999995"/>
    <n v="35653.040000000008"/>
  </r>
  <r>
    <s v="ORD-00360"/>
    <d v="2026-03-12T00:00:00"/>
    <s v="T-Shirt"/>
    <s v="Clothing"/>
    <s v="Website"/>
    <x v="4"/>
    <s v="New"/>
    <s v="None"/>
    <n v="2"/>
    <n v="16578"/>
    <n v="33156"/>
    <n v="0"/>
    <n v="0"/>
    <n v="33156"/>
    <n v="17808.919999999998"/>
    <n v="15347.080000000002"/>
  </r>
  <r>
    <s v="ORD-00655"/>
    <d v="2026-03-14T00:00:00"/>
    <s v="Sneakers"/>
    <s v="Footwear"/>
    <s v="WhatsApp"/>
    <x v="3"/>
    <s v="New"/>
    <s v="None"/>
    <n v="2"/>
    <n v="66593"/>
    <n v="133186"/>
    <n v="0"/>
    <n v="0"/>
    <n v="133186"/>
    <n v="89666.83"/>
    <n v="43519.17"/>
  </r>
  <r>
    <s v="ORD-00995"/>
    <d v="2026-03-15T00:00:00"/>
    <s v="Polo Shirt"/>
    <s v="Clothing"/>
    <s v="Physical Store"/>
    <x v="4"/>
    <s v="New"/>
    <s v="Easter Sale"/>
    <n v="1"/>
    <n v="24272"/>
    <n v="24272"/>
    <n v="3640.8"/>
    <n v="0.15"/>
    <n v="20631.2"/>
    <n v="13746.36"/>
    <n v="6884.84"/>
  </r>
  <r>
    <s v="ORD-00097"/>
    <d v="2026-03-15T00:00:00"/>
    <s v="Handbag"/>
    <s v="Accessories"/>
    <s v="Physical Store"/>
    <x v="1"/>
    <s v="New"/>
    <s v="Easter Sale"/>
    <n v="2"/>
    <n v="45351"/>
    <n v="90702"/>
    <n v="13605.3"/>
    <n v="0.15"/>
    <n v="77096.7"/>
    <n v="47639.360000000001"/>
    <n v="29457.339999999997"/>
  </r>
  <r>
    <s v="ORD-01101"/>
    <d v="2026-03-15T00:00:00"/>
    <s v="Sandals"/>
    <s v="Footwear"/>
    <s v="WhatsApp"/>
    <x v="4"/>
    <s v="Returning"/>
    <s v="None"/>
    <n v="1"/>
    <n v="31634"/>
    <n v="31634"/>
    <n v="0"/>
    <n v="0"/>
    <n v="31634"/>
    <n v="16199.1"/>
    <n v="15434.9"/>
  </r>
  <r>
    <s v="ORD-00972"/>
    <d v="2026-03-15T00:00:00"/>
    <s v="Handbag"/>
    <s v="Accessories"/>
    <s v="WhatsApp"/>
    <x v="0"/>
    <s v="New"/>
    <s v="Easter Sale"/>
    <n v="2"/>
    <n v="45857"/>
    <n v="91714"/>
    <n v="4585.7"/>
    <n v="0.05"/>
    <n v="87128.3"/>
    <n v="53604.51"/>
    <n v="33523.79"/>
  </r>
  <r>
    <s v="ORD-00592"/>
    <d v="2026-03-16T00:00:00"/>
    <s v="Handbag"/>
    <s v="Accessories"/>
    <s v="Instagram"/>
    <x v="2"/>
    <s v="New"/>
    <s v="None"/>
    <n v="3"/>
    <n v="43441"/>
    <n v="130323"/>
    <n v="0"/>
    <n v="0"/>
    <n v="130323"/>
    <n v="75125.77"/>
    <n v="55197.229999999996"/>
  </r>
  <r>
    <s v="ORD-00012"/>
    <d v="2026-03-16T00:00:00"/>
    <s v="Sneakers"/>
    <s v="Footwear"/>
    <s v="Website"/>
    <x v="3"/>
    <s v="New"/>
    <s v="Easter Sale"/>
    <n v="3"/>
    <n v="69283"/>
    <n v="207849"/>
    <n v="20784.900000000001"/>
    <n v="0.1"/>
    <n v="187064.1"/>
    <n v="107477.01"/>
    <n v="79587.090000000011"/>
  </r>
  <r>
    <s v="ORD-00677"/>
    <d v="2026-03-16T00:00:00"/>
    <s v="Hoodie"/>
    <s v="Clothing"/>
    <s v="WhatsApp"/>
    <x v="4"/>
    <s v="New"/>
    <s v="None"/>
    <n v="4"/>
    <n v="36947"/>
    <n v="147788"/>
    <n v="0"/>
    <n v="0"/>
    <n v="147788"/>
    <n v="98440.07"/>
    <n v="49347.929999999993"/>
  </r>
  <r>
    <s v="ORD-00815"/>
    <d v="2026-03-16T00:00:00"/>
    <s v="Dress"/>
    <s v="Clothing"/>
    <s v="Instagram"/>
    <x v="0"/>
    <s v="New"/>
    <s v="None"/>
    <n v="5"/>
    <n v="52730"/>
    <n v="263650"/>
    <n v="0"/>
    <n v="0"/>
    <n v="263650"/>
    <n v="167041.31"/>
    <n v="96608.69"/>
  </r>
  <r>
    <s v="ORD-01154"/>
    <d v="2026-03-17T00:00:00"/>
    <s v="Belt"/>
    <s v="Accessories"/>
    <s v="WhatsApp"/>
    <x v="3"/>
    <s v="New"/>
    <s v="None"/>
    <n v="4"/>
    <n v="15527"/>
    <n v="62108"/>
    <n v="0"/>
    <n v="0"/>
    <n v="62108"/>
    <n v="31134.880000000001"/>
    <n v="30973.119999999999"/>
  </r>
  <r>
    <s v="ORD-01030"/>
    <d v="2026-03-17T00:00:00"/>
    <s v="Cap"/>
    <s v="Accessories"/>
    <s v="Website"/>
    <x v="1"/>
    <s v="New"/>
    <s v="Easter Sale"/>
    <n v="5"/>
    <n v="12569"/>
    <n v="62845"/>
    <n v="6284.5"/>
    <n v="0.1"/>
    <n v="56560.5"/>
    <n v="37291.54"/>
    <n v="19268.96"/>
  </r>
  <r>
    <s v="ORD-00686"/>
    <d v="2026-03-22T00:00:00"/>
    <s v="T-Shirt"/>
    <s v="Clothing"/>
    <s v="Physical Store"/>
    <x v="3"/>
    <s v="New"/>
    <s v="None"/>
    <n v="2"/>
    <n v="19278"/>
    <n v="38556"/>
    <n v="0"/>
    <n v="0"/>
    <n v="38556"/>
    <n v="25062.73"/>
    <n v="13493.27"/>
  </r>
  <r>
    <s v="ORD-00945"/>
    <d v="2026-03-24T00:00:00"/>
    <s v="Cap"/>
    <s v="Accessories"/>
    <s v="Website"/>
    <x v="2"/>
    <s v="New"/>
    <s v="Easter Sale"/>
    <n v="2"/>
    <n v="12223"/>
    <n v="24446"/>
    <n v="4889.2"/>
    <n v="0.2"/>
    <n v="19556.8"/>
    <n v="16424.68"/>
    <n v="3132.119999999999"/>
  </r>
  <r>
    <s v="ORD-00858"/>
    <d v="2026-03-24T00:00:00"/>
    <s v="Jeans"/>
    <s v="Clothing"/>
    <s v="Instagram"/>
    <x v="4"/>
    <s v="Returning"/>
    <s v="None"/>
    <n v="1"/>
    <n v="42368"/>
    <n v="42368"/>
    <n v="0"/>
    <n v="0"/>
    <n v="42368"/>
    <n v="20368.57"/>
    <n v="21999.43"/>
  </r>
  <r>
    <s v="ORD-01122"/>
    <d v="2026-03-24T00:00:00"/>
    <s v="Handbag"/>
    <s v="Accessories"/>
    <s v="Instagram"/>
    <x v="3"/>
    <s v="Returning"/>
    <s v="None"/>
    <n v="1"/>
    <n v="44967"/>
    <n v="44967"/>
    <n v="0"/>
    <n v="0"/>
    <n v="44967"/>
    <n v="24692.11"/>
    <n v="20274.89"/>
  </r>
  <r>
    <s v="ORD-00816"/>
    <d v="2026-03-25T00:00:00"/>
    <s v="Belt"/>
    <s v="Accessories"/>
    <s v="Website"/>
    <x v="2"/>
    <s v="Returning"/>
    <s v="Easter Sale"/>
    <n v="1"/>
    <n v="14506"/>
    <n v="14506"/>
    <n v="2175.9"/>
    <n v="0.15"/>
    <n v="12330.1"/>
    <n v="9166.1299999999992"/>
    <n v="3163.9700000000012"/>
  </r>
  <r>
    <s v="ORD-00964"/>
    <d v="2026-03-25T00:00:00"/>
    <s v="Sneakers"/>
    <s v="Footwear"/>
    <s v="WhatsApp"/>
    <x v="0"/>
    <s v="Returning"/>
    <s v="None"/>
    <n v="2"/>
    <n v="68652"/>
    <n v="137304"/>
    <n v="0"/>
    <n v="0"/>
    <n v="137304"/>
    <n v="90544.94"/>
    <n v="46759.06"/>
  </r>
  <r>
    <s v="ORD-00489"/>
    <d v="2026-03-25T00:00:00"/>
    <s v="Handbag"/>
    <s v="Accessories"/>
    <s v="WhatsApp"/>
    <x v="4"/>
    <s v="Returning"/>
    <s v="Easter Sale"/>
    <n v="2"/>
    <n v="42614"/>
    <n v="85228"/>
    <n v="17045.599999999999"/>
    <n v="0.2"/>
    <n v="68182.399999999994"/>
    <n v="48629.11"/>
    <n v="19553.289999999994"/>
  </r>
  <r>
    <s v="ORD-00835"/>
    <d v="2026-03-25T00:00:00"/>
    <s v="T-Shirt"/>
    <s v="Clothing"/>
    <s v="Physical Store"/>
    <x v="2"/>
    <s v="New"/>
    <s v="None"/>
    <n v="1"/>
    <n v="18837"/>
    <n v="18837"/>
    <n v="0"/>
    <n v="0"/>
    <n v="18837"/>
    <n v="11162.1"/>
    <n v="7674.9"/>
  </r>
  <r>
    <s v="ORD-00238"/>
    <d v="2026-03-26T00:00:00"/>
    <s v="Dress"/>
    <s v="Clothing"/>
    <s v="Physical Store"/>
    <x v="4"/>
    <s v="New"/>
    <s v="None"/>
    <n v="2"/>
    <n v="51276"/>
    <n v="102552"/>
    <n v="0"/>
    <n v="0"/>
    <n v="102552"/>
    <n v="54802.68"/>
    <n v="47749.32"/>
  </r>
  <r>
    <s v="ORD-00196"/>
    <d v="2026-03-26T00:00:00"/>
    <s v="Cap"/>
    <s v="Accessories"/>
    <s v="Website"/>
    <x v="0"/>
    <s v="New"/>
    <s v="Easter Sale"/>
    <n v="1"/>
    <n v="12684"/>
    <n v="12684"/>
    <n v="2536.8000000000002"/>
    <n v="0.2"/>
    <n v="10147.200000000001"/>
    <n v="7932.72"/>
    <n v="2214.4800000000005"/>
  </r>
  <r>
    <s v="ORD-00216"/>
    <d v="2026-03-26T00:00:00"/>
    <s v="Belt"/>
    <s v="Accessories"/>
    <s v="Physical Store"/>
    <x v="3"/>
    <s v="Returning"/>
    <s v="None"/>
    <n v="3"/>
    <n v="15084"/>
    <n v="45252"/>
    <n v="0"/>
    <n v="0"/>
    <n v="45252"/>
    <n v="28816.36"/>
    <n v="16435.64"/>
  </r>
  <r>
    <s v="ORD-00060"/>
    <d v="2026-03-26T00:00:00"/>
    <s v="Sandals"/>
    <s v="Footwear"/>
    <s v="WhatsApp"/>
    <x v="4"/>
    <s v="Returning"/>
    <s v="None"/>
    <n v="2"/>
    <n v="29895"/>
    <n v="59790"/>
    <n v="0"/>
    <n v="0"/>
    <n v="59790"/>
    <n v="31480.05"/>
    <n v="28309.95"/>
  </r>
  <r>
    <s v="ORD-01148"/>
    <d v="2026-03-27T00:00:00"/>
    <s v="Dress"/>
    <s v="Clothing"/>
    <s v="Physical Store"/>
    <x v="4"/>
    <s v="New"/>
    <s v="Easter Sale"/>
    <n v="3"/>
    <n v="52610"/>
    <n v="157830"/>
    <n v="31566"/>
    <n v="0.2"/>
    <n v="126264"/>
    <n v="84358.44"/>
    <n v="41905.56"/>
  </r>
  <r>
    <s v="ORD-01062"/>
    <d v="2026-03-27T00:00:00"/>
    <s v="Jeans"/>
    <s v="Clothing"/>
    <s v="WhatsApp"/>
    <x v="1"/>
    <s v="New"/>
    <s v="Easter Sale"/>
    <n v="1"/>
    <n v="41089"/>
    <n v="41089"/>
    <n v="6163.35"/>
    <n v="0.15"/>
    <n v="34925.65"/>
    <n v="20721.599999999999"/>
    <n v="14204.050000000003"/>
  </r>
  <r>
    <s v="ORD-01022"/>
    <d v="2026-03-29T00:00:00"/>
    <s v="Dress"/>
    <s v="Clothing"/>
    <s v="Physical Store"/>
    <x v="3"/>
    <s v="Returning"/>
    <s v="Easter Sale"/>
    <n v="2"/>
    <n v="52004"/>
    <n v="104008"/>
    <n v="5200.3999999999996"/>
    <n v="0.05"/>
    <n v="98807.6"/>
    <n v="64690.8"/>
    <n v="34116.800000000003"/>
  </r>
  <r>
    <s v="ORD-01013"/>
    <d v="2026-03-31T00:00:00"/>
    <s v="Cap"/>
    <s v="Accessories"/>
    <s v="Physical Store"/>
    <x v="4"/>
    <s v="New"/>
    <s v="Easter Sale"/>
    <n v="2"/>
    <n v="12437"/>
    <n v="24874"/>
    <n v="2487.4"/>
    <n v="0.1"/>
    <n v="22386.6"/>
    <n v="13047.65"/>
    <n v="9338.9499999999989"/>
  </r>
  <r>
    <s v="ORD-00794"/>
    <d v="2026-03-31T00:00:00"/>
    <s v="Dress"/>
    <s v="Clothing"/>
    <s v="Physical Store"/>
    <x v="0"/>
    <s v="Returning"/>
    <s v="None"/>
    <n v="2"/>
    <n v="46636"/>
    <n v="93272"/>
    <n v="0"/>
    <n v="0"/>
    <n v="93272"/>
    <n v="47658.559999999998"/>
    <n v="45613.440000000002"/>
  </r>
  <r>
    <s v="ORD-00211"/>
    <d v="2026-04-01T00:00:00"/>
    <s v="Polo Shirt"/>
    <s v="Clothing"/>
    <s v="Website"/>
    <x v="0"/>
    <s v="Returning"/>
    <s v="Easter Sale"/>
    <n v="1"/>
    <n v="25893"/>
    <n v="25893"/>
    <n v="2589.3000000000002"/>
    <n v="0.1"/>
    <n v="23303.7"/>
    <n v="15481.19"/>
    <n v="7822.51"/>
  </r>
  <r>
    <s v="ORD-00953"/>
    <d v="2026-04-02T00:00:00"/>
    <s v="Belt"/>
    <s v="Accessories"/>
    <s v="WhatsApp"/>
    <x v="4"/>
    <s v="Returning"/>
    <s v="Easter Sale"/>
    <n v="1"/>
    <n v="14567"/>
    <n v="14567"/>
    <n v="1456.7"/>
    <n v="0.1"/>
    <n v="13110.3"/>
    <n v="7758.04"/>
    <n v="5352.2599999999993"/>
  </r>
  <r>
    <s v="ORD-00548"/>
    <d v="2026-04-02T00:00:00"/>
    <s v="Jeans"/>
    <s v="Clothing"/>
    <s v="WhatsApp"/>
    <x v="4"/>
    <s v="Returning"/>
    <s v="None"/>
    <n v="2"/>
    <n v="39294"/>
    <n v="78588"/>
    <n v="0"/>
    <n v="0"/>
    <n v="78588"/>
    <n v="47753.599999999999"/>
    <n v="30834.400000000001"/>
  </r>
  <r>
    <s v="ORD-00711"/>
    <d v="2026-04-02T00:00:00"/>
    <s v="T-Shirt"/>
    <s v="Clothing"/>
    <s v="Physical Store"/>
    <x v="4"/>
    <s v="Returning"/>
    <s v="None"/>
    <n v="2"/>
    <n v="18163"/>
    <n v="36326"/>
    <n v="0"/>
    <n v="0"/>
    <n v="36326"/>
    <n v="24190.09"/>
    <n v="12135.91"/>
  </r>
  <r>
    <s v="ORD-00315"/>
    <d v="2026-04-02T00:00:00"/>
    <s v="Jeans"/>
    <s v="Clothing"/>
    <s v="Physical Store"/>
    <x v="2"/>
    <s v="Returning"/>
    <s v="None"/>
    <n v="2"/>
    <n v="40494"/>
    <n v="80988"/>
    <n v="0"/>
    <n v="0"/>
    <n v="80988"/>
    <n v="42539.31"/>
    <n v="38448.69"/>
  </r>
  <r>
    <s v="ORD-00529"/>
    <d v="2026-04-03T00:00:00"/>
    <s v="T-Shirt"/>
    <s v="Clothing"/>
    <s v="Website"/>
    <x v="3"/>
    <s v="New"/>
    <s v="None"/>
    <n v="1"/>
    <n v="17244"/>
    <n v="17244"/>
    <n v="0"/>
    <n v="0"/>
    <n v="17244"/>
    <n v="9263.7900000000009"/>
    <n v="7980.2099999999991"/>
  </r>
  <r>
    <s v="ORD-00481"/>
    <d v="2026-04-03T00:00:00"/>
    <s v="Polo Shirt"/>
    <s v="Clothing"/>
    <s v="Instagram"/>
    <x v="3"/>
    <s v="New"/>
    <s v="None"/>
    <n v="2"/>
    <n v="23752"/>
    <n v="47504"/>
    <n v="0"/>
    <n v="0"/>
    <n v="47504"/>
    <n v="23343.49"/>
    <n v="24160.51"/>
  </r>
  <r>
    <s v="ORD-01162"/>
    <d v="2026-04-04T00:00:00"/>
    <s v="Jeans"/>
    <s v="Clothing"/>
    <s v="Instagram"/>
    <x v="1"/>
    <s v="Returning"/>
    <s v="None"/>
    <n v="2"/>
    <n v="38857"/>
    <n v="77714"/>
    <n v="0"/>
    <n v="0"/>
    <n v="77714"/>
    <n v="45909.96"/>
    <n v="31804.04"/>
  </r>
  <r>
    <s v="ORD-00861"/>
    <d v="2026-04-04T00:00:00"/>
    <s v="Hoodie"/>
    <s v="Clothing"/>
    <s v="WhatsApp"/>
    <x v="3"/>
    <s v="Returning"/>
    <s v="Easter Sale"/>
    <n v="1"/>
    <n v="37977"/>
    <n v="37977"/>
    <n v="1898.85"/>
    <n v="0.05"/>
    <n v="36078.15"/>
    <n v="20771.41"/>
    <n v="15306.740000000002"/>
  </r>
  <r>
    <s v="ORD-00395"/>
    <d v="2026-04-05T00:00:00"/>
    <s v="Handbag"/>
    <s v="Accessories"/>
    <s v="Physical Store"/>
    <x v="0"/>
    <s v="Returning"/>
    <s v="None"/>
    <n v="2"/>
    <n v="46446"/>
    <n v="92892"/>
    <n v="0"/>
    <n v="0"/>
    <n v="92892"/>
    <n v="52896.44"/>
    <n v="39995.56"/>
  </r>
  <r>
    <s v="ORD-00541"/>
    <d v="2026-04-06T00:00:00"/>
    <s v="Sandals"/>
    <s v="Footwear"/>
    <s v="Website"/>
    <x v="4"/>
    <s v="Returning"/>
    <s v="Easter Sale"/>
    <n v="1"/>
    <n v="29532"/>
    <n v="29532"/>
    <n v="4429.8"/>
    <n v="0.15"/>
    <n v="25102.2"/>
    <n v="18016.03"/>
    <n v="7086.1700000000019"/>
  </r>
  <r>
    <s v="ORD-01088"/>
    <d v="2026-04-06T00:00:00"/>
    <s v="Hoodie"/>
    <s v="Clothing"/>
    <s v="WhatsApp"/>
    <x v="3"/>
    <s v="New"/>
    <s v="Easter Sale"/>
    <n v="1"/>
    <n v="37086"/>
    <n v="37086"/>
    <n v="5562.9"/>
    <n v="0.15"/>
    <n v="31523.1"/>
    <n v="22237.81"/>
    <n v="9285.2899999999972"/>
  </r>
  <r>
    <s v="ORD-00278"/>
    <d v="2026-04-07T00:00:00"/>
    <s v="Sandals"/>
    <s v="Footwear"/>
    <s v="Website"/>
    <x v="4"/>
    <s v="New"/>
    <s v="None"/>
    <n v="1"/>
    <n v="29744"/>
    <n v="29744"/>
    <n v="0"/>
    <n v="0"/>
    <n v="29744"/>
    <n v="15744.44"/>
    <n v="13999.56"/>
  </r>
  <r>
    <s v="ORD-00845"/>
    <d v="2026-04-07T00:00:00"/>
    <s v="Polo Shirt"/>
    <s v="Clothing"/>
    <s v="Physical Store"/>
    <x v="3"/>
    <s v="Returning"/>
    <s v="None"/>
    <n v="3"/>
    <n v="23165"/>
    <n v="69495"/>
    <n v="0"/>
    <n v="0"/>
    <n v="69495"/>
    <n v="33840.120000000003"/>
    <n v="35654.879999999997"/>
  </r>
  <r>
    <s v="ORD-00474"/>
    <d v="2026-04-08T00:00:00"/>
    <s v="Handbag"/>
    <s v="Accessories"/>
    <s v="WhatsApp"/>
    <x v="4"/>
    <s v="New"/>
    <s v="None"/>
    <n v="1"/>
    <n v="46622"/>
    <n v="46622"/>
    <n v="0"/>
    <n v="0"/>
    <n v="46622"/>
    <n v="31464.62"/>
    <n v="15157.380000000001"/>
  </r>
  <r>
    <s v="ORD-00925"/>
    <d v="2026-04-10T00:00:00"/>
    <s v="Hoodie"/>
    <s v="Clothing"/>
    <s v="Website"/>
    <x v="1"/>
    <s v="New"/>
    <s v="None"/>
    <n v="3"/>
    <n v="40988"/>
    <n v="122964"/>
    <n v="0"/>
    <n v="0"/>
    <n v="122964"/>
    <n v="76489.59"/>
    <n v="46474.41"/>
  </r>
  <r>
    <s v="ORD-00651"/>
    <d v="2026-04-10T00:00:00"/>
    <s v="Polo Shirt"/>
    <s v="Clothing"/>
    <s v="WhatsApp"/>
    <x v="2"/>
    <s v="New"/>
    <s v="Easter Sale"/>
    <n v="5"/>
    <n v="26699"/>
    <n v="133495"/>
    <n v="26699"/>
    <n v="0.2"/>
    <n v="106796"/>
    <n v="72775.59"/>
    <n v="34020.410000000003"/>
  </r>
  <r>
    <s v="ORD-00323"/>
    <d v="2026-04-10T00:00:00"/>
    <s v="Sneakers"/>
    <s v="Footwear"/>
    <s v="Website"/>
    <x v="3"/>
    <s v="Returning"/>
    <s v="None"/>
    <n v="1"/>
    <n v="63156"/>
    <n v="63156"/>
    <n v="9473.4"/>
    <n v="0.15"/>
    <n v="53682.6"/>
    <n v="32187.040000000001"/>
    <n v="21495.559999999998"/>
  </r>
  <r>
    <s v="ORD-00031"/>
    <d v="2026-04-11T00:00:00"/>
    <s v="Sneakers"/>
    <s v="Footwear"/>
    <s v="Website"/>
    <x v="4"/>
    <s v="Returning"/>
    <s v="None"/>
    <n v="2"/>
    <n v="66934"/>
    <n v="133868"/>
    <n v="0"/>
    <n v="0"/>
    <n v="133868"/>
    <n v="72908.009999999995"/>
    <n v="60959.990000000005"/>
  </r>
  <r>
    <s v="ORD-00934"/>
    <d v="2026-04-12T00:00:00"/>
    <s v="T-Shirt"/>
    <s v="Clothing"/>
    <s v="Physical Store"/>
    <x v="3"/>
    <s v="New"/>
    <s v="Easter Sale"/>
    <n v="5"/>
    <n v="19133"/>
    <n v="95665"/>
    <n v="14349.75"/>
    <n v="0.15"/>
    <n v="81315.25"/>
    <n v="47890.7"/>
    <n v="33424.550000000003"/>
  </r>
  <r>
    <s v="ORD-00289"/>
    <d v="2026-04-13T00:00:00"/>
    <s v="Jeans"/>
    <s v="Clothing"/>
    <s v="Website"/>
    <x v="3"/>
    <s v="Returning"/>
    <s v="None"/>
    <n v="2"/>
    <n v="40678"/>
    <n v="81356"/>
    <n v="0"/>
    <n v="0"/>
    <n v="81356"/>
    <n v="40981.360000000001"/>
    <n v="40374.639999999999"/>
  </r>
  <r>
    <s v="ORD-00154"/>
    <d v="2026-04-15T00:00:00"/>
    <s v="Handbag"/>
    <s v="Accessories"/>
    <s v="Instagram"/>
    <x v="4"/>
    <s v="Returning"/>
    <s v="None"/>
    <n v="2"/>
    <n v="46064"/>
    <n v="92128"/>
    <n v="0"/>
    <n v="0"/>
    <n v="92128"/>
    <n v="60595.519999999997"/>
    <n v="31532.480000000003"/>
  </r>
  <r>
    <s v="ORD-00736"/>
    <d v="2026-04-15T00:00:00"/>
    <s v="T-Shirt"/>
    <s v="Clothing"/>
    <s v="Instagram"/>
    <x v="4"/>
    <s v="Returning"/>
    <s v="Easter Sale"/>
    <n v="4"/>
    <n v="17808"/>
    <n v="71232"/>
    <n v="3561.6"/>
    <n v="0.05"/>
    <n v="67670.399999999994"/>
    <n v="47555.25"/>
    <n v="20115.149999999994"/>
  </r>
  <r>
    <s v="ORD-00997"/>
    <d v="2026-04-17T00:00:00"/>
    <s v="Sneakers"/>
    <s v="Footwear"/>
    <s v="Physical Store"/>
    <x v="3"/>
    <s v="Returning"/>
    <s v="None"/>
    <n v="2"/>
    <n v="68885"/>
    <n v="137770"/>
    <n v="0"/>
    <n v="0"/>
    <n v="137770"/>
    <n v="77502.87"/>
    <n v="60267.130000000005"/>
  </r>
  <r>
    <s v="ORD-00299"/>
    <d v="2026-04-17T00:00:00"/>
    <s v="Handbag"/>
    <s v="Accessories"/>
    <s v="Website"/>
    <x v="1"/>
    <s v="New"/>
    <s v="None"/>
    <n v="2"/>
    <n v="42266"/>
    <n v="84532"/>
    <n v="0"/>
    <n v="0"/>
    <n v="84532"/>
    <n v="43638.52"/>
    <n v="40893.480000000003"/>
  </r>
  <r>
    <s v="ORD-00636"/>
    <d v="2026-04-17T00:00:00"/>
    <s v="Handbag"/>
    <s v="Accessories"/>
    <s v="Website"/>
    <x v="4"/>
    <s v="Returning"/>
    <s v="Easter Sale"/>
    <n v="3"/>
    <n v="44337"/>
    <n v="133011"/>
    <n v="26602.2"/>
    <n v="0.2"/>
    <n v="106408.8"/>
    <n v="77601.75"/>
    <n v="28807.050000000003"/>
  </r>
  <r>
    <s v="ORD-00034"/>
    <d v="2026-04-20T00:00:00"/>
    <s v="Polo Shirt"/>
    <s v="Clothing"/>
    <s v="Physical Store"/>
    <x v="1"/>
    <s v="New"/>
    <s v="Easter Sale"/>
    <n v="1"/>
    <n v="26458"/>
    <n v="26458"/>
    <n v="3968.7"/>
    <n v="0.15"/>
    <n v="22489.3"/>
    <n v="13298.37"/>
    <n v="9190.9299999999985"/>
  </r>
  <r>
    <s v="ORD-00709"/>
    <d v="2026-04-22T00:00:00"/>
    <s v="Handbag"/>
    <s v="Accessories"/>
    <s v="Physical Store"/>
    <x v="4"/>
    <s v="New"/>
    <s v="None"/>
    <n v="2"/>
    <n v="43692"/>
    <n v="87384"/>
    <n v="0"/>
    <n v="0"/>
    <n v="87384"/>
    <n v="59258.81"/>
    <n v="28125.190000000002"/>
  </r>
  <r>
    <s v="ORD-00823"/>
    <d v="2026-04-23T00:00:00"/>
    <s v="Dress"/>
    <s v="Clothing"/>
    <s v="WhatsApp"/>
    <x v="4"/>
    <s v="Returning"/>
    <s v="None"/>
    <n v="4"/>
    <n v="50371"/>
    <n v="201484"/>
    <n v="0"/>
    <n v="0"/>
    <n v="201484"/>
    <n v="97005.39"/>
    <n v="104478.61"/>
  </r>
  <r>
    <s v="ORD-00748"/>
    <d v="2026-04-24T00:00:00"/>
    <s v="T-Shirt"/>
    <s v="Clothing"/>
    <s v="WhatsApp"/>
    <x v="0"/>
    <s v="New"/>
    <s v="Easter Sale"/>
    <n v="2"/>
    <n v="17239"/>
    <n v="34478"/>
    <n v="3447.8"/>
    <n v="0.1"/>
    <n v="31030.2"/>
    <n v="16827.509999999998"/>
    <n v="14202.690000000002"/>
  </r>
  <r>
    <s v="ORD-00731"/>
    <d v="2026-04-26T00:00:00"/>
    <s v="Hoodie"/>
    <s v="Clothing"/>
    <s v="Website"/>
    <x v="2"/>
    <s v="New"/>
    <s v="None"/>
    <n v="2"/>
    <n v="36305"/>
    <n v="72610"/>
    <n v="0"/>
    <n v="0"/>
    <n v="72610"/>
    <n v="46067.27"/>
    <n v="26542.730000000003"/>
  </r>
  <r>
    <s v="ORD-00620"/>
    <d v="2026-04-27T00:00:00"/>
    <s v="Polo Shirt"/>
    <s v="Clothing"/>
    <s v="Website"/>
    <x v="1"/>
    <s v="New"/>
    <s v="None"/>
    <n v="4"/>
    <n v="24654"/>
    <n v="98616"/>
    <n v="0"/>
    <n v="0"/>
    <n v="98616"/>
    <n v="54733.84"/>
    <n v="43882.16"/>
  </r>
  <r>
    <s v="ORD-00897"/>
    <d v="2026-04-28T00:00:00"/>
    <s v="Sandals"/>
    <s v="Footwear"/>
    <s v="Instagram"/>
    <x v="2"/>
    <s v="Returning"/>
    <s v="Easter Sale"/>
    <n v="1"/>
    <n v="30228"/>
    <n v="30228"/>
    <n v="3022.8"/>
    <n v="0.1"/>
    <n v="27205.200000000001"/>
    <n v="15319.2"/>
    <n v="11886"/>
  </r>
  <r>
    <s v="ORD-00386"/>
    <d v="2026-04-28T00:00:00"/>
    <s v="Polo Shirt"/>
    <s v="Clothing"/>
    <s v="Website"/>
    <x v="0"/>
    <s v="Returning"/>
    <s v="Easter Sale"/>
    <n v="3"/>
    <n v="23432"/>
    <n v="70296"/>
    <n v="14059.2"/>
    <n v="0.2"/>
    <n v="56236.800000000003"/>
    <n v="44290.15"/>
    <n v="11946.650000000001"/>
  </r>
  <r>
    <s v="ORD-01175"/>
    <d v="2026-04-29T00:00:00"/>
    <s v="Belt"/>
    <s v="Accessories"/>
    <s v="WhatsApp"/>
    <x v="4"/>
    <s v="New"/>
    <s v="None"/>
    <n v="1"/>
    <n v="14113"/>
    <n v="14113"/>
    <n v="0"/>
    <n v="0"/>
    <n v="14113"/>
    <n v="6967.17"/>
    <n v="7145.83"/>
  </r>
  <r>
    <s v="ORD-00774"/>
    <d v="2026-04-30T00:00:00"/>
    <s v="Belt"/>
    <s v="Accessories"/>
    <s v="Physical Store"/>
    <x v="0"/>
    <s v="New"/>
    <s v="None"/>
    <n v="1"/>
    <n v="13827"/>
    <n v="13827"/>
    <n v="0"/>
    <n v="0"/>
    <n v="13827"/>
    <n v="7492.21"/>
    <n v="6334.79"/>
  </r>
  <r>
    <s v="ORD-00428"/>
    <d v="2026-04-30T00:00:00"/>
    <s v="Jeans"/>
    <s v="Clothing"/>
    <s v="Instagram"/>
    <x v="0"/>
    <s v="New"/>
    <s v="None"/>
    <n v="1"/>
    <n v="41173"/>
    <n v="41173"/>
    <n v="4117.3"/>
    <n v="0.1"/>
    <n v="37055.699999999997"/>
    <n v="20419.46"/>
    <n v="16636.239999999998"/>
  </r>
  <r>
    <s v="ORD-00373"/>
    <d v="2026-05-01T00:00:00"/>
    <s v="Handbag"/>
    <s v="Accessories"/>
    <s v="WhatsApp"/>
    <x v="0"/>
    <s v="New"/>
    <s v="None"/>
    <n v="3"/>
    <n v="46314"/>
    <n v="138942"/>
    <n v="0"/>
    <n v="0"/>
    <n v="138942"/>
    <n v="80602.460000000006"/>
    <n v="58339.539999999994"/>
  </r>
  <r>
    <s v="ORD-00585"/>
    <d v="2026-05-02T00:00:00"/>
    <s v="Jeans"/>
    <s v="Clothing"/>
    <s v="Instagram"/>
    <x v="3"/>
    <s v="Returning"/>
    <s v="None"/>
    <n v="3"/>
    <n v="45176"/>
    <n v="135528"/>
    <n v="0"/>
    <n v="0"/>
    <n v="135528"/>
    <n v="66980.94"/>
    <n v="68547.06"/>
  </r>
  <r>
    <s v="ORD-00539"/>
    <d v="2026-05-02T00:00:00"/>
    <s v="Jeans"/>
    <s v="Clothing"/>
    <s v="WhatsApp"/>
    <x v="2"/>
    <s v="New"/>
    <s v="None"/>
    <n v="3"/>
    <n v="41994"/>
    <n v="125982"/>
    <n v="0"/>
    <n v="0"/>
    <n v="125982"/>
    <n v="70285.759999999995"/>
    <n v="55696.240000000005"/>
  </r>
  <r>
    <s v="ORD-00291"/>
    <d v="2026-05-03T00:00:00"/>
    <s v="Cap"/>
    <s v="Accessories"/>
    <s v="Physical Store"/>
    <x v="4"/>
    <s v="New"/>
    <s v="None"/>
    <n v="1"/>
    <n v="12841"/>
    <n v="12841"/>
    <n v="0"/>
    <n v="0"/>
    <n v="12841"/>
    <n v="6360.93"/>
    <n v="6480.07"/>
  </r>
  <r>
    <s v="ORD-00977"/>
    <d v="2026-05-03T00:00:00"/>
    <s v="Dress"/>
    <s v="Clothing"/>
    <s v="Instagram"/>
    <x v="4"/>
    <s v="New"/>
    <s v="None"/>
    <n v="1"/>
    <n v="53986"/>
    <n v="53986"/>
    <n v="0"/>
    <n v="0"/>
    <n v="53986"/>
    <n v="29010.05"/>
    <n v="24975.95"/>
  </r>
  <r>
    <s v="ORD-00266"/>
    <d v="2026-05-03T00:00:00"/>
    <s v="Jeans"/>
    <s v="Clothing"/>
    <s v="WhatsApp"/>
    <x v="4"/>
    <s v="Returning"/>
    <s v="None"/>
    <n v="2"/>
    <n v="45282"/>
    <n v="90564"/>
    <n v="0"/>
    <n v="0"/>
    <n v="90564"/>
    <n v="48046.85"/>
    <n v="42517.15"/>
  </r>
  <r>
    <s v="ORD-00149"/>
    <d v="2026-05-04T00:00:00"/>
    <s v="Belt"/>
    <s v="Accessories"/>
    <s v="Physical Store"/>
    <x v="0"/>
    <s v="Returning"/>
    <s v="None"/>
    <n v="1"/>
    <n v="14015"/>
    <n v="14015"/>
    <n v="0"/>
    <n v="0"/>
    <n v="14015"/>
    <n v="6850.99"/>
    <n v="7164.01"/>
  </r>
  <r>
    <s v="ORD-00020"/>
    <d v="2026-05-06T00:00:00"/>
    <s v="Cap"/>
    <s v="Accessories"/>
    <s v="Website"/>
    <x v="3"/>
    <s v="Returning"/>
    <s v="None"/>
    <n v="2"/>
    <n v="11960"/>
    <n v="23920"/>
    <n v="0"/>
    <n v="0"/>
    <n v="23920"/>
    <n v="13055.62"/>
    <n v="10864.38"/>
  </r>
  <r>
    <s v="ORD-00595"/>
    <d v="2026-05-08T00:00:00"/>
    <s v="Handbag"/>
    <s v="Accessories"/>
    <s v="Instagram"/>
    <x v="4"/>
    <s v="New"/>
    <s v="None"/>
    <n v="1"/>
    <n v="46960"/>
    <n v="46960"/>
    <n v="0"/>
    <n v="0"/>
    <n v="46960"/>
    <n v="30313.439999999999"/>
    <n v="16646.560000000001"/>
  </r>
  <r>
    <s v="ORD-00001"/>
    <d v="2026-05-10T00:00:00"/>
    <s v="Sneakers"/>
    <s v="Footwear"/>
    <s v="WhatsApp"/>
    <x v="4"/>
    <s v="Returning"/>
    <s v="None"/>
    <n v="2"/>
    <n v="65741"/>
    <n v="131482"/>
    <n v="0"/>
    <n v="0"/>
    <n v="131482"/>
    <n v="77410.789999999994"/>
    <n v="54071.210000000006"/>
  </r>
  <r>
    <s v="ORD-00339"/>
    <d v="2026-05-10T00:00:00"/>
    <s v="Hoodie"/>
    <s v="Clothing"/>
    <s v="Physical Store"/>
    <x v="3"/>
    <s v="New"/>
    <s v="None"/>
    <n v="2"/>
    <n v="36180"/>
    <n v="72360"/>
    <n v="0"/>
    <n v="0"/>
    <n v="72360"/>
    <n v="46186.080000000002"/>
    <n v="26173.919999999998"/>
  </r>
  <r>
    <s v="ORD-00174"/>
    <d v="2026-05-13T00:00:00"/>
    <s v="Cap"/>
    <s v="Accessories"/>
    <s v="Physical Store"/>
    <x v="2"/>
    <s v="Returning"/>
    <s v="None"/>
    <n v="2"/>
    <n v="11125"/>
    <n v="22250"/>
    <n v="0"/>
    <n v="0"/>
    <n v="22250"/>
    <n v="12023.53"/>
    <n v="10226.469999999999"/>
  </r>
  <r>
    <s v="ORD-00114"/>
    <d v="2026-05-13T00:00:00"/>
    <s v="Sneakers"/>
    <s v="Footwear"/>
    <s v="Physical Store"/>
    <x v="3"/>
    <s v="Returning"/>
    <s v="None"/>
    <n v="1"/>
    <n v="60237"/>
    <n v="60237"/>
    <n v="0"/>
    <n v="0"/>
    <n v="60237"/>
    <n v="39974.199999999997"/>
    <n v="20262.800000000003"/>
  </r>
  <r>
    <s v="ORD-00814"/>
    <d v="2026-05-14T00:00:00"/>
    <s v="Sneakers"/>
    <s v="Footwear"/>
    <s v="WhatsApp"/>
    <x v="3"/>
    <s v="Returning"/>
    <s v="None"/>
    <n v="1"/>
    <n v="60040"/>
    <n v="60040"/>
    <n v="0"/>
    <n v="0"/>
    <n v="60040"/>
    <n v="34626.379999999997"/>
    <n v="25413.620000000003"/>
  </r>
  <r>
    <s v="ORD-01058"/>
    <d v="2026-05-15T00:00:00"/>
    <s v="Jeans"/>
    <s v="Clothing"/>
    <s v="Physical Store"/>
    <x v="1"/>
    <s v="Returning"/>
    <s v="None"/>
    <n v="1"/>
    <n v="39123"/>
    <n v="39123"/>
    <n v="3912.3"/>
    <n v="0.1"/>
    <n v="35210.699999999997"/>
    <n v="21541.31"/>
    <n v="13669.389999999996"/>
  </r>
  <r>
    <s v="ORD-00412"/>
    <d v="2026-05-16T00:00:00"/>
    <s v="Polo Shirt"/>
    <s v="Clothing"/>
    <s v="Website"/>
    <x v="4"/>
    <s v="New"/>
    <s v="None"/>
    <n v="2"/>
    <n v="25952"/>
    <n v="51904"/>
    <n v="0"/>
    <n v="0"/>
    <n v="51904"/>
    <n v="34658.53"/>
    <n v="17245.47"/>
  </r>
  <r>
    <s v="ORD-00314"/>
    <d v="2026-05-16T00:00:00"/>
    <s v="Sneakers"/>
    <s v="Footwear"/>
    <s v="Physical Store"/>
    <x v="4"/>
    <s v="Returning"/>
    <s v="None"/>
    <n v="1"/>
    <n v="69983"/>
    <n v="69983"/>
    <n v="0"/>
    <n v="0"/>
    <n v="69983"/>
    <n v="45445.38"/>
    <n v="24537.620000000003"/>
  </r>
  <r>
    <s v="ORD-00512"/>
    <d v="2026-05-18T00:00:00"/>
    <s v="Handbag"/>
    <s v="Accessories"/>
    <s v="Instagram"/>
    <x v="1"/>
    <s v="Returning"/>
    <s v="None"/>
    <n v="1"/>
    <n v="48404"/>
    <n v="48404"/>
    <n v="0"/>
    <n v="0"/>
    <n v="48404"/>
    <n v="27228.98"/>
    <n v="21175.02"/>
  </r>
  <r>
    <s v="ORD-00108"/>
    <d v="2026-05-20T00:00:00"/>
    <s v="Polo Shirt"/>
    <s v="Clothing"/>
    <s v="Website"/>
    <x v="0"/>
    <s v="Returning"/>
    <s v="None"/>
    <n v="4"/>
    <n v="24256"/>
    <n v="97024"/>
    <n v="0"/>
    <n v="0"/>
    <n v="97024"/>
    <n v="62469"/>
    <n v="34555"/>
  </r>
  <r>
    <s v="ORD-00831"/>
    <d v="2026-05-21T00:00:00"/>
    <s v="Polo Shirt"/>
    <s v="Clothing"/>
    <s v="Physical Store"/>
    <x v="4"/>
    <s v="New"/>
    <s v="None"/>
    <n v="2"/>
    <n v="25436"/>
    <n v="50872"/>
    <n v="0"/>
    <n v="0"/>
    <n v="50872"/>
    <n v="27110.68"/>
    <n v="23761.32"/>
  </r>
  <r>
    <s v="ORD-00008"/>
    <d v="2026-05-21T00:00:00"/>
    <s v="T-Shirt"/>
    <s v="Clothing"/>
    <s v="Instagram"/>
    <x v="3"/>
    <s v="Returning"/>
    <s v="None"/>
    <n v="3"/>
    <n v="17348"/>
    <n v="52044"/>
    <n v="0"/>
    <n v="0"/>
    <n v="52044"/>
    <n v="29417.16"/>
    <n v="22626.84"/>
  </r>
  <r>
    <s v="ORD-00179"/>
    <d v="2026-05-21T00:00:00"/>
    <s v="Polo Shirt"/>
    <s v="Clothing"/>
    <s v="WhatsApp"/>
    <x v="3"/>
    <s v="Returning"/>
    <s v="None"/>
    <n v="3"/>
    <n v="23928"/>
    <n v="71784"/>
    <n v="0"/>
    <n v="0"/>
    <n v="71784"/>
    <n v="45673.99"/>
    <n v="26110.010000000002"/>
  </r>
  <r>
    <s v="ORD-00413"/>
    <d v="2026-05-22T00:00:00"/>
    <s v="Handbag"/>
    <s v="Accessories"/>
    <s v="Physical Store"/>
    <x v="0"/>
    <s v="Returning"/>
    <s v="None"/>
    <n v="2"/>
    <n v="46068"/>
    <n v="92136"/>
    <n v="0"/>
    <n v="0"/>
    <n v="92136"/>
    <n v="60761.8"/>
    <n v="31374.199999999997"/>
  </r>
  <r>
    <s v="ORD-00769"/>
    <d v="2026-05-22T00:00:00"/>
    <s v="T-Shirt"/>
    <s v="Clothing"/>
    <s v="Instagram"/>
    <x v="2"/>
    <s v="Returning"/>
    <s v="None"/>
    <n v="2"/>
    <n v="17406"/>
    <n v="34812"/>
    <n v="0"/>
    <n v="0"/>
    <n v="34812"/>
    <n v="20192.57"/>
    <n v="14619.43"/>
  </r>
  <r>
    <s v="ORD-00883"/>
    <d v="2026-05-25T00:00:00"/>
    <s v="Hoodie"/>
    <s v="Clothing"/>
    <s v="Website"/>
    <x v="2"/>
    <s v="New"/>
    <s v="None"/>
    <n v="1"/>
    <n v="39779"/>
    <n v="39779"/>
    <n v="0"/>
    <n v="0"/>
    <n v="39779"/>
    <n v="21345.55"/>
    <n v="18433.45"/>
  </r>
  <r>
    <s v="ORD-00463"/>
    <d v="2026-05-25T00:00:00"/>
    <s v="Jeans"/>
    <s v="Clothing"/>
    <s v="Website"/>
    <x v="0"/>
    <s v="Returning"/>
    <s v="None"/>
    <n v="2"/>
    <n v="40678"/>
    <n v="81356"/>
    <n v="0"/>
    <n v="0"/>
    <n v="81356"/>
    <n v="44886.73"/>
    <n v="36469.269999999997"/>
  </r>
  <r>
    <s v="ORD-00704"/>
    <d v="2026-05-26T00:00:00"/>
    <s v="Sandals"/>
    <s v="Footwear"/>
    <s v="Website"/>
    <x v="0"/>
    <s v="New"/>
    <s v="None"/>
    <n v="4"/>
    <n v="28542"/>
    <n v="114168"/>
    <n v="0"/>
    <n v="0"/>
    <n v="114168"/>
    <n v="56803.55"/>
    <n v="57364.45"/>
  </r>
  <r>
    <s v="ORD-00310"/>
    <d v="2026-05-26T00:00:00"/>
    <s v="Cap"/>
    <s v="Accessories"/>
    <s v="Physical Store"/>
    <x v="4"/>
    <s v="New"/>
    <s v="None"/>
    <n v="2"/>
    <n v="11197"/>
    <n v="22394"/>
    <n v="0"/>
    <n v="0"/>
    <n v="22394"/>
    <n v="15182.04"/>
    <n v="7211.9599999999991"/>
  </r>
  <r>
    <s v="ORD-00531"/>
    <d v="2026-05-26T00:00:00"/>
    <s v="Belt"/>
    <s v="Accessories"/>
    <s v="Website"/>
    <x v="4"/>
    <s v="New"/>
    <s v="None"/>
    <n v="2"/>
    <n v="14096"/>
    <n v="28192"/>
    <n v="0"/>
    <n v="0"/>
    <n v="28192"/>
    <n v="16820.900000000001"/>
    <n v="11371.099999999999"/>
  </r>
  <r>
    <s v="ORD-00209"/>
    <d v="2026-05-27T00:00:00"/>
    <s v="Sneakers"/>
    <s v="Footwear"/>
    <s v="Website"/>
    <x v="2"/>
    <s v="Returning"/>
    <s v="None"/>
    <n v="3"/>
    <n v="59960"/>
    <n v="179880"/>
    <n v="0"/>
    <n v="0"/>
    <n v="179880"/>
    <n v="95447.98"/>
    <n v="84432.02"/>
  </r>
  <r>
    <s v="ORD-00234"/>
    <d v="2026-05-28T00:00:00"/>
    <s v="T-Shirt"/>
    <s v="Clothing"/>
    <s v="Instagram"/>
    <x v="2"/>
    <s v="New"/>
    <s v="None"/>
    <n v="1"/>
    <n v="18241"/>
    <n v="18241"/>
    <n v="912.05"/>
    <n v="0.05"/>
    <n v="17328.95"/>
    <n v="11498.2"/>
    <n v="5830.75"/>
  </r>
  <r>
    <s v="ORD-00066"/>
    <d v="2026-05-28T00:00:00"/>
    <s v="Sneakers"/>
    <s v="Footwear"/>
    <s v="Website"/>
    <x v="4"/>
    <s v="New"/>
    <s v="None"/>
    <n v="5"/>
    <n v="69779"/>
    <n v="348895"/>
    <n v="0"/>
    <n v="0"/>
    <n v="348895"/>
    <n v="175126.88"/>
    <n v="173768.12"/>
  </r>
  <r>
    <s v="ORD-00726"/>
    <d v="2026-05-30T00:00:00"/>
    <s v="Handbag"/>
    <s v="Accessories"/>
    <s v="Physical Store"/>
    <x v="4"/>
    <s v="Returning"/>
    <s v="None"/>
    <n v="4"/>
    <n v="41588"/>
    <n v="166352"/>
    <n v="0"/>
    <n v="0"/>
    <n v="166352"/>
    <n v="99948.63"/>
    <n v="66403.37"/>
  </r>
  <r>
    <s v="ORD-00188"/>
    <d v="2026-05-30T00:00:00"/>
    <s v="Jeans"/>
    <s v="Clothing"/>
    <s v="Physical Store"/>
    <x v="3"/>
    <s v="Returning"/>
    <s v="None"/>
    <n v="3"/>
    <n v="43301"/>
    <n v="129903"/>
    <n v="0"/>
    <n v="0"/>
    <n v="129903"/>
    <n v="79361.66"/>
    <n v="50541.34"/>
  </r>
  <r>
    <s v="ORD-00564"/>
    <d v="2026-05-30T00:00:00"/>
    <s v="Cap"/>
    <s v="Accessories"/>
    <s v="Physical Store"/>
    <x v="0"/>
    <s v="New"/>
    <s v="None"/>
    <n v="4"/>
    <n v="11685"/>
    <n v="46740"/>
    <n v="0"/>
    <n v="0"/>
    <n v="46740"/>
    <n v="23397.16"/>
    <n v="23342.84"/>
  </r>
  <r>
    <s v="ORD-00524"/>
    <d v="2026-06-01T00:00:00"/>
    <s v="T-Shirt"/>
    <s v="Clothing"/>
    <s v="Physical Store"/>
    <x v="4"/>
    <s v="Returning"/>
    <s v="None"/>
    <n v="1"/>
    <n v="18269"/>
    <n v="18269"/>
    <n v="0"/>
    <n v="0"/>
    <n v="18269"/>
    <n v="10331.27"/>
    <n v="7937.73"/>
  </r>
  <r>
    <s v="ORD-01086"/>
    <d v="2026-06-01T00:00:00"/>
    <s v="Handbag"/>
    <s v="Accessories"/>
    <s v="Physical Store"/>
    <x v="2"/>
    <s v="Returning"/>
    <s v="Mid-Year Sale"/>
    <n v="3"/>
    <n v="43157"/>
    <n v="129471"/>
    <n v="12947.1"/>
    <n v="0.1"/>
    <n v="116523.9"/>
    <n v="73013.16"/>
    <n v="43510.739999999991"/>
  </r>
  <r>
    <s v="ORD-00671"/>
    <d v="2026-06-01T00:00:00"/>
    <s v="Jeans"/>
    <s v="Clothing"/>
    <s v="WhatsApp"/>
    <x v="0"/>
    <s v="New"/>
    <s v="None"/>
    <n v="1"/>
    <n v="41722"/>
    <n v="41722"/>
    <n v="0"/>
    <n v="0"/>
    <n v="41722"/>
    <n v="24175.74"/>
    <n v="17546.259999999998"/>
  </r>
  <r>
    <s v="ORD-00161"/>
    <d v="2026-06-02T00:00:00"/>
    <s v="T-Shirt"/>
    <s v="Clothing"/>
    <s v="Physical Store"/>
    <x v="1"/>
    <s v="New"/>
    <s v="None"/>
    <n v="2"/>
    <n v="16861"/>
    <n v="33722"/>
    <n v="0"/>
    <n v="0"/>
    <n v="33722"/>
    <n v="18783.96"/>
    <n v="14938.04"/>
  </r>
  <r>
    <s v="ORD-00312"/>
    <d v="2026-06-02T00:00:00"/>
    <s v="Sneakers"/>
    <s v="Footwear"/>
    <s v="Physical Store"/>
    <x v="3"/>
    <s v="New"/>
    <s v="None"/>
    <n v="2"/>
    <n v="66506"/>
    <n v="133012"/>
    <n v="0"/>
    <n v="0"/>
    <n v="133012"/>
    <n v="75274.759999999995"/>
    <n v="57737.240000000005"/>
  </r>
  <r>
    <s v="ORD-01160"/>
    <d v="2026-06-03T00:00:00"/>
    <s v="Handbag"/>
    <s v="Accessories"/>
    <s v="Instagram"/>
    <x v="3"/>
    <s v="New"/>
    <s v="Mid-Year Sale"/>
    <n v="2"/>
    <n v="42899"/>
    <n v="85798"/>
    <n v="8579.7999999999993"/>
    <n v="0.1"/>
    <n v="77218.2"/>
    <n v="44436.42"/>
    <n v="32781.78"/>
  </r>
  <r>
    <s v="ORD-00430"/>
    <d v="2026-06-03T00:00:00"/>
    <s v="Dress"/>
    <s v="Clothing"/>
    <s v="Physical Store"/>
    <x v="4"/>
    <s v="New"/>
    <s v="None"/>
    <n v="2"/>
    <n v="49218"/>
    <n v="98436"/>
    <n v="0"/>
    <n v="0"/>
    <n v="98436"/>
    <n v="59563.19"/>
    <n v="38872.81"/>
  </r>
  <r>
    <s v="ORD-00491"/>
    <d v="2026-06-04T00:00:00"/>
    <s v="Sneakers"/>
    <s v="Footwear"/>
    <s v="Website"/>
    <x v="4"/>
    <s v="Returning"/>
    <s v="Mid-Year Sale"/>
    <n v="1"/>
    <n v="69406"/>
    <n v="69406"/>
    <n v="3470.3"/>
    <n v="0.05"/>
    <n v="65935.7"/>
    <n v="38229.72"/>
    <n v="27705.979999999996"/>
  </r>
  <r>
    <s v="ORD-00850"/>
    <d v="2026-06-06T00:00:00"/>
    <s v="Handbag"/>
    <s v="Accessories"/>
    <s v="WhatsApp"/>
    <x v="4"/>
    <s v="Returning"/>
    <s v="None"/>
    <n v="1"/>
    <n v="45376"/>
    <n v="45376"/>
    <n v="0"/>
    <n v="0"/>
    <n v="45376"/>
    <n v="24710.87"/>
    <n v="20665.13"/>
  </r>
  <r>
    <s v="ORD-00435"/>
    <d v="2026-06-09T00:00:00"/>
    <s v="Jeans"/>
    <s v="Clothing"/>
    <s v="Website"/>
    <x v="0"/>
    <s v="Returning"/>
    <s v="Mid-Year Sale"/>
    <n v="2"/>
    <n v="40686"/>
    <n v="81372"/>
    <n v="8137.2"/>
    <n v="0.1"/>
    <n v="73234.8"/>
    <n v="49519.38"/>
    <n v="23715.420000000006"/>
  </r>
  <r>
    <s v="ORD-00113"/>
    <d v="2026-06-10T00:00:00"/>
    <s v="Jeans"/>
    <s v="Clothing"/>
    <s v="Website"/>
    <x v="1"/>
    <s v="Returning"/>
    <s v="None"/>
    <n v="1"/>
    <n v="41259"/>
    <n v="41259"/>
    <n v="0"/>
    <n v="0"/>
    <n v="41259"/>
    <n v="21675.25"/>
    <n v="19583.75"/>
  </r>
  <r>
    <s v="ORD-01181"/>
    <d v="2026-06-11T00:00:00"/>
    <s v="Sneakers"/>
    <s v="Footwear"/>
    <s v="Physical Store"/>
    <x v="0"/>
    <s v="Returning"/>
    <s v="Mid-Year Sale"/>
    <n v="2"/>
    <n v="68363"/>
    <n v="136726"/>
    <n v="13672.6"/>
    <n v="0.1"/>
    <n v="123053.4"/>
    <n v="76868.52"/>
    <n v="46184.87999999999"/>
  </r>
  <r>
    <s v="ORD-01114"/>
    <d v="2026-06-12T00:00:00"/>
    <s v="Handbag"/>
    <s v="Accessories"/>
    <s v="Physical Store"/>
    <x v="4"/>
    <s v="New"/>
    <s v="Mid-Year Sale"/>
    <n v="1"/>
    <n v="46876"/>
    <n v="46876"/>
    <n v="2343.8000000000002"/>
    <n v="0.05"/>
    <n v="44532.2"/>
    <n v="25715.16"/>
    <n v="18817.039999999997"/>
  </r>
  <r>
    <s v="ORD-00475"/>
    <d v="2026-06-13T00:00:00"/>
    <s v="Polo Shirt"/>
    <s v="Clothing"/>
    <s v="Website"/>
    <x v="0"/>
    <s v="Returning"/>
    <s v="None"/>
    <n v="1"/>
    <n v="26929"/>
    <n v="26929"/>
    <n v="0"/>
    <n v="0"/>
    <n v="26929"/>
    <n v="15290.99"/>
    <n v="11638.01"/>
  </r>
  <r>
    <s v="ORD-00371"/>
    <d v="2026-06-14T00:00:00"/>
    <s v="Jeans"/>
    <s v="Clothing"/>
    <s v="Physical Store"/>
    <x v="1"/>
    <s v="Returning"/>
    <s v="None"/>
    <n v="3"/>
    <n v="43782"/>
    <n v="131346"/>
    <n v="0"/>
    <n v="0"/>
    <n v="131346"/>
    <n v="80323.759999999995"/>
    <n v="51022.240000000005"/>
  </r>
  <r>
    <s v="ORD-00335"/>
    <d v="2026-06-15T00:00:00"/>
    <s v="Belt"/>
    <s v="Accessories"/>
    <s v="WhatsApp"/>
    <x v="4"/>
    <s v="Returning"/>
    <s v="None"/>
    <n v="2"/>
    <n v="14892"/>
    <n v="29784"/>
    <n v="0"/>
    <n v="0"/>
    <n v="29784"/>
    <n v="18647.72"/>
    <n v="11136.279999999999"/>
  </r>
  <r>
    <s v="ORD-00190"/>
    <d v="2026-06-15T00:00:00"/>
    <s v="Cap"/>
    <s v="Accessories"/>
    <s v="Website"/>
    <x v="4"/>
    <s v="Returning"/>
    <s v="Mid-Year Sale"/>
    <n v="1"/>
    <n v="11879"/>
    <n v="11879"/>
    <n v="593.95000000000005"/>
    <n v="0.05"/>
    <n v="11285.05"/>
    <n v="5825.23"/>
    <n v="5459.82"/>
  </r>
  <r>
    <s v="ORD-00043"/>
    <d v="2026-06-16T00:00:00"/>
    <s v="Jeans"/>
    <s v="Clothing"/>
    <s v="Physical Store"/>
    <x v="4"/>
    <s v="Returning"/>
    <s v="Mid-Year Sale"/>
    <n v="5"/>
    <n v="42151"/>
    <n v="210755"/>
    <n v="31613.25"/>
    <n v="0.15"/>
    <n v="179141.75"/>
    <n v="137387.64000000001"/>
    <n v="41754.109999999986"/>
  </r>
  <r>
    <s v="ORD-00755"/>
    <d v="2026-06-16T00:00:00"/>
    <s v="Polo Shirt"/>
    <s v="Clothing"/>
    <s v="Website"/>
    <x v="4"/>
    <s v="Returning"/>
    <s v="None"/>
    <n v="2"/>
    <n v="24439"/>
    <n v="48878"/>
    <n v="0"/>
    <n v="0"/>
    <n v="48878"/>
    <n v="23858.29"/>
    <n v="25019.71"/>
  </r>
  <r>
    <s v="ORD-00713"/>
    <d v="2026-06-17T00:00:00"/>
    <s v="T-Shirt"/>
    <s v="Clothing"/>
    <s v="Instagram"/>
    <x v="3"/>
    <s v="New"/>
    <s v="None"/>
    <n v="1"/>
    <n v="18986"/>
    <n v="18986"/>
    <n v="0"/>
    <n v="0"/>
    <n v="18986"/>
    <n v="12403.28"/>
    <n v="6582.7199999999993"/>
  </r>
  <r>
    <s v="ORD-00607"/>
    <d v="2026-06-18T00:00:00"/>
    <s v="Polo Shirt"/>
    <s v="Clothing"/>
    <s v="Physical Store"/>
    <x v="4"/>
    <s v="Returning"/>
    <s v="Mid-Year Sale"/>
    <n v="3"/>
    <n v="24292"/>
    <n v="72876"/>
    <n v="7287.6"/>
    <n v="0.1"/>
    <n v="65588.399999999994"/>
    <n v="40275.980000000003"/>
    <n v="25312.419999999991"/>
  </r>
  <r>
    <s v="ORD-00624"/>
    <d v="2026-06-18T00:00:00"/>
    <s v="Sandals"/>
    <s v="Footwear"/>
    <s v="Website"/>
    <x v="1"/>
    <s v="New"/>
    <s v="Mid-Year Sale"/>
    <n v="1"/>
    <n v="30382"/>
    <n v="30382"/>
    <n v="6076.4"/>
    <n v="0.2"/>
    <n v="24305.599999999999"/>
    <n v="20122.47"/>
    <n v="4183.1299999999974"/>
  </r>
  <r>
    <s v="ORD-00622"/>
    <d v="2026-06-18T00:00:00"/>
    <s v="Handbag"/>
    <s v="Accessories"/>
    <s v="Website"/>
    <x v="4"/>
    <s v="New"/>
    <s v="None"/>
    <n v="3"/>
    <n v="42605"/>
    <n v="127815"/>
    <n v="0"/>
    <n v="0"/>
    <n v="127815"/>
    <n v="70389.64"/>
    <n v="57425.36"/>
  </r>
  <r>
    <s v="ORD-00750"/>
    <d v="2026-06-20T00:00:00"/>
    <s v="Dress"/>
    <s v="Clothing"/>
    <s v="Instagram"/>
    <x v="4"/>
    <s v="New"/>
    <s v="None"/>
    <n v="1"/>
    <n v="48805"/>
    <n v="48805"/>
    <n v="0"/>
    <n v="0"/>
    <n v="48805"/>
    <n v="29111.22"/>
    <n v="19693.78"/>
  </r>
  <r>
    <s v="ORD-00279"/>
    <d v="2026-06-21T00:00:00"/>
    <s v="Sandals"/>
    <s v="Footwear"/>
    <s v="Physical Store"/>
    <x v="0"/>
    <s v="Returning"/>
    <s v="None"/>
    <n v="4"/>
    <n v="31233"/>
    <n v="124932"/>
    <n v="0"/>
    <n v="0"/>
    <n v="124932"/>
    <n v="60139.22"/>
    <n v="64792.78"/>
  </r>
  <r>
    <s v="ORD-00974"/>
    <d v="2026-06-23T00:00:00"/>
    <s v="Belt"/>
    <s v="Accessories"/>
    <s v="Website"/>
    <x v="4"/>
    <s v="New"/>
    <s v="None"/>
    <n v="1"/>
    <n v="15979"/>
    <n v="15979"/>
    <n v="2396.85"/>
    <n v="0.15"/>
    <n v="13582.15"/>
    <n v="10790.34"/>
    <n v="2791.8099999999995"/>
  </r>
  <r>
    <s v="ORD-01015"/>
    <d v="2026-06-24T00:00:00"/>
    <s v="T-Shirt"/>
    <s v="Clothing"/>
    <s v="Website"/>
    <x v="3"/>
    <s v="New"/>
    <s v="None"/>
    <n v="1"/>
    <n v="16671"/>
    <n v="16671"/>
    <n v="0"/>
    <n v="0"/>
    <n v="16671"/>
    <n v="8751.07"/>
    <n v="7919.93"/>
  </r>
  <r>
    <s v="ORD-00522"/>
    <d v="2026-06-27T00:00:00"/>
    <s v="Belt"/>
    <s v="Accessories"/>
    <s v="Physical Store"/>
    <x v="0"/>
    <s v="New"/>
    <s v="None"/>
    <n v="3"/>
    <n v="14512"/>
    <n v="43536"/>
    <n v="0"/>
    <n v="0"/>
    <n v="43536"/>
    <n v="29283.13"/>
    <n v="14252.869999999999"/>
  </r>
  <r>
    <s v="ORD-00951"/>
    <d v="2026-06-28T00:00:00"/>
    <s v="Belt"/>
    <s v="Accessories"/>
    <s v="Physical Store"/>
    <x v="4"/>
    <s v="Returning"/>
    <s v="None"/>
    <n v="2"/>
    <n v="14344"/>
    <n v="28688"/>
    <n v="0"/>
    <n v="0"/>
    <n v="28688"/>
    <n v="14696.39"/>
    <n v="13991.61"/>
  </r>
  <r>
    <s v="ORD-00761"/>
    <d v="2026-06-29T00:00:00"/>
    <s v="Belt"/>
    <s v="Accessories"/>
    <s v="Physical Store"/>
    <x v="4"/>
    <s v="New"/>
    <s v="None"/>
    <n v="2"/>
    <n v="14099"/>
    <n v="28198"/>
    <n v="0"/>
    <n v="0"/>
    <n v="28198"/>
    <n v="17845.14"/>
    <n v="10352.86"/>
  </r>
  <r>
    <s v="ORD-00351"/>
    <d v="2026-06-30T00:00:00"/>
    <s v="Cap"/>
    <s v="Accessories"/>
    <s v="Website"/>
    <x v="4"/>
    <s v="Returning"/>
    <s v="Mid-Year Sale"/>
    <n v="2"/>
    <n v="11082"/>
    <n v="22164"/>
    <n v="2216.4"/>
    <n v="0.1"/>
    <n v="19947.599999999999"/>
    <n v="10822.36"/>
    <n v="9125.239999999998"/>
  </r>
  <r>
    <s v="ORD-00451"/>
    <d v="2026-07-01T00:00:00"/>
    <s v="Polo Shirt"/>
    <s v="Clothing"/>
    <s v="WhatsApp"/>
    <x v="2"/>
    <s v="New"/>
    <s v="None"/>
    <n v="4"/>
    <n v="23096"/>
    <n v="92384"/>
    <n v="0"/>
    <n v="0"/>
    <n v="92384"/>
    <n v="57062.61"/>
    <n v="35321.39"/>
  </r>
  <r>
    <s v="ORD-01197"/>
    <d v="2026-07-02T00:00:00"/>
    <s v="T-Shirt"/>
    <s v="Clothing"/>
    <s v="Physical Store"/>
    <x v="3"/>
    <s v="New"/>
    <s v="None"/>
    <n v="1"/>
    <n v="18534"/>
    <n v="18534"/>
    <n v="926.7"/>
    <n v="0.05"/>
    <n v="17607.3"/>
    <n v="9351.48"/>
    <n v="8255.82"/>
  </r>
  <r>
    <s v="ORD-00208"/>
    <d v="2026-07-02T00:00:00"/>
    <s v="Cap"/>
    <s v="Accessories"/>
    <s v="Physical Store"/>
    <x v="4"/>
    <s v="New"/>
    <s v="Mid-Year Sale"/>
    <n v="1"/>
    <n v="12215"/>
    <n v="12215"/>
    <n v="1221.5"/>
    <n v="0.1"/>
    <n v="10993.5"/>
    <n v="8157.32"/>
    <n v="2836.1800000000003"/>
  </r>
  <r>
    <s v="ORD-00960"/>
    <d v="2026-07-03T00:00:00"/>
    <s v="Hoodie"/>
    <s v="Clothing"/>
    <s v="Instagram"/>
    <x v="3"/>
    <s v="Returning"/>
    <s v="None"/>
    <n v="1"/>
    <n v="37851"/>
    <n v="37851"/>
    <n v="0"/>
    <n v="0"/>
    <n v="37851"/>
    <n v="24681.65"/>
    <n v="13169.349999999999"/>
  </r>
  <r>
    <s v="ORD-00768"/>
    <d v="2026-07-06T00:00:00"/>
    <s v="Belt"/>
    <s v="Accessories"/>
    <s v="Website"/>
    <x v="4"/>
    <s v="New"/>
    <s v="None"/>
    <n v="3"/>
    <n v="15695"/>
    <n v="47085"/>
    <n v="0"/>
    <n v="0"/>
    <n v="47085"/>
    <n v="23665.86"/>
    <n v="23419.14"/>
  </r>
  <r>
    <s v="ORD-00674"/>
    <d v="2026-07-07T00:00:00"/>
    <s v="Cap"/>
    <s v="Accessories"/>
    <s v="Physical Store"/>
    <x v="2"/>
    <s v="Returning"/>
    <s v="Mid-Year Sale"/>
    <n v="2"/>
    <n v="11222"/>
    <n v="22444"/>
    <n v="1122.2"/>
    <n v="0.05"/>
    <n v="21321.8"/>
    <n v="14029.65"/>
    <n v="7292.15"/>
  </r>
  <r>
    <s v="ORD-00584"/>
    <d v="2026-07-07T00:00:00"/>
    <s v="Handbag"/>
    <s v="Accessories"/>
    <s v="WhatsApp"/>
    <x v="0"/>
    <s v="New"/>
    <s v="Mid-Year Sale"/>
    <n v="1"/>
    <n v="42837"/>
    <n v="42837"/>
    <n v="6425.55"/>
    <n v="0.15"/>
    <n v="36411.449999999997"/>
    <n v="24860.02"/>
    <n v="11551.429999999997"/>
  </r>
  <r>
    <s v="ORD-00719"/>
    <d v="2026-07-08T00:00:00"/>
    <s v="Jeans"/>
    <s v="Clothing"/>
    <s v="WhatsApp"/>
    <x v="2"/>
    <s v="New"/>
    <s v="Mid-Year Sale"/>
    <n v="4"/>
    <n v="40126"/>
    <n v="160504"/>
    <n v="16050.4"/>
    <n v="0.1"/>
    <n v="144453.6"/>
    <n v="102823.13"/>
    <n v="41630.47"/>
  </r>
  <r>
    <s v="ORD-00402"/>
    <d v="2026-07-08T00:00:00"/>
    <s v="Cap"/>
    <s v="Accessories"/>
    <s v="Physical Store"/>
    <x v="4"/>
    <s v="Returning"/>
    <s v="Mid-Year Sale"/>
    <n v="1"/>
    <n v="11502"/>
    <n v="11502"/>
    <n v="1725.3"/>
    <n v="0.15"/>
    <n v="9776.7000000000007"/>
    <n v="5706.33"/>
    <n v="4070.3700000000008"/>
  </r>
  <r>
    <s v="ORD-00275"/>
    <d v="2026-07-09T00:00:00"/>
    <s v="Polo Shirt"/>
    <s v="Clothing"/>
    <s v="Physical Store"/>
    <x v="1"/>
    <s v="New"/>
    <s v="None"/>
    <n v="2"/>
    <n v="26392"/>
    <n v="52784"/>
    <n v="0"/>
    <n v="0"/>
    <n v="52784"/>
    <n v="34677.56"/>
    <n v="18106.440000000002"/>
  </r>
  <r>
    <s v="ORD-01110"/>
    <d v="2026-07-09T00:00:00"/>
    <s v="Handbag"/>
    <s v="Accessories"/>
    <s v="Physical Store"/>
    <x v="2"/>
    <s v="Returning"/>
    <s v="Mid-Year Sale"/>
    <n v="1"/>
    <n v="46286"/>
    <n v="46286"/>
    <n v="6942.9"/>
    <n v="0.15"/>
    <n v="39343.1"/>
    <n v="30546.53"/>
    <n v="8796.57"/>
  </r>
  <r>
    <s v="ORD-01187"/>
    <d v="2026-07-09T00:00:00"/>
    <s v="Hoodie"/>
    <s v="Clothing"/>
    <s v="Instagram"/>
    <x v="3"/>
    <s v="Returning"/>
    <s v="Mid-Year Sale"/>
    <n v="3"/>
    <n v="40171"/>
    <n v="120513"/>
    <n v="18076.95"/>
    <n v="0.15"/>
    <n v="102436.05"/>
    <n v="68981.63"/>
    <n v="33454.42"/>
  </r>
  <r>
    <s v="ORD-01134"/>
    <d v="2026-07-09T00:00:00"/>
    <s v="Belt"/>
    <s v="Accessories"/>
    <s v="Website"/>
    <x v="4"/>
    <s v="Returning"/>
    <s v="None"/>
    <n v="1"/>
    <n v="14377"/>
    <n v="14377"/>
    <n v="0"/>
    <n v="0"/>
    <n v="14377"/>
    <n v="8539.09"/>
    <n v="5837.91"/>
  </r>
  <r>
    <s v="ORD-01016"/>
    <d v="2026-07-10T00:00:00"/>
    <s v="Handbag"/>
    <s v="Accessories"/>
    <s v="WhatsApp"/>
    <x v="4"/>
    <s v="New"/>
    <s v="None"/>
    <n v="1"/>
    <n v="41561"/>
    <n v="41561"/>
    <n v="0"/>
    <n v="0"/>
    <n v="41561"/>
    <n v="22141"/>
    <n v="19420"/>
  </r>
  <r>
    <s v="ORD-00803"/>
    <d v="2026-07-11T00:00:00"/>
    <s v="Sandals"/>
    <s v="Footwear"/>
    <s v="Instagram"/>
    <x v="2"/>
    <s v="New"/>
    <s v="Mid-Year Sale"/>
    <n v="3"/>
    <n v="29007"/>
    <n v="87021"/>
    <n v="4351.05"/>
    <n v="0.05"/>
    <n v="82669.95"/>
    <n v="48317.56"/>
    <n v="34352.39"/>
  </r>
  <r>
    <s v="ORD-00521"/>
    <d v="2026-07-13T00:00:00"/>
    <s v="Cap"/>
    <s v="Accessories"/>
    <s v="Website"/>
    <x v="2"/>
    <s v="Returning"/>
    <s v="None"/>
    <n v="1"/>
    <n v="12610"/>
    <n v="12610"/>
    <n v="1261"/>
    <n v="0.1"/>
    <n v="11349"/>
    <n v="7318.51"/>
    <n v="4030.49"/>
  </r>
  <r>
    <s v="ORD-00926"/>
    <d v="2026-07-13T00:00:00"/>
    <s v="T-Shirt"/>
    <s v="Clothing"/>
    <s v="WhatsApp"/>
    <x v="4"/>
    <s v="Returning"/>
    <s v="Mid-Year Sale"/>
    <n v="1"/>
    <n v="18079"/>
    <n v="18079"/>
    <n v="3615.8"/>
    <n v="0.2"/>
    <n v="14463.2"/>
    <n v="11709.77"/>
    <n v="2753.4300000000003"/>
  </r>
  <r>
    <s v="ORD-01133"/>
    <d v="2026-07-14T00:00:00"/>
    <s v="Dress"/>
    <s v="Clothing"/>
    <s v="WhatsApp"/>
    <x v="0"/>
    <s v="New"/>
    <s v="Mid-Year Sale"/>
    <n v="2"/>
    <n v="50623"/>
    <n v="101246"/>
    <n v="15186.9"/>
    <n v="0.15"/>
    <n v="86059.1"/>
    <n v="51845.73"/>
    <n v="34213.370000000003"/>
  </r>
  <r>
    <s v="ORD-00259"/>
    <d v="2026-07-16T00:00:00"/>
    <s v="Handbag"/>
    <s v="Accessories"/>
    <s v="Physical Store"/>
    <x v="2"/>
    <s v="New"/>
    <s v="None"/>
    <n v="3"/>
    <n v="43644"/>
    <n v="130932"/>
    <n v="0"/>
    <n v="0"/>
    <n v="130932"/>
    <n v="67410.17"/>
    <n v="63521.83"/>
  </r>
  <r>
    <s v="ORD-00517"/>
    <d v="2026-07-17T00:00:00"/>
    <s v="Belt"/>
    <s v="Accessories"/>
    <s v="Instagram"/>
    <x v="4"/>
    <s v="Returning"/>
    <s v="Mid-Year Sale"/>
    <n v="2"/>
    <n v="14154"/>
    <n v="28308"/>
    <n v="5661.6"/>
    <n v="0.2"/>
    <n v="22646.400000000001"/>
    <n v="14623.31"/>
    <n v="8023.090000000002"/>
  </r>
  <r>
    <s v="ORD-00482"/>
    <d v="2026-07-17T00:00:00"/>
    <s v="Handbag"/>
    <s v="Accessories"/>
    <s v="Instagram"/>
    <x v="4"/>
    <s v="New"/>
    <s v="Mid-Year Sale"/>
    <n v="1"/>
    <n v="45297"/>
    <n v="45297"/>
    <n v="9059.4"/>
    <n v="0.2"/>
    <n v="36237.599999999999"/>
    <n v="30754.62"/>
    <n v="5482.98"/>
  </r>
  <r>
    <s v="ORD-00176"/>
    <d v="2026-07-17T00:00:00"/>
    <s v="Jeans"/>
    <s v="Clothing"/>
    <s v="Website"/>
    <x v="3"/>
    <s v="New"/>
    <s v="Mid-Year Sale"/>
    <n v="3"/>
    <n v="43969"/>
    <n v="131907"/>
    <n v="26381.4"/>
    <n v="0.2"/>
    <n v="105525.6"/>
    <n v="69699.06"/>
    <n v="35826.540000000008"/>
  </r>
  <r>
    <s v="ORD-00092"/>
    <d v="2026-07-18T00:00:00"/>
    <s v="Cap"/>
    <s v="Accessories"/>
    <s v="Physical Store"/>
    <x v="2"/>
    <s v="Returning"/>
    <s v="Mid-Year Sale"/>
    <n v="1"/>
    <n v="11542"/>
    <n v="11542"/>
    <n v="1154.2"/>
    <n v="0.1"/>
    <n v="10387.799999999999"/>
    <n v="7632.16"/>
    <n v="2755.6399999999994"/>
  </r>
  <r>
    <s v="ORD-00483"/>
    <d v="2026-07-22T00:00:00"/>
    <s v="Dress"/>
    <s v="Clothing"/>
    <s v="Instagram"/>
    <x v="4"/>
    <s v="Returning"/>
    <s v="None"/>
    <n v="3"/>
    <n v="51515"/>
    <n v="154545"/>
    <n v="0"/>
    <n v="0"/>
    <n v="154545"/>
    <n v="95628.22"/>
    <n v="58916.78"/>
  </r>
  <r>
    <s v="ORD-01001"/>
    <d v="2026-07-22T00:00:00"/>
    <s v="Handbag"/>
    <s v="Accessories"/>
    <s v="Website"/>
    <x v="4"/>
    <s v="Returning"/>
    <s v="Mid-Year Sale"/>
    <n v="2"/>
    <n v="41463"/>
    <n v="82926"/>
    <n v="8292.6"/>
    <n v="0.1"/>
    <n v="74633.399999999994"/>
    <n v="55410.26"/>
    <n v="19223.139999999992"/>
  </r>
  <r>
    <s v="ORD-00973"/>
    <d v="2026-07-22T00:00:00"/>
    <s v="Sandals"/>
    <s v="Footwear"/>
    <s v="WhatsApp"/>
    <x v="2"/>
    <s v="New"/>
    <s v="None"/>
    <n v="3"/>
    <n v="28340"/>
    <n v="85020"/>
    <n v="0"/>
    <n v="0"/>
    <n v="85020"/>
    <n v="53366.78"/>
    <n v="31653.22"/>
  </r>
  <r>
    <s v="ORD-00440"/>
    <d v="2026-07-23T00:00:00"/>
    <s v="Jeans"/>
    <s v="Clothing"/>
    <s v="Physical Store"/>
    <x v="0"/>
    <s v="New"/>
    <s v="Mid-Year Sale"/>
    <n v="2"/>
    <n v="41620"/>
    <n v="83240"/>
    <n v="12486"/>
    <n v="0.15"/>
    <n v="70754"/>
    <n v="44865.46"/>
    <n v="25888.54"/>
  </r>
  <r>
    <s v="ORD-01093"/>
    <d v="2026-07-23T00:00:00"/>
    <s v="Handbag"/>
    <s v="Accessories"/>
    <s v="Physical Store"/>
    <x v="2"/>
    <s v="Returning"/>
    <s v="Mid-Year Sale"/>
    <n v="2"/>
    <n v="47218"/>
    <n v="94436"/>
    <n v="9443.6"/>
    <n v="0.1"/>
    <n v="84992.4"/>
    <n v="63516.78"/>
    <n v="21475.619999999995"/>
  </r>
  <r>
    <s v="ORD-00316"/>
    <d v="2026-07-24T00:00:00"/>
    <s v="Dress"/>
    <s v="Clothing"/>
    <s v="Website"/>
    <x v="2"/>
    <s v="Returning"/>
    <s v="Mid-Year Sale"/>
    <n v="1"/>
    <n v="50847"/>
    <n v="50847"/>
    <n v="2542.35"/>
    <n v="0.05"/>
    <n v="48304.65"/>
    <n v="24864.15"/>
    <n v="23440.5"/>
  </r>
  <r>
    <s v="ORD-01102"/>
    <d v="2026-07-24T00:00:00"/>
    <s v="Cap"/>
    <s v="Accessories"/>
    <s v="Physical Store"/>
    <x v="2"/>
    <s v="New"/>
    <s v="None"/>
    <n v="1"/>
    <n v="11374"/>
    <n v="11374"/>
    <n v="0"/>
    <n v="0"/>
    <n v="11374"/>
    <n v="7288.33"/>
    <n v="4085.67"/>
  </r>
  <r>
    <s v="ORD-00865"/>
    <d v="2026-07-24T00:00:00"/>
    <s v="Dress"/>
    <s v="Clothing"/>
    <s v="Instagram"/>
    <x v="4"/>
    <s v="New"/>
    <s v="None"/>
    <n v="2"/>
    <n v="48689"/>
    <n v="97378"/>
    <n v="0"/>
    <n v="0"/>
    <n v="97378"/>
    <n v="57281.4"/>
    <n v="40096.6"/>
  </r>
  <r>
    <s v="ORD-01164"/>
    <d v="2026-07-25T00:00:00"/>
    <s v="Jeans"/>
    <s v="Clothing"/>
    <s v="Website"/>
    <x v="0"/>
    <s v="Returning"/>
    <s v="Mid-Year Sale"/>
    <n v="1"/>
    <n v="43631"/>
    <n v="43631"/>
    <n v="6544.65"/>
    <n v="0.15"/>
    <n v="37086.35"/>
    <n v="24493.26"/>
    <n v="12593.09"/>
  </r>
  <r>
    <s v="ORD-00871"/>
    <d v="2026-07-25T00:00:00"/>
    <s v="Sandals"/>
    <s v="Footwear"/>
    <s v="WhatsApp"/>
    <x v="4"/>
    <s v="Returning"/>
    <s v="Mid-Year Sale"/>
    <n v="1"/>
    <n v="30144"/>
    <n v="30144"/>
    <n v="6028.8"/>
    <n v="0.2"/>
    <n v="24115.200000000001"/>
    <n v="16694.09"/>
    <n v="7421.1100000000006"/>
  </r>
  <r>
    <s v="ORD-01152"/>
    <d v="2026-07-27T00:00:00"/>
    <s v="Sneakers"/>
    <s v="Footwear"/>
    <s v="Physical Store"/>
    <x v="0"/>
    <s v="Returning"/>
    <s v="Mid-Year Sale"/>
    <n v="1"/>
    <n v="63975"/>
    <n v="63975"/>
    <n v="6397.5"/>
    <n v="0.1"/>
    <n v="57577.5"/>
    <n v="43091"/>
    <n v="14486.5"/>
  </r>
  <r>
    <s v="ORD-00881"/>
    <d v="2026-07-27T00:00:00"/>
    <s v="T-Shirt"/>
    <s v="Clothing"/>
    <s v="WhatsApp"/>
    <x v="4"/>
    <s v="Returning"/>
    <s v="None"/>
    <n v="2"/>
    <n v="18929"/>
    <n v="37858"/>
    <n v="1892.9"/>
    <n v="0.05"/>
    <n v="35965.1"/>
    <n v="23480.6"/>
    <n v="12484.5"/>
  </r>
  <r>
    <s v="ORD-01050"/>
    <d v="2026-07-27T00:00:00"/>
    <s v="Dress"/>
    <s v="Clothing"/>
    <s v="Website"/>
    <x v="1"/>
    <s v="New"/>
    <s v="None"/>
    <n v="1"/>
    <n v="46271"/>
    <n v="46271"/>
    <n v="0"/>
    <n v="0"/>
    <n v="46271"/>
    <n v="26522.02"/>
    <n v="19748.98"/>
  </r>
  <r>
    <s v="ORD-00976"/>
    <d v="2026-07-28T00:00:00"/>
    <s v="Sneakers"/>
    <s v="Footwear"/>
    <s v="Website"/>
    <x v="1"/>
    <s v="New"/>
    <s v="Mid-Year Sale"/>
    <n v="1"/>
    <n v="62220"/>
    <n v="62220"/>
    <n v="6222"/>
    <n v="0.1"/>
    <n v="55998"/>
    <n v="40722.559999999998"/>
    <n v="15275.440000000002"/>
  </r>
  <r>
    <s v="ORD-00954"/>
    <d v="2026-08-01T00:00:00"/>
    <s v="Jeans"/>
    <s v="Clothing"/>
    <s v="Instagram"/>
    <x v="4"/>
    <s v="Returning"/>
    <s v="None"/>
    <n v="1"/>
    <n v="43659"/>
    <n v="43659"/>
    <n v="0"/>
    <n v="0"/>
    <n v="43659"/>
    <n v="29322.46"/>
    <n v="14336.54"/>
  </r>
  <r>
    <s v="ORD-00453"/>
    <d v="2026-08-03T00:00:00"/>
    <s v="Hoodie"/>
    <s v="Clothing"/>
    <s v="Physical Store"/>
    <x v="4"/>
    <s v="New"/>
    <s v="None"/>
    <n v="3"/>
    <n v="40980"/>
    <n v="122940"/>
    <n v="0"/>
    <n v="0"/>
    <n v="122940"/>
    <n v="68132.7"/>
    <n v="54807.3"/>
  </r>
  <r>
    <s v="ORD-00728"/>
    <d v="2026-08-04T00:00:00"/>
    <s v="Sneakers"/>
    <s v="Footwear"/>
    <s v="Website"/>
    <x v="4"/>
    <s v="Returning"/>
    <s v="None"/>
    <n v="2"/>
    <n v="64451"/>
    <n v="128902"/>
    <n v="0"/>
    <n v="0"/>
    <n v="128902"/>
    <n v="74320"/>
    <n v="54582"/>
  </r>
  <r>
    <s v="ORD-00924"/>
    <d v="2026-08-04T00:00:00"/>
    <s v="Polo Shirt"/>
    <s v="Clothing"/>
    <s v="Physical Store"/>
    <x v="3"/>
    <s v="New"/>
    <s v="None"/>
    <n v="1"/>
    <n v="25875"/>
    <n v="25875"/>
    <n v="0"/>
    <n v="0"/>
    <n v="25875"/>
    <n v="17162.48"/>
    <n v="8712.52"/>
  </r>
  <r>
    <s v="ORD-00819"/>
    <d v="2026-08-05T00:00:00"/>
    <s v="Sneakers"/>
    <s v="Footwear"/>
    <s v="Physical Store"/>
    <x v="0"/>
    <s v="New"/>
    <s v="None"/>
    <n v="1"/>
    <n v="59887"/>
    <n v="59887"/>
    <n v="0"/>
    <n v="0"/>
    <n v="59887"/>
    <n v="30256.94"/>
    <n v="29630.06"/>
  </r>
  <r>
    <s v="ORD-00434"/>
    <d v="2026-08-05T00:00:00"/>
    <s v="Handbag"/>
    <s v="Accessories"/>
    <s v="WhatsApp"/>
    <x v="2"/>
    <s v="New"/>
    <s v="None"/>
    <n v="4"/>
    <n v="43791"/>
    <n v="175164"/>
    <n v="0"/>
    <n v="0"/>
    <n v="175164"/>
    <n v="110889.89"/>
    <n v="64274.11"/>
  </r>
  <r>
    <s v="ORD-01145"/>
    <d v="2026-08-06T00:00:00"/>
    <s v="Sneakers"/>
    <s v="Footwear"/>
    <s v="Physical Store"/>
    <x v="1"/>
    <s v="Returning"/>
    <s v="None"/>
    <n v="1"/>
    <n v="70176"/>
    <n v="70176"/>
    <n v="3508.8"/>
    <n v="0.05"/>
    <n v="66667.199999999997"/>
    <n v="45505.62"/>
    <n v="21161.579999999994"/>
  </r>
  <r>
    <s v="ORD-00809"/>
    <d v="2026-08-08T00:00:00"/>
    <s v="Cap"/>
    <s v="Accessories"/>
    <s v="Website"/>
    <x v="4"/>
    <s v="New"/>
    <s v="None"/>
    <n v="1"/>
    <n v="11417"/>
    <n v="11417"/>
    <n v="0"/>
    <n v="0"/>
    <n v="11417"/>
    <n v="5876.49"/>
    <n v="5540.51"/>
  </r>
  <r>
    <s v="ORD-01184"/>
    <d v="2026-08-09T00:00:00"/>
    <s v="Jeans"/>
    <s v="Clothing"/>
    <s v="Website"/>
    <x v="0"/>
    <s v="Returning"/>
    <s v="None"/>
    <n v="5"/>
    <n v="42657"/>
    <n v="213285"/>
    <n v="0"/>
    <n v="0"/>
    <n v="213285"/>
    <n v="116836.8"/>
    <n v="96448.2"/>
  </r>
  <r>
    <s v="ORD-00908"/>
    <d v="2026-08-09T00:00:00"/>
    <s v="Handbag"/>
    <s v="Accessories"/>
    <s v="Physical Store"/>
    <x v="4"/>
    <s v="Returning"/>
    <s v="None"/>
    <n v="1"/>
    <n v="44728"/>
    <n v="44728"/>
    <n v="0"/>
    <n v="0"/>
    <n v="44728"/>
    <n v="23763.49"/>
    <n v="20964.509999999998"/>
  </r>
  <r>
    <s v="ORD-00143"/>
    <d v="2026-08-09T00:00:00"/>
    <s v="Sneakers"/>
    <s v="Footwear"/>
    <s v="Physical Store"/>
    <x v="4"/>
    <s v="New"/>
    <s v="None"/>
    <n v="1"/>
    <n v="65512"/>
    <n v="65512"/>
    <n v="0"/>
    <n v="0"/>
    <n v="65512"/>
    <n v="40365.300000000003"/>
    <n v="25146.699999999997"/>
  </r>
  <r>
    <s v="ORD-00449"/>
    <d v="2026-08-11T00:00:00"/>
    <s v="T-Shirt"/>
    <s v="Clothing"/>
    <s v="WhatsApp"/>
    <x v="4"/>
    <s v="New"/>
    <s v="None"/>
    <n v="1"/>
    <n v="17825"/>
    <n v="17825"/>
    <n v="0"/>
    <n v="0"/>
    <n v="17825"/>
    <n v="9478.59"/>
    <n v="8346.41"/>
  </r>
  <r>
    <s v="ORD-00882"/>
    <d v="2026-08-12T00:00:00"/>
    <s v="Sandals"/>
    <s v="Footwear"/>
    <s v="Instagram"/>
    <x v="4"/>
    <s v="Returning"/>
    <s v="None"/>
    <n v="1"/>
    <n v="29451"/>
    <n v="29451"/>
    <n v="2945.1"/>
    <n v="0.1"/>
    <n v="26505.9"/>
    <n v="14545.9"/>
    <n v="11960.000000000002"/>
  </r>
  <r>
    <s v="ORD-01192"/>
    <d v="2026-08-12T00:00:00"/>
    <s v="Handbag"/>
    <s v="Accessories"/>
    <s v="Physical Store"/>
    <x v="3"/>
    <s v="New"/>
    <s v="None"/>
    <n v="3"/>
    <n v="47039"/>
    <n v="141117"/>
    <n v="0"/>
    <n v="0"/>
    <n v="141117"/>
    <n v="74848.62"/>
    <n v="66268.38"/>
  </r>
  <r>
    <s v="ORD-00171"/>
    <d v="2026-08-12T00:00:00"/>
    <s v="Handbag"/>
    <s v="Accessories"/>
    <s v="Physical Store"/>
    <x v="2"/>
    <s v="Returning"/>
    <s v="None"/>
    <n v="1"/>
    <n v="46086"/>
    <n v="46086"/>
    <n v="0"/>
    <n v="0"/>
    <n v="46086"/>
    <n v="27294.83"/>
    <n v="18791.169999999998"/>
  </r>
  <r>
    <s v="ORD-00222"/>
    <d v="2026-08-12T00:00:00"/>
    <s v="Handbag"/>
    <s v="Accessories"/>
    <s v="WhatsApp"/>
    <x v="0"/>
    <s v="Returning"/>
    <s v="None"/>
    <n v="2"/>
    <n v="42554"/>
    <n v="85108"/>
    <n v="0"/>
    <n v="0"/>
    <n v="85108"/>
    <n v="43903.02"/>
    <n v="41204.980000000003"/>
  </r>
  <r>
    <s v="ORD-00045"/>
    <d v="2026-08-13T00:00:00"/>
    <s v="Belt"/>
    <s v="Accessories"/>
    <s v="Physical Store"/>
    <x v="4"/>
    <s v="New"/>
    <s v="None"/>
    <n v="2"/>
    <n v="15224"/>
    <n v="30448"/>
    <n v="0"/>
    <n v="0"/>
    <n v="30448"/>
    <n v="18552.61"/>
    <n v="11895.39"/>
  </r>
  <r>
    <s v="ORD-00014"/>
    <d v="2026-08-13T00:00:00"/>
    <s v="Sneakers"/>
    <s v="Footwear"/>
    <s v="Website"/>
    <x v="0"/>
    <s v="New"/>
    <s v="None"/>
    <n v="2"/>
    <n v="66876"/>
    <n v="133752"/>
    <n v="13375.2"/>
    <n v="0.1"/>
    <n v="120376.8"/>
    <n v="90274.57"/>
    <n v="30102.229999999996"/>
  </r>
  <r>
    <s v="ORD-01063"/>
    <d v="2026-08-14T00:00:00"/>
    <s v="T-Shirt"/>
    <s v="Clothing"/>
    <s v="Website"/>
    <x v="4"/>
    <s v="Returning"/>
    <s v="None"/>
    <n v="1"/>
    <n v="16600"/>
    <n v="16600"/>
    <n v="0"/>
    <n v="0"/>
    <n v="16600"/>
    <n v="10664.82"/>
    <n v="5935.18"/>
  </r>
  <r>
    <s v="ORD-00376"/>
    <d v="2026-08-14T00:00:00"/>
    <s v="Belt"/>
    <s v="Accessories"/>
    <s v="Physical Store"/>
    <x v="2"/>
    <s v="Returning"/>
    <s v="None"/>
    <n v="1"/>
    <n v="16102"/>
    <n v="16102"/>
    <n v="0"/>
    <n v="0"/>
    <n v="16102"/>
    <n v="8012.85"/>
    <n v="8089.15"/>
  </r>
  <r>
    <s v="ORD-00212"/>
    <d v="2026-08-14T00:00:00"/>
    <s v="T-Shirt"/>
    <s v="Clothing"/>
    <s v="Physical Store"/>
    <x v="2"/>
    <s v="Returning"/>
    <s v="None"/>
    <n v="1"/>
    <n v="18916"/>
    <n v="18916"/>
    <n v="0"/>
    <n v="0"/>
    <n v="18916"/>
    <n v="12528.15"/>
    <n v="6387.85"/>
  </r>
  <r>
    <s v="ORD-00348"/>
    <d v="2026-08-15T00:00:00"/>
    <s v="Jeans"/>
    <s v="Clothing"/>
    <s v="WhatsApp"/>
    <x v="3"/>
    <s v="Returning"/>
    <s v="None"/>
    <n v="1"/>
    <n v="44166"/>
    <n v="44166"/>
    <n v="4416.6000000000004"/>
    <n v="0.1"/>
    <n v="39749.4"/>
    <n v="25836.23"/>
    <n v="13913.170000000002"/>
  </r>
  <r>
    <s v="ORD-01040"/>
    <d v="2026-08-15T00:00:00"/>
    <s v="Polo Shirt"/>
    <s v="Clothing"/>
    <s v="Website"/>
    <x v="3"/>
    <s v="New"/>
    <s v="None"/>
    <n v="1"/>
    <n v="26220"/>
    <n v="26220"/>
    <n v="0"/>
    <n v="0"/>
    <n v="26220"/>
    <n v="13927.96"/>
    <n v="12292.04"/>
  </r>
  <r>
    <s v="ORD-00027"/>
    <d v="2026-08-15T00:00:00"/>
    <s v="Cap"/>
    <s v="Accessories"/>
    <s v="WhatsApp"/>
    <x v="4"/>
    <s v="Returning"/>
    <s v="None"/>
    <n v="1"/>
    <n v="11291"/>
    <n v="11291"/>
    <n v="0"/>
    <n v="0"/>
    <n v="11291"/>
    <n v="6444.43"/>
    <n v="4846.57"/>
  </r>
  <r>
    <s v="ORD-01124"/>
    <d v="2026-08-15T00:00:00"/>
    <s v="Cap"/>
    <s v="Accessories"/>
    <s v="Website"/>
    <x v="2"/>
    <s v="New"/>
    <s v="None"/>
    <n v="2"/>
    <n v="11355"/>
    <n v="22710"/>
    <n v="0"/>
    <n v="0"/>
    <n v="22710"/>
    <n v="14356.33"/>
    <n v="8353.67"/>
  </r>
  <r>
    <s v="ORD-00029"/>
    <d v="2026-08-15T00:00:00"/>
    <s v="Sandals"/>
    <s v="Footwear"/>
    <s v="Website"/>
    <x v="4"/>
    <s v="Returning"/>
    <s v="None"/>
    <n v="2"/>
    <n v="31652"/>
    <n v="63304"/>
    <n v="0"/>
    <n v="0"/>
    <n v="63304"/>
    <n v="37796.97"/>
    <n v="25507.03"/>
  </r>
  <r>
    <s v="ORD-00842"/>
    <d v="2026-08-15T00:00:00"/>
    <s v="Belt"/>
    <s v="Accessories"/>
    <s v="Physical Store"/>
    <x v="1"/>
    <s v="Returning"/>
    <s v="None"/>
    <n v="1"/>
    <n v="14282"/>
    <n v="14282"/>
    <n v="0"/>
    <n v="0"/>
    <n v="14282"/>
    <n v="9290.92"/>
    <n v="4991.08"/>
  </r>
  <r>
    <s v="ORD-00516"/>
    <d v="2026-08-16T00:00:00"/>
    <s v="Sneakers"/>
    <s v="Footwear"/>
    <s v="WhatsApp"/>
    <x v="3"/>
    <s v="Returning"/>
    <s v="None"/>
    <n v="2"/>
    <n v="64832"/>
    <n v="129664"/>
    <n v="0"/>
    <n v="0"/>
    <n v="129664"/>
    <n v="85779.51"/>
    <n v="43884.490000000005"/>
  </r>
  <r>
    <s v="ORD-00235"/>
    <d v="2026-08-17T00:00:00"/>
    <s v="Handbag"/>
    <s v="Accessories"/>
    <s v="Physical Store"/>
    <x v="0"/>
    <s v="New"/>
    <s v="None"/>
    <n v="1"/>
    <n v="44183"/>
    <n v="44183"/>
    <n v="0"/>
    <n v="0"/>
    <n v="44183"/>
    <n v="24273.81"/>
    <n v="19909.189999999999"/>
  </r>
  <r>
    <s v="ORD-00101"/>
    <d v="2026-08-18T00:00:00"/>
    <s v="Dress"/>
    <s v="Clothing"/>
    <s v="Physical Store"/>
    <x v="3"/>
    <s v="New"/>
    <s v="None"/>
    <n v="1"/>
    <n v="49125"/>
    <n v="49125"/>
    <n v="0"/>
    <n v="0"/>
    <n v="49125"/>
    <n v="27234.240000000002"/>
    <n v="21890.76"/>
  </r>
  <r>
    <s v="ORD-00267"/>
    <d v="2026-08-19T00:00:00"/>
    <s v="Sneakers"/>
    <s v="Footwear"/>
    <s v="WhatsApp"/>
    <x v="4"/>
    <s v="New"/>
    <s v="None"/>
    <n v="1"/>
    <n v="68042"/>
    <n v="68042"/>
    <n v="0"/>
    <n v="0"/>
    <n v="68042"/>
    <n v="42870.080000000002"/>
    <n v="25171.919999999998"/>
  </r>
  <r>
    <s v="ORD-01149"/>
    <d v="2026-08-21T00:00:00"/>
    <s v="Belt"/>
    <s v="Accessories"/>
    <s v="Physical Store"/>
    <x v="1"/>
    <s v="New"/>
    <s v="None"/>
    <n v="1"/>
    <n v="15797"/>
    <n v="15797"/>
    <n v="0"/>
    <n v="0"/>
    <n v="15797"/>
    <n v="9726.1"/>
    <n v="6070.9"/>
  </r>
  <r>
    <s v="ORD-00896"/>
    <d v="2026-08-24T00:00:00"/>
    <s v="Dress"/>
    <s v="Clothing"/>
    <s v="Physical Store"/>
    <x v="1"/>
    <s v="New"/>
    <s v="None"/>
    <n v="3"/>
    <n v="46819"/>
    <n v="140457"/>
    <n v="0"/>
    <n v="0"/>
    <n v="140457"/>
    <n v="68861.41"/>
    <n v="71595.59"/>
  </r>
  <r>
    <s v="ORD-00501"/>
    <d v="2026-08-25T00:00:00"/>
    <s v="Polo Shirt"/>
    <s v="Clothing"/>
    <s v="Website"/>
    <x v="4"/>
    <s v="New"/>
    <s v="None"/>
    <n v="1"/>
    <n v="26934"/>
    <n v="26934"/>
    <n v="0"/>
    <n v="0"/>
    <n v="26934"/>
    <n v="16983.759999999998"/>
    <n v="9950.2400000000016"/>
  </r>
  <r>
    <s v="ORD-00867"/>
    <d v="2026-08-26T00:00:00"/>
    <s v="Belt"/>
    <s v="Accessories"/>
    <s v="Instagram"/>
    <x v="4"/>
    <s v="New"/>
    <s v="None"/>
    <n v="2"/>
    <n v="15156"/>
    <n v="30312"/>
    <n v="0"/>
    <n v="0"/>
    <n v="30312"/>
    <n v="20019.53"/>
    <n v="10292.470000000001"/>
  </r>
  <r>
    <s v="ORD-00390"/>
    <d v="2026-08-27T00:00:00"/>
    <s v="Belt"/>
    <s v="Accessories"/>
    <s v="Website"/>
    <x v="1"/>
    <s v="Returning"/>
    <s v="None"/>
    <n v="1"/>
    <n v="14243"/>
    <n v="14243"/>
    <n v="0"/>
    <n v="0"/>
    <n v="14243"/>
    <n v="7011.62"/>
    <n v="7231.38"/>
  </r>
  <r>
    <s v="ORD-00497"/>
    <d v="2026-08-28T00:00:00"/>
    <s v="Handbag"/>
    <s v="Accessories"/>
    <s v="Website"/>
    <x v="2"/>
    <s v="New"/>
    <s v="None"/>
    <n v="2"/>
    <n v="45573"/>
    <n v="91146"/>
    <n v="4557.3"/>
    <n v="0.05"/>
    <n v="86588.7"/>
    <n v="46983.05"/>
    <n v="39605.649999999994"/>
  </r>
  <r>
    <s v="ORD-00503"/>
    <d v="2026-08-29T00:00:00"/>
    <s v="T-Shirt"/>
    <s v="Clothing"/>
    <s v="Physical Store"/>
    <x v="4"/>
    <s v="Returning"/>
    <s v="None"/>
    <n v="1"/>
    <n v="16642"/>
    <n v="16642"/>
    <n v="0"/>
    <n v="0"/>
    <n v="16642"/>
    <n v="8910.61"/>
    <n v="7731.3899999999994"/>
  </r>
  <r>
    <s v="ORD-00287"/>
    <d v="2026-08-29T00:00:00"/>
    <s v="T-Shirt"/>
    <s v="Clothing"/>
    <s v="Instagram"/>
    <x v="4"/>
    <s v="Returning"/>
    <s v="None"/>
    <n v="1"/>
    <n v="17594"/>
    <n v="17594"/>
    <n v="0"/>
    <n v="0"/>
    <n v="17594"/>
    <n v="11332.99"/>
    <n v="6261.01"/>
  </r>
  <r>
    <s v="ORD-01200"/>
    <d v="2026-08-30T00:00:00"/>
    <s v="Belt"/>
    <s v="Accessories"/>
    <s v="WhatsApp"/>
    <x v="4"/>
    <s v="Returning"/>
    <s v="None"/>
    <n v="2"/>
    <n v="16091"/>
    <n v="32182"/>
    <n v="0"/>
    <n v="0"/>
    <n v="32182"/>
    <n v="17582.25"/>
    <n v="14599.75"/>
  </r>
  <r>
    <s v="ORD-00135"/>
    <d v="2026-08-30T00:00:00"/>
    <s v="Jeans"/>
    <s v="Clothing"/>
    <s v="Website"/>
    <x v="2"/>
    <s v="Returning"/>
    <s v="None"/>
    <n v="1"/>
    <n v="42645"/>
    <n v="42645"/>
    <n v="4264.5"/>
    <n v="0.1"/>
    <n v="38380.5"/>
    <n v="27694.85"/>
    <n v="10685.650000000001"/>
  </r>
  <r>
    <s v="ORD-01194"/>
    <d v="2026-09-01T00:00:00"/>
    <s v="Jeans"/>
    <s v="Clothing"/>
    <s v="Instagram"/>
    <x v="4"/>
    <s v="Returning"/>
    <s v="None"/>
    <n v="3"/>
    <n v="43298"/>
    <n v="129894"/>
    <n v="19484.099999999999"/>
    <n v="0.15"/>
    <n v="110409.9"/>
    <n v="62731.63"/>
    <n v="47678.27"/>
  </r>
  <r>
    <s v="ORD-00025"/>
    <d v="2026-09-02T00:00:00"/>
    <s v="Belt"/>
    <s v="Accessories"/>
    <s v="WhatsApp"/>
    <x v="4"/>
    <s v="Returning"/>
    <s v="None"/>
    <n v="2"/>
    <n v="15318"/>
    <n v="30636"/>
    <n v="0"/>
    <n v="0"/>
    <n v="30636"/>
    <n v="17846.18"/>
    <n v="12789.82"/>
  </r>
  <r>
    <s v="ORD-01071"/>
    <d v="2026-09-02T00:00:00"/>
    <s v="T-Shirt"/>
    <s v="Clothing"/>
    <s v="Instagram"/>
    <x v="2"/>
    <s v="New"/>
    <s v="None"/>
    <n v="2"/>
    <n v="16853"/>
    <n v="33706"/>
    <n v="3370.6"/>
    <n v="0.1"/>
    <n v="30335.4"/>
    <n v="20874.439999999999"/>
    <n v="9460.9600000000028"/>
  </r>
  <r>
    <s v="ORD-00405"/>
    <d v="2026-09-04T00:00:00"/>
    <s v="Hoodie"/>
    <s v="Clothing"/>
    <s v="WhatsApp"/>
    <x v="4"/>
    <s v="New"/>
    <s v="None"/>
    <n v="3"/>
    <n v="40748"/>
    <n v="122244"/>
    <n v="0"/>
    <n v="0"/>
    <n v="122244"/>
    <n v="73283.55"/>
    <n v="48960.45"/>
  </r>
  <r>
    <s v="ORD-01017"/>
    <d v="2026-09-07T00:00:00"/>
    <s v="Sneakers"/>
    <s v="Footwear"/>
    <s v="WhatsApp"/>
    <x v="4"/>
    <s v="Returning"/>
    <s v="None"/>
    <n v="1"/>
    <n v="63094"/>
    <n v="63094"/>
    <n v="0"/>
    <n v="0"/>
    <n v="63094"/>
    <n v="32004.46"/>
    <n v="31089.54"/>
  </r>
  <r>
    <s v="ORD-00258"/>
    <d v="2026-09-07T00:00:00"/>
    <s v="Hoodie"/>
    <s v="Clothing"/>
    <s v="Website"/>
    <x v="0"/>
    <s v="New"/>
    <s v="None"/>
    <n v="1"/>
    <n v="35901"/>
    <n v="35901"/>
    <n v="0"/>
    <n v="0"/>
    <n v="35901"/>
    <n v="20711.560000000001"/>
    <n v="15189.439999999999"/>
  </r>
  <r>
    <s v="ORD-01080"/>
    <d v="2026-09-07T00:00:00"/>
    <s v="Polo Shirt"/>
    <s v="Clothing"/>
    <s v="Physical Store"/>
    <x v="4"/>
    <s v="New"/>
    <s v="None"/>
    <n v="4"/>
    <n v="24893"/>
    <n v="99572"/>
    <n v="0"/>
    <n v="0"/>
    <n v="99572"/>
    <n v="62465.22"/>
    <n v="37106.78"/>
  </r>
  <r>
    <s v="ORD-01109"/>
    <d v="2026-09-08T00:00:00"/>
    <s v="Jeans"/>
    <s v="Clothing"/>
    <s v="WhatsApp"/>
    <x v="4"/>
    <s v="Returning"/>
    <s v="None"/>
    <n v="2"/>
    <n v="41969"/>
    <n v="83938"/>
    <n v="0"/>
    <n v="0"/>
    <n v="83938"/>
    <n v="40681.17"/>
    <n v="43256.83"/>
  </r>
  <r>
    <s v="ORD-00163"/>
    <d v="2026-09-08T00:00:00"/>
    <s v="Polo Shirt"/>
    <s v="Clothing"/>
    <s v="Website"/>
    <x v="2"/>
    <s v="New"/>
    <s v="None"/>
    <n v="4"/>
    <n v="25711"/>
    <n v="102844"/>
    <n v="0"/>
    <n v="0"/>
    <n v="102844"/>
    <n v="55439.12"/>
    <n v="47404.88"/>
  </r>
  <r>
    <s v="ORD-01105"/>
    <d v="2026-09-09T00:00:00"/>
    <s v="Polo Shirt"/>
    <s v="Clothing"/>
    <s v="Physical Store"/>
    <x v="0"/>
    <s v="New"/>
    <s v="None"/>
    <n v="2"/>
    <n v="24925"/>
    <n v="49850"/>
    <n v="4985"/>
    <n v="0.1"/>
    <n v="44865"/>
    <n v="28154.28"/>
    <n v="16710.72"/>
  </r>
  <r>
    <s v="ORD-00860"/>
    <d v="2026-09-09T00:00:00"/>
    <s v="Belt"/>
    <s v="Accessories"/>
    <s v="WhatsApp"/>
    <x v="3"/>
    <s v="New"/>
    <s v="None"/>
    <n v="2"/>
    <n v="14414"/>
    <n v="28828"/>
    <n v="0"/>
    <n v="0"/>
    <n v="28828"/>
    <n v="14405.57"/>
    <n v="14422.43"/>
  </r>
  <r>
    <s v="ORD-00611"/>
    <d v="2026-09-10T00:00:00"/>
    <s v="Dress"/>
    <s v="Clothing"/>
    <s v="Website"/>
    <x v="4"/>
    <s v="Returning"/>
    <s v="None"/>
    <n v="1"/>
    <n v="47218"/>
    <n v="47218"/>
    <n v="0"/>
    <n v="0"/>
    <n v="47218"/>
    <n v="26701.85"/>
    <n v="20516.150000000001"/>
  </r>
  <r>
    <s v="ORD-00600"/>
    <d v="2026-09-10T00:00:00"/>
    <s v="Sandals"/>
    <s v="Footwear"/>
    <s v="Website"/>
    <x v="1"/>
    <s v="New"/>
    <s v="None"/>
    <n v="2"/>
    <n v="30531"/>
    <n v="61062"/>
    <n v="0"/>
    <n v="0"/>
    <n v="61062"/>
    <n v="32817.67"/>
    <n v="28244.33"/>
  </r>
  <r>
    <s v="ORD-01193"/>
    <d v="2026-09-10T00:00:00"/>
    <s v="Hoodie"/>
    <s v="Clothing"/>
    <s v="Website"/>
    <x v="2"/>
    <s v="New"/>
    <s v="None"/>
    <n v="3"/>
    <n v="36671"/>
    <n v="110013"/>
    <n v="0"/>
    <n v="0"/>
    <n v="110013"/>
    <n v="53909.54"/>
    <n v="56103.46"/>
  </r>
  <r>
    <s v="ORD-00843"/>
    <d v="2026-09-11T00:00:00"/>
    <s v="Belt"/>
    <s v="Accessories"/>
    <s v="Instagram"/>
    <x v="4"/>
    <s v="New"/>
    <s v="None"/>
    <n v="1"/>
    <n v="15927"/>
    <n v="15927"/>
    <n v="0"/>
    <n v="0"/>
    <n v="15927"/>
    <n v="8991.9699999999993"/>
    <n v="6935.0300000000007"/>
  </r>
  <r>
    <s v="ORD-01103"/>
    <d v="2026-09-12T00:00:00"/>
    <s v="Handbag"/>
    <s v="Accessories"/>
    <s v="WhatsApp"/>
    <x v="3"/>
    <s v="Returning"/>
    <s v="None"/>
    <n v="2"/>
    <n v="46530"/>
    <n v="93060"/>
    <n v="0"/>
    <n v="0"/>
    <n v="93060"/>
    <n v="50934.97"/>
    <n v="42125.03"/>
  </r>
  <r>
    <s v="ORD-01186"/>
    <d v="2026-09-14T00:00:00"/>
    <s v="Jeans"/>
    <s v="Clothing"/>
    <s v="Website"/>
    <x v="3"/>
    <s v="Returning"/>
    <s v="None"/>
    <n v="2"/>
    <n v="42844"/>
    <n v="85688"/>
    <n v="0"/>
    <n v="0"/>
    <n v="85688"/>
    <n v="45825.78"/>
    <n v="39862.22"/>
  </r>
  <r>
    <s v="ORD-00922"/>
    <d v="2026-09-14T00:00:00"/>
    <s v="Dress"/>
    <s v="Clothing"/>
    <s v="Physical Store"/>
    <x v="4"/>
    <s v="New"/>
    <s v="None"/>
    <n v="2"/>
    <n v="48347"/>
    <n v="96694"/>
    <n v="14504.1"/>
    <n v="0.15"/>
    <n v="82189.899999999994"/>
    <n v="61205.1"/>
    <n v="20984.799999999996"/>
  </r>
  <r>
    <s v="ORD-00905"/>
    <d v="2026-09-16T00:00:00"/>
    <s v="Dress"/>
    <s v="Clothing"/>
    <s v="Physical Store"/>
    <x v="1"/>
    <s v="New"/>
    <s v="None"/>
    <n v="4"/>
    <n v="53445"/>
    <n v="213780"/>
    <n v="0"/>
    <n v="0"/>
    <n v="213780"/>
    <n v="119732"/>
    <n v="94048"/>
  </r>
  <r>
    <s v="ORD-00579"/>
    <d v="2026-09-16T00:00:00"/>
    <s v="T-Shirt"/>
    <s v="Clothing"/>
    <s v="Website"/>
    <x v="0"/>
    <s v="Returning"/>
    <s v="None"/>
    <n v="1"/>
    <n v="17089"/>
    <n v="17089"/>
    <n v="0"/>
    <n v="0"/>
    <n v="17089"/>
    <n v="8731.94"/>
    <n v="8357.06"/>
  </r>
  <r>
    <s v="ORD-01091"/>
    <d v="2026-09-16T00:00:00"/>
    <s v="Handbag"/>
    <s v="Accessories"/>
    <s v="WhatsApp"/>
    <x v="4"/>
    <s v="Returning"/>
    <s v="None"/>
    <n v="1"/>
    <n v="46263"/>
    <n v="46263"/>
    <n v="0"/>
    <n v="0"/>
    <n v="46263"/>
    <n v="28526.51"/>
    <n v="17736.490000000002"/>
  </r>
  <r>
    <s v="ORD-00311"/>
    <d v="2026-09-18T00:00:00"/>
    <s v="Dress"/>
    <s v="Clothing"/>
    <s v="Instagram"/>
    <x v="3"/>
    <s v="New"/>
    <s v="None"/>
    <n v="1"/>
    <n v="52093"/>
    <n v="52093"/>
    <n v="0"/>
    <n v="0"/>
    <n v="52093"/>
    <n v="31650.68"/>
    <n v="20442.32"/>
  </r>
  <r>
    <s v="ORD-00304"/>
    <d v="2026-09-19T00:00:00"/>
    <s v="Hoodie"/>
    <s v="Clothing"/>
    <s v="WhatsApp"/>
    <x v="3"/>
    <s v="New"/>
    <s v="None"/>
    <n v="3"/>
    <n v="40457"/>
    <n v="121371"/>
    <n v="0"/>
    <n v="0"/>
    <n v="121371"/>
    <n v="71605.7"/>
    <n v="49765.3"/>
  </r>
  <r>
    <s v="ORD-00255"/>
    <d v="2026-09-19T00:00:00"/>
    <s v="T-Shirt"/>
    <s v="Clothing"/>
    <s v="Physical Store"/>
    <x v="1"/>
    <s v="New"/>
    <s v="None"/>
    <n v="2"/>
    <n v="17758"/>
    <n v="35516"/>
    <n v="0"/>
    <n v="0"/>
    <n v="35516"/>
    <n v="20421.349999999999"/>
    <n v="15094.650000000001"/>
  </r>
  <r>
    <s v="ORD-00844"/>
    <d v="2026-09-19T00:00:00"/>
    <s v="Sandals"/>
    <s v="Footwear"/>
    <s v="Physical Store"/>
    <x v="0"/>
    <s v="Returning"/>
    <s v="None"/>
    <n v="2"/>
    <n v="28581"/>
    <n v="57162"/>
    <n v="2858.1"/>
    <n v="0.05"/>
    <n v="54303.9"/>
    <n v="32809.22"/>
    <n v="21494.68"/>
  </r>
  <r>
    <s v="ORD-00789"/>
    <d v="2026-09-19T00:00:00"/>
    <s v="Dress"/>
    <s v="Clothing"/>
    <s v="Physical Store"/>
    <x v="0"/>
    <s v="Returning"/>
    <s v="None"/>
    <n v="1"/>
    <n v="51249"/>
    <n v="51249"/>
    <n v="0"/>
    <n v="0"/>
    <n v="51249"/>
    <n v="29573.55"/>
    <n v="21675.45"/>
  </r>
  <r>
    <s v="ORD-01094"/>
    <d v="2026-09-21T00:00:00"/>
    <s v="T-Shirt"/>
    <s v="Clothing"/>
    <s v="Physical Store"/>
    <x v="3"/>
    <s v="Returning"/>
    <s v="None"/>
    <n v="4"/>
    <n v="17413"/>
    <n v="69652"/>
    <n v="0"/>
    <n v="0"/>
    <n v="69652"/>
    <n v="36551.94"/>
    <n v="33100.06"/>
  </r>
  <r>
    <s v="ORD-01097"/>
    <d v="2026-09-21T00:00:00"/>
    <s v="Cap"/>
    <s v="Accessories"/>
    <s v="Instagram"/>
    <x v="4"/>
    <s v="Returning"/>
    <s v="None"/>
    <n v="3"/>
    <n v="12278"/>
    <n v="36834"/>
    <n v="0"/>
    <n v="0"/>
    <n v="36834"/>
    <n v="20639.05"/>
    <n v="16194.95"/>
  </r>
  <r>
    <s v="ORD-00058"/>
    <d v="2026-09-22T00:00:00"/>
    <s v="Belt"/>
    <s v="Accessories"/>
    <s v="Physical Store"/>
    <x v="0"/>
    <s v="New"/>
    <s v="None"/>
    <n v="1"/>
    <n v="14574"/>
    <n v="14574"/>
    <n v="0"/>
    <n v="0"/>
    <n v="14574"/>
    <n v="7443.79"/>
    <n v="7130.21"/>
  </r>
  <r>
    <s v="ORD-00554"/>
    <d v="2026-09-23T00:00:00"/>
    <s v="Sandals"/>
    <s v="Footwear"/>
    <s v="Physical Store"/>
    <x v="3"/>
    <s v="New"/>
    <s v="None"/>
    <n v="1"/>
    <n v="30809"/>
    <n v="30809"/>
    <n v="3080.9"/>
    <n v="0.1"/>
    <n v="27728.1"/>
    <n v="18994.36"/>
    <n v="8733.739999999998"/>
  </r>
  <r>
    <s v="ORD-00808"/>
    <d v="2026-09-23T00:00:00"/>
    <s v="Polo Shirt"/>
    <s v="Clothing"/>
    <s v="Website"/>
    <x v="4"/>
    <s v="Returning"/>
    <s v="None"/>
    <n v="2"/>
    <n v="24727"/>
    <n v="49454"/>
    <n v="0"/>
    <n v="0"/>
    <n v="49454"/>
    <n v="28846.98"/>
    <n v="20607.02"/>
  </r>
  <r>
    <s v="ORD-00342"/>
    <d v="2026-09-23T00:00:00"/>
    <s v="Handbag"/>
    <s v="Accessories"/>
    <s v="WhatsApp"/>
    <x v="4"/>
    <s v="Returning"/>
    <s v="None"/>
    <n v="1"/>
    <n v="44566"/>
    <n v="44566"/>
    <n v="0"/>
    <n v="0"/>
    <n v="44566"/>
    <n v="24787.18"/>
    <n v="19778.82"/>
  </r>
  <r>
    <s v="ORD-01004"/>
    <d v="2026-09-24T00:00:00"/>
    <s v="Polo Shirt"/>
    <s v="Clothing"/>
    <s v="Physical Store"/>
    <x v="3"/>
    <s v="New"/>
    <s v="None"/>
    <n v="1"/>
    <n v="26210"/>
    <n v="26210"/>
    <n v="0"/>
    <n v="0"/>
    <n v="26210"/>
    <n v="16652.62"/>
    <n v="9557.380000000001"/>
  </r>
  <r>
    <s v="ORD-00301"/>
    <d v="2026-09-29T00:00:00"/>
    <s v="Dress"/>
    <s v="Clothing"/>
    <s v="Website"/>
    <x v="3"/>
    <s v="New"/>
    <s v="None"/>
    <n v="1"/>
    <n v="50819"/>
    <n v="50819"/>
    <n v="0"/>
    <n v="0"/>
    <n v="50819"/>
    <n v="26769.55"/>
    <n v="24049.45"/>
  </r>
  <r>
    <s v="ORD-00891"/>
    <d v="2026-09-29T00:00:00"/>
    <s v="T-Shirt"/>
    <s v="Clothing"/>
    <s v="Website"/>
    <x v="4"/>
    <s v="New"/>
    <s v="None"/>
    <n v="5"/>
    <n v="17379"/>
    <n v="86895"/>
    <n v="0"/>
    <n v="0"/>
    <n v="86895"/>
    <n v="49782.36"/>
    <n v="37112.639999999999"/>
  </r>
  <r>
    <s v="ORD-00847"/>
    <d v="2026-09-30T00:00:00"/>
    <s v="Jeans"/>
    <s v="Clothing"/>
    <s v="Website"/>
    <x v="4"/>
    <s v="New"/>
    <s v="None"/>
    <n v="4"/>
    <n v="41548"/>
    <n v="166192"/>
    <n v="0"/>
    <n v="0"/>
    <n v="166192"/>
    <n v="88600.59"/>
    <n v="77591.41"/>
  </r>
  <r>
    <s v="ORD-00307"/>
    <d v="2026-09-30T00:00:00"/>
    <s v="Jeans"/>
    <s v="Clothing"/>
    <s v="Physical Store"/>
    <x v="2"/>
    <s v="New"/>
    <s v="None"/>
    <n v="1"/>
    <n v="40631"/>
    <n v="40631"/>
    <n v="0"/>
    <n v="0"/>
    <n v="40631"/>
    <n v="23951.279999999999"/>
    <n v="16679.72"/>
  </r>
  <r>
    <s v="ORD-00792"/>
    <d v="2026-10-03T00:00:00"/>
    <s v="Hoodie"/>
    <s v="Clothing"/>
    <s v="Website"/>
    <x v="3"/>
    <s v="New"/>
    <s v="None"/>
    <n v="4"/>
    <n v="38079"/>
    <n v="152316"/>
    <n v="0"/>
    <n v="0"/>
    <n v="152316"/>
    <n v="98924.83"/>
    <n v="53391.17"/>
  </r>
  <r>
    <s v="ORD-00943"/>
    <d v="2026-10-03T00:00:00"/>
    <s v="Jeans"/>
    <s v="Clothing"/>
    <s v="Physical Store"/>
    <x v="0"/>
    <s v="Returning"/>
    <s v="None"/>
    <n v="3"/>
    <n v="40875"/>
    <n v="122625"/>
    <n v="0"/>
    <n v="0"/>
    <n v="122625"/>
    <n v="59205.3"/>
    <n v="63419.7"/>
  </r>
  <r>
    <s v="ORD-00849"/>
    <d v="2026-10-04T00:00:00"/>
    <s v="Polo Shirt"/>
    <s v="Clothing"/>
    <s v="Instagram"/>
    <x v="3"/>
    <s v="Returning"/>
    <s v="None"/>
    <n v="5"/>
    <n v="25876"/>
    <n v="129380"/>
    <n v="0"/>
    <n v="0"/>
    <n v="129380"/>
    <n v="79937.73"/>
    <n v="49442.270000000004"/>
  </r>
  <r>
    <s v="ORD-00346"/>
    <d v="2026-10-05T00:00:00"/>
    <s v="Dress"/>
    <s v="Clothing"/>
    <s v="Physical Store"/>
    <x v="4"/>
    <s v="Returning"/>
    <s v="None"/>
    <n v="1"/>
    <n v="51938"/>
    <n v="51938"/>
    <n v="0"/>
    <n v="0"/>
    <n v="51938"/>
    <n v="31142.12"/>
    <n v="20795.88"/>
  </r>
  <r>
    <s v="ORD-00852"/>
    <d v="2026-10-05T00:00:00"/>
    <s v="Sneakers"/>
    <s v="Footwear"/>
    <s v="Instagram"/>
    <x v="3"/>
    <s v="New"/>
    <s v="None"/>
    <n v="2"/>
    <n v="64959"/>
    <n v="129918"/>
    <n v="0"/>
    <n v="0"/>
    <n v="129918"/>
    <n v="65638.100000000006"/>
    <n v="64279.899999999994"/>
  </r>
  <r>
    <s v="ORD-00406"/>
    <d v="2026-10-05T00:00:00"/>
    <s v="Cap"/>
    <s v="Accessories"/>
    <s v="Instagram"/>
    <x v="3"/>
    <s v="New"/>
    <s v="None"/>
    <n v="4"/>
    <n v="11853"/>
    <n v="47412"/>
    <n v="4741.2"/>
    <n v="0.1"/>
    <n v="42670.8"/>
    <n v="31875.57"/>
    <n v="10795.230000000003"/>
  </r>
  <r>
    <s v="ORD-00919"/>
    <d v="2026-10-06T00:00:00"/>
    <s v="Hoodie"/>
    <s v="Clothing"/>
    <s v="Instagram"/>
    <x v="3"/>
    <s v="Returning"/>
    <s v="None"/>
    <n v="4"/>
    <n v="39631"/>
    <n v="158524"/>
    <n v="0"/>
    <n v="0"/>
    <n v="158524"/>
    <n v="82786.240000000005"/>
    <n v="75737.759999999995"/>
  </r>
  <r>
    <s v="ORD-00349"/>
    <d v="2026-10-08T00:00:00"/>
    <s v="T-Shirt"/>
    <s v="Clothing"/>
    <s v="Instagram"/>
    <x v="2"/>
    <s v="New"/>
    <s v="None"/>
    <n v="2"/>
    <n v="19394"/>
    <n v="38788"/>
    <n v="0"/>
    <n v="0"/>
    <n v="38788"/>
    <n v="24488.87"/>
    <n v="14299.130000000001"/>
  </r>
  <r>
    <s v="ORD-00128"/>
    <d v="2026-10-09T00:00:00"/>
    <s v="Handbag"/>
    <s v="Accessories"/>
    <s v="Website"/>
    <x v="0"/>
    <s v="New"/>
    <s v="None"/>
    <n v="2"/>
    <n v="46171"/>
    <n v="92342"/>
    <n v="0"/>
    <n v="0"/>
    <n v="92342"/>
    <n v="55337.26"/>
    <n v="37004.74"/>
  </r>
  <r>
    <s v="ORD-00328"/>
    <d v="2026-10-09T00:00:00"/>
    <s v="Cap"/>
    <s v="Accessories"/>
    <s v="Instagram"/>
    <x v="3"/>
    <s v="Returning"/>
    <s v="None"/>
    <n v="3"/>
    <n v="11281"/>
    <n v="33843"/>
    <n v="0"/>
    <n v="0"/>
    <n v="33843"/>
    <n v="16975.95"/>
    <n v="16867.05"/>
  </r>
  <r>
    <s v="ORD-00854"/>
    <d v="2026-10-10T00:00:00"/>
    <s v="Dress"/>
    <s v="Clothing"/>
    <s v="WhatsApp"/>
    <x v="4"/>
    <s v="New"/>
    <s v="None"/>
    <n v="1"/>
    <n v="52843"/>
    <n v="52843"/>
    <n v="0"/>
    <n v="0"/>
    <n v="52843"/>
    <n v="26168.91"/>
    <n v="26674.09"/>
  </r>
  <r>
    <s v="ORD-00194"/>
    <d v="2026-10-11T00:00:00"/>
    <s v="Cap"/>
    <s v="Accessories"/>
    <s v="Instagram"/>
    <x v="1"/>
    <s v="Returning"/>
    <s v="None"/>
    <n v="1"/>
    <n v="12539"/>
    <n v="12539"/>
    <n v="0"/>
    <n v="0"/>
    <n v="12539"/>
    <n v="6450.29"/>
    <n v="6088.71"/>
  </r>
  <r>
    <s v="ORD-00364"/>
    <d v="2026-10-12T00:00:00"/>
    <s v="Cap"/>
    <s v="Accessories"/>
    <s v="Physical Store"/>
    <x v="2"/>
    <s v="New"/>
    <s v="None"/>
    <n v="2"/>
    <n v="12428"/>
    <n v="24856"/>
    <n v="3728.4"/>
    <n v="0.15"/>
    <n v="21127.599999999999"/>
    <n v="15484.79"/>
    <n v="5642.8099999999977"/>
  </r>
  <r>
    <s v="ORD-00533"/>
    <d v="2026-10-12T00:00:00"/>
    <s v="Sandals"/>
    <s v="Footwear"/>
    <s v="Website"/>
    <x v="4"/>
    <s v="New"/>
    <s v="None"/>
    <n v="5"/>
    <n v="31376"/>
    <n v="156880"/>
    <n v="0"/>
    <n v="0"/>
    <n v="156880"/>
    <n v="84717.3"/>
    <n v="72162.7"/>
  </r>
  <r>
    <s v="ORD-00187"/>
    <d v="2026-10-13T00:00:00"/>
    <s v="Polo Shirt"/>
    <s v="Clothing"/>
    <s v="Website"/>
    <x v="2"/>
    <s v="New"/>
    <s v="None"/>
    <n v="1"/>
    <n v="23828"/>
    <n v="23828"/>
    <n v="0"/>
    <n v="0"/>
    <n v="23828"/>
    <n v="11766.3"/>
    <n v="12061.7"/>
  </r>
  <r>
    <s v="ORD-00062"/>
    <d v="2026-10-13T00:00:00"/>
    <s v="Dress"/>
    <s v="Clothing"/>
    <s v="Website"/>
    <x v="3"/>
    <s v="Returning"/>
    <s v="None"/>
    <n v="2"/>
    <n v="49442"/>
    <n v="98884"/>
    <n v="0"/>
    <n v="0"/>
    <n v="98884"/>
    <n v="48940.26"/>
    <n v="49943.74"/>
  </r>
  <r>
    <s v="ORD-00086"/>
    <d v="2026-10-14T00:00:00"/>
    <s v="Jeans"/>
    <s v="Clothing"/>
    <s v="Website"/>
    <x v="0"/>
    <s v="New"/>
    <s v="None"/>
    <n v="1"/>
    <n v="43652"/>
    <n v="43652"/>
    <n v="2182.6"/>
    <n v="0.05"/>
    <n v="41469.4"/>
    <n v="22784.959999999999"/>
    <n v="18684.440000000002"/>
  </r>
  <r>
    <s v="ORD-00237"/>
    <d v="2026-10-16T00:00:00"/>
    <s v="Dress"/>
    <s v="Clothing"/>
    <s v="Instagram"/>
    <x v="2"/>
    <s v="New"/>
    <s v="None"/>
    <n v="2"/>
    <n v="50798"/>
    <n v="101596"/>
    <n v="0"/>
    <n v="0"/>
    <n v="101596"/>
    <n v="66416.14"/>
    <n v="35179.86"/>
  </r>
  <r>
    <s v="ORD-01021"/>
    <d v="2026-10-16T00:00:00"/>
    <s v="Hoodie"/>
    <s v="Clothing"/>
    <s v="Website"/>
    <x v="0"/>
    <s v="New"/>
    <s v="None"/>
    <n v="2"/>
    <n v="36022"/>
    <n v="72044"/>
    <n v="10806.6"/>
    <n v="0.15"/>
    <n v="61237.4"/>
    <n v="38348.92"/>
    <n v="22888.480000000003"/>
  </r>
  <r>
    <s v="ORD-00601"/>
    <d v="2026-10-16T00:00:00"/>
    <s v="Sneakers"/>
    <s v="Footwear"/>
    <s v="WhatsApp"/>
    <x v="2"/>
    <s v="New"/>
    <s v="None"/>
    <n v="2"/>
    <n v="67462"/>
    <n v="134924"/>
    <n v="0"/>
    <n v="0"/>
    <n v="134924"/>
    <n v="91459.04"/>
    <n v="43464.960000000006"/>
  </r>
  <r>
    <s v="ORD-00398"/>
    <d v="2026-10-17T00:00:00"/>
    <s v="Handbag"/>
    <s v="Accessories"/>
    <s v="Physical Store"/>
    <x v="3"/>
    <s v="New"/>
    <s v="None"/>
    <n v="3"/>
    <n v="45959"/>
    <n v="137877"/>
    <n v="0"/>
    <n v="0"/>
    <n v="137877"/>
    <n v="80826.52"/>
    <n v="57050.479999999996"/>
  </r>
  <r>
    <s v="ORD-00807"/>
    <d v="2026-10-17T00:00:00"/>
    <s v="Belt"/>
    <s v="Accessories"/>
    <s v="Instagram"/>
    <x v="4"/>
    <s v="New"/>
    <s v="None"/>
    <n v="3"/>
    <n v="14890"/>
    <n v="44670"/>
    <n v="0"/>
    <n v="0"/>
    <n v="44670"/>
    <n v="30215.48"/>
    <n v="14454.52"/>
  </r>
  <r>
    <s v="ORD-00117"/>
    <d v="2026-10-17T00:00:00"/>
    <s v="T-Shirt"/>
    <s v="Clothing"/>
    <s v="Instagram"/>
    <x v="4"/>
    <s v="Returning"/>
    <s v="None"/>
    <n v="1"/>
    <n v="18700"/>
    <n v="18700"/>
    <n v="0"/>
    <n v="0"/>
    <n v="18700"/>
    <n v="12352.83"/>
    <n v="6347.17"/>
  </r>
  <r>
    <s v="ORD-00051"/>
    <d v="2026-10-18T00:00:00"/>
    <s v="Cap"/>
    <s v="Accessories"/>
    <s v="Physical Store"/>
    <x v="3"/>
    <s v="Returning"/>
    <s v="None"/>
    <n v="2"/>
    <n v="11560"/>
    <n v="23120"/>
    <n v="1156"/>
    <n v="0.05"/>
    <n v="21964"/>
    <n v="14242.53"/>
    <n v="7721.4699999999993"/>
  </r>
  <r>
    <s v="ORD-00391"/>
    <d v="2026-10-18T00:00:00"/>
    <s v="Jeans"/>
    <s v="Clothing"/>
    <s v="Instagram"/>
    <x v="3"/>
    <s v="Returning"/>
    <s v="None"/>
    <n v="3"/>
    <n v="42248"/>
    <n v="126744"/>
    <n v="0"/>
    <n v="0"/>
    <n v="126744"/>
    <n v="69438.55"/>
    <n v="57305.45"/>
  </r>
  <r>
    <s v="ORD-00967"/>
    <d v="2026-10-19T00:00:00"/>
    <s v="Jeans"/>
    <s v="Clothing"/>
    <s v="Physical Store"/>
    <x v="2"/>
    <s v="Returning"/>
    <s v="None"/>
    <n v="1"/>
    <n v="40485"/>
    <n v="40485"/>
    <n v="0"/>
    <n v="0"/>
    <n v="40485"/>
    <n v="21165.62"/>
    <n v="19319.38"/>
  </r>
  <r>
    <s v="ORD-00476"/>
    <d v="2026-10-21T00:00:00"/>
    <s v="Jeans"/>
    <s v="Clothing"/>
    <s v="Website"/>
    <x v="4"/>
    <s v="New"/>
    <s v="None"/>
    <n v="2"/>
    <n v="44407"/>
    <n v="88814"/>
    <n v="0"/>
    <n v="0"/>
    <n v="88814"/>
    <n v="56561.57"/>
    <n v="32252.43"/>
  </r>
  <r>
    <s v="ORD-00862"/>
    <d v="2026-10-21T00:00:00"/>
    <s v="Sandals"/>
    <s v="Footwear"/>
    <s v="Physical Store"/>
    <x v="2"/>
    <s v="New"/>
    <s v="None"/>
    <n v="4"/>
    <n v="29761"/>
    <n v="119044"/>
    <n v="0"/>
    <n v="0"/>
    <n v="119044"/>
    <n v="64466.02"/>
    <n v="54577.98"/>
  </r>
  <r>
    <s v="ORD-00050"/>
    <d v="2026-10-22T00:00:00"/>
    <s v="Sandals"/>
    <s v="Footwear"/>
    <s v="Physical Store"/>
    <x v="4"/>
    <s v="New"/>
    <s v="None"/>
    <n v="1"/>
    <n v="28520"/>
    <n v="28520"/>
    <n v="0"/>
    <n v="0"/>
    <n v="28520"/>
    <n v="14982.45"/>
    <n v="13537.55"/>
  </r>
  <r>
    <s v="ORD-00673"/>
    <d v="2026-10-23T00:00:00"/>
    <s v="T-Shirt"/>
    <s v="Clothing"/>
    <s v="Instagram"/>
    <x v="0"/>
    <s v="Returning"/>
    <s v="None"/>
    <n v="2"/>
    <n v="18915"/>
    <n v="37830"/>
    <n v="0"/>
    <n v="0"/>
    <n v="37830"/>
    <n v="24746.85"/>
    <n v="13083.150000000001"/>
  </r>
  <r>
    <s v="ORD-00104"/>
    <d v="2026-10-25T00:00:00"/>
    <s v="Polo Shirt"/>
    <s v="Clothing"/>
    <s v="Instagram"/>
    <x v="0"/>
    <s v="Returning"/>
    <s v="None"/>
    <n v="1"/>
    <n v="23562"/>
    <n v="23562"/>
    <n v="0"/>
    <n v="0"/>
    <n v="23562"/>
    <n v="12177.9"/>
    <n v="11384.1"/>
  </r>
  <r>
    <s v="ORD-00532"/>
    <d v="2026-10-25T00:00:00"/>
    <s v="Cap"/>
    <s v="Accessories"/>
    <s v="Instagram"/>
    <x v="4"/>
    <s v="New"/>
    <s v="None"/>
    <n v="4"/>
    <n v="11910"/>
    <n v="47640"/>
    <n v="0"/>
    <n v="0"/>
    <n v="47640"/>
    <n v="29809.65"/>
    <n v="17830.349999999999"/>
  </r>
  <r>
    <s v="ORD-00632"/>
    <d v="2026-10-25T00:00:00"/>
    <s v="Jeans"/>
    <s v="Clothing"/>
    <s v="Instagram"/>
    <x v="4"/>
    <s v="Returning"/>
    <s v="None"/>
    <n v="2"/>
    <n v="42827"/>
    <n v="85654"/>
    <n v="12848.1"/>
    <n v="0.15"/>
    <n v="72805.899999999994"/>
    <n v="49742.559999999998"/>
    <n v="23063.339999999997"/>
  </r>
  <r>
    <s v="ORD-00672"/>
    <d v="2026-10-27T00:00:00"/>
    <s v="Handbag"/>
    <s v="Accessories"/>
    <s v="Physical Store"/>
    <x v="3"/>
    <s v="New"/>
    <s v="None"/>
    <n v="1"/>
    <n v="44044"/>
    <n v="44044"/>
    <n v="0"/>
    <n v="0"/>
    <n v="44044"/>
    <n v="24385.360000000001"/>
    <n v="19658.64"/>
  </r>
  <r>
    <s v="ORD-00933"/>
    <d v="2026-10-28T00:00:00"/>
    <s v="Cap"/>
    <s v="Accessories"/>
    <s v="Website"/>
    <x v="4"/>
    <s v="Returning"/>
    <s v="None"/>
    <n v="1"/>
    <n v="11624"/>
    <n v="11624"/>
    <n v="0"/>
    <n v="0"/>
    <n v="11624"/>
    <n v="5627.13"/>
    <n v="5996.87"/>
  </r>
  <r>
    <s v="ORD-00506"/>
    <d v="2026-10-28T00:00:00"/>
    <s v="T-Shirt"/>
    <s v="Clothing"/>
    <s v="Instagram"/>
    <x v="0"/>
    <s v="New"/>
    <s v="None"/>
    <n v="3"/>
    <n v="17166"/>
    <n v="51498"/>
    <n v="0"/>
    <n v="0"/>
    <n v="51498"/>
    <n v="31187.5"/>
    <n v="20310.5"/>
  </r>
  <r>
    <s v="ORD-00448"/>
    <d v="2026-10-29T00:00:00"/>
    <s v="Handbag"/>
    <s v="Accessories"/>
    <s v="Website"/>
    <x v="3"/>
    <s v="Returning"/>
    <s v="None"/>
    <n v="1"/>
    <n v="43735"/>
    <n v="43735"/>
    <n v="0"/>
    <n v="0"/>
    <n v="43735"/>
    <n v="28197.23"/>
    <n v="15537.77"/>
  </r>
  <r>
    <s v="ORD-00498"/>
    <d v="2026-11-01T00:00:00"/>
    <s v="Cap"/>
    <s v="Accessories"/>
    <s v="WhatsApp"/>
    <x v="4"/>
    <s v="New"/>
    <s v="Black Friday"/>
    <n v="1"/>
    <n v="12518"/>
    <n v="12518"/>
    <n v="625.9"/>
    <n v="0.05"/>
    <n v="11892.1"/>
    <n v="8483.42"/>
    <n v="3408.6800000000003"/>
  </r>
  <r>
    <s v="ORD-00112"/>
    <d v="2026-11-04T00:00:00"/>
    <s v="Dress"/>
    <s v="Clothing"/>
    <s v="Physical Store"/>
    <x v="4"/>
    <s v="New"/>
    <s v="Black Friday"/>
    <n v="1"/>
    <n v="53506"/>
    <n v="53506"/>
    <n v="8025.9"/>
    <n v="0.15"/>
    <n v="45480.1"/>
    <n v="33880.69"/>
    <n v="11599.409999999996"/>
  </r>
  <r>
    <s v="ORD-00801"/>
    <d v="2026-11-04T00:00:00"/>
    <s v="Handbag"/>
    <s v="Accessories"/>
    <s v="Website"/>
    <x v="0"/>
    <s v="Returning"/>
    <s v="Black Friday"/>
    <n v="2"/>
    <n v="41832"/>
    <n v="83664"/>
    <n v="8366.4"/>
    <n v="0.1"/>
    <n v="75297.600000000006"/>
    <n v="42563.02"/>
    <n v="32734.580000000009"/>
  </r>
  <r>
    <s v="ORD-00679"/>
    <d v="2026-11-04T00:00:00"/>
    <s v="Cap"/>
    <s v="Accessories"/>
    <s v="Website"/>
    <x v="4"/>
    <s v="New"/>
    <s v="Black Friday"/>
    <n v="3"/>
    <n v="12216"/>
    <n v="36648"/>
    <n v="3664.8"/>
    <n v="0.1"/>
    <n v="32983.199999999997"/>
    <n v="21604.85"/>
    <n v="11378.349999999999"/>
  </r>
  <r>
    <s v="ORD-00366"/>
    <d v="2026-11-05T00:00:00"/>
    <s v="Jeans"/>
    <s v="Clothing"/>
    <s v="Physical Store"/>
    <x v="2"/>
    <s v="Returning"/>
    <s v="None"/>
    <n v="4"/>
    <n v="38767"/>
    <n v="155068"/>
    <n v="0"/>
    <n v="0"/>
    <n v="155068"/>
    <n v="80895.86"/>
    <n v="74172.14"/>
  </r>
  <r>
    <s v="ORD-01077"/>
    <d v="2026-11-05T00:00:00"/>
    <s v="Handbag"/>
    <s v="Accessories"/>
    <s v="WhatsApp"/>
    <x v="3"/>
    <s v="New"/>
    <s v="Black Friday"/>
    <n v="3"/>
    <n v="42461"/>
    <n v="127383"/>
    <n v="6369.15"/>
    <n v="0.05"/>
    <n v="121013.85"/>
    <n v="83884.27"/>
    <n v="37129.58"/>
  </r>
  <r>
    <s v="ORD-01048"/>
    <d v="2026-11-06T00:00:00"/>
    <s v="Sandals"/>
    <s v="Footwear"/>
    <s v="Physical Store"/>
    <x v="1"/>
    <s v="New"/>
    <s v="Black Friday"/>
    <n v="1"/>
    <n v="28274"/>
    <n v="28274"/>
    <n v="2827.4"/>
    <n v="0.1"/>
    <n v="25446.6"/>
    <n v="17393.55"/>
    <n v="8053.0499999999993"/>
  </r>
  <r>
    <s v="ORD-01003"/>
    <d v="2026-11-06T00:00:00"/>
    <s v="Belt"/>
    <s v="Accessories"/>
    <s v="Website"/>
    <x v="4"/>
    <s v="New"/>
    <s v="Black Friday"/>
    <n v="3"/>
    <n v="14240"/>
    <n v="42720"/>
    <n v="4272"/>
    <n v="0.1"/>
    <n v="38448"/>
    <n v="28147.21"/>
    <n v="10300.790000000001"/>
  </r>
  <r>
    <s v="ORD-01064"/>
    <d v="2026-11-06T00:00:00"/>
    <s v="Hoodie"/>
    <s v="Clothing"/>
    <s v="Physical Store"/>
    <x v="3"/>
    <s v="New"/>
    <s v="Black Friday"/>
    <n v="1"/>
    <n v="35249"/>
    <n v="35249"/>
    <n v="5287.35"/>
    <n v="0.15"/>
    <n v="29961.65"/>
    <n v="17426.23"/>
    <n v="12535.420000000002"/>
  </r>
  <r>
    <s v="ORD-00419"/>
    <d v="2026-11-08T00:00:00"/>
    <s v="Jeans"/>
    <s v="Clothing"/>
    <s v="Physical Store"/>
    <x v="4"/>
    <s v="New"/>
    <s v="Black Friday"/>
    <n v="1"/>
    <n v="43532"/>
    <n v="43532"/>
    <n v="2176.6"/>
    <n v="0.05"/>
    <n v="41355.4"/>
    <n v="23137.07"/>
    <n v="18218.330000000002"/>
  </r>
  <r>
    <s v="ORD-00915"/>
    <d v="2026-11-08T00:00:00"/>
    <s v="Cap"/>
    <s v="Accessories"/>
    <s v="WhatsApp"/>
    <x v="2"/>
    <s v="New"/>
    <s v="Black Friday"/>
    <n v="2"/>
    <n v="12655"/>
    <n v="25310"/>
    <n v="5062"/>
    <n v="0.2"/>
    <n v="20248"/>
    <n v="13877.51"/>
    <n v="6370.49"/>
  </r>
  <r>
    <s v="ORD-01172"/>
    <d v="2026-11-09T00:00:00"/>
    <s v="Sandals"/>
    <s v="Footwear"/>
    <s v="Physical Store"/>
    <x v="3"/>
    <s v="New"/>
    <s v="Black Friday"/>
    <n v="4"/>
    <n v="32342"/>
    <n v="129368"/>
    <n v="6468.4"/>
    <n v="0.05"/>
    <n v="122899.6"/>
    <n v="79720.12"/>
    <n v="43179.48000000001"/>
  </r>
  <r>
    <s v="ORD-00003"/>
    <d v="2026-11-10T00:00:00"/>
    <s v="Sandals"/>
    <s v="Footwear"/>
    <s v="Website"/>
    <x v="1"/>
    <s v="Returning"/>
    <s v="Black Friday"/>
    <n v="4"/>
    <n v="31535"/>
    <n v="126140"/>
    <n v="6307"/>
    <n v="0.05"/>
    <n v="119833"/>
    <n v="83471.92"/>
    <n v="36361.08"/>
  </r>
  <r>
    <s v="ORD-00224"/>
    <d v="2026-11-11T00:00:00"/>
    <s v="T-Shirt"/>
    <s v="Clothing"/>
    <s v="Instagram"/>
    <x v="0"/>
    <s v="Returning"/>
    <s v="Black Friday"/>
    <n v="2"/>
    <n v="16901"/>
    <n v="33802"/>
    <n v="3380.2"/>
    <n v="0.1"/>
    <n v="30421.8"/>
    <n v="18327.46"/>
    <n v="12094.34"/>
  </r>
  <r>
    <s v="ORD-00786"/>
    <d v="2026-11-12T00:00:00"/>
    <s v="Sneakers"/>
    <s v="Footwear"/>
    <s v="Physical Store"/>
    <x v="1"/>
    <s v="New"/>
    <s v="Black Friday"/>
    <n v="3"/>
    <n v="63168"/>
    <n v="189504"/>
    <n v="18950.400000000001"/>
    <n v="0.1"/>
    <n v="170553.60000000001"/>
    <n v="124601.27"/>
    <n v="45952.33"/>
  </r>
  <r>
    <s v="ORD-00553"/>
    <d v="2026-11-12T00:00:00"/>
    <s v="T-Shirt"/>
    <s v="Clothing"/>
    <s v="WhatsApp"/>
    <x v="3"/>
    <s v="Returning"/>
    <s v="Black Friday"/>
    <n v="1"/>
    <n v="18178"/>
    <n v="18178"/>
    <n v="908.9"/>
    <n v="0.05"/>
    <n v="17269.099999999999"/>
    <n v="9032.18"/>
    <n v="8236.9199999999983"/>
  </r>
  <r>
    <s v="ORD-00433"/>
    <d v="2026-11-14T00:00:00"/>
    <s v="Dress"/>
    <s v="Clothing"/>
    <s v="WhatsApp"/>
    <x v="1"/>
    <s v="New"/>
    <s v="Black Friday"/>
    <n v="4"/>
    <n v="52636"/>
    <n v="210544"/>
    <n v="21054.400000000001"/>
    <n v="0.1"/>
    <n v="189489.6"/>
    <n v="140449.46"/>
    <n v="49040.140000000014"/>
  </r>
  <r>
    <s v="ORD-00733"/>
    <d v="2026-11-15T00:00:00"/>
    <s v="Polo Shirt"/>
    <s v="Clothing"/>
    <s v="WhatsApp"/>
    <x v="4"/>
    <s v="New"/>
    <s v="None"/>
    <n v="1"/>
    <n v="23982"/>
    <n v="23982"/>
    <n v="0"/>
    <n v="0"/>
    <n v="23982"/>
    <n v="15321.54"/>
    <n v="8660.4599999999991"/>
  </r>
  <r>
    <s v="ORD-00654"/>
    <d v="2026-11-15T00:00:00"/>
    <s v="Cap"/>
    <s v="Accessories"/>
    <s v="Website"/>
    <x v="4"/>
    <s v="Returning"/>
    <s v="Black Friday"/>
    <n v="2"/>
    <n v="11584"/>
    <n v="23168"/>
    <n v="2316.8000000000002"/>
    <n v="0.1"/>
    <n v="20851.2"/>
    <n v="15024.28"/>
    <n v="5826.92"/>
  </r>
  <r>
    <s v="ORD-00088"/>
    <d v="2026-11-17T00:00:00"/>
    <s v="Cap"/>
    <s v="Accessories"/>
    <s v="WhatsApp"/>
    <x v="2"/>
    <s v="New"/>
    <s v="Black Friday"/>
    <n v="3"/>
    <n v="11827"/>
    <n v="35481"/>
    <n v="1774.05"/>
    <n v="0.05"/>
    <n v="33706.949999999997"/>
    <n v="19754.64"/>
    <n v="13952.309999999998"/>
  </r>
  <r>
    <s v="ORD-00131"/>
    <d v="2026-11-17T00:00:00"/>
    <s v="Belt"/>
    <s v="Accessories"/>
    <s v="WhatsApp"/>
    <x v="2"/>
    <s v="New"/>
    <s v="Black Friday"/>
    <n v="1"/>
    <n v="15984"/>
    <n v="15984"/>
    <n v="1598.4"/>
    <n v="0.1"/>
    <n v="14385.6"/>
    <n v="8362.99"/>
    <n v="6022.6100000000006"/>
  </r>
  <r>
    <s v="ORD-00856"/>
    <d v="2026-11-18T00:00:00"/>
    <s v="Polo Shirt"/>
    <s v="Clothing"/>
    <s v="Instagram"/>
    <x v="1"/>
    <s v="New"/>
    <s v="Black Friday"/>
    <n v="5"/>
    <n v="24879"/>
    <n v="124395"/>
    <n v="18659.25"/>
    <n v="0.15"/>
    <n v="105735.75"/>
    <n v="80687.02"/>
    <n v="25048.729999999996"/>
  </r>
  <r>
    <s v="ORD-00219"/>
    <d v="2026-11-22T00:00:00"/>
    <s v="Sneakers"/>
    <s v="Footwear"/>
    <s v="Physical Store"/>
    <x v="0"/>
    <s v="Returning"/>
    <s v="Black Friday"/>
    <n v="3"/>
    <n v="69415"/>
    <n v="208245"/>
    <n v="10412.25"/>
    <n v="0.05"/>
    <n v="197832.75"/>
    <n v="123005.33"/>
    <n v="74827.42"/>
  </r>
  <r>
    <s v="ORD-00093"/>
    <d v="2026-11-22T00:00:00"/>
    <s v="Belt"/>
    <s v="Accessories"/>
    <s v="WhatsApp"/>
    <x v="4"/>
    <s v="New"/>
    <s v="None"/>
    <n v="1"/>
    <n v="15847"/>
    <n v="15847"/>
    <n v="0"/>
    <n v="0"/>
    <n v="15847"/>
    <n v="9570.64"/>
    <n v="6276.3600000000006"/>
  </r>
  <r>
    <s v="ORD-00123"/>
    <d v="2026-11-25T00:00:00"/>
    <s v="Cap"/>
    <s v="Accessories"/>
    <s v="Website"/>
    <x v="4"/>
    <s v="Returning"/>
    <s v="None"/>
    <n v="1"/>
    <n v="11904"/>
    <n v="11904"/>
    <n v="0"/>
    <n v="0"/>
    <n v="11904"/>
    <n v="7196.01"/>
    <n v="4707.99"/>
  </r>
  <r>
    <s v="ORD-00193"/>
    <d v="2026-11-26T00:00:00"/>
    <s v="Belt"/>
    <s v="Accessories"/>
    <s v="Physical Store"/>
    <x v="4"/>
    <s v="New"/>
    <s v="Black Friday"/>
    <n v="1"/>
    <n v="15201"/>
    <n v="15201"/>
    <n v="2280.15"/>
    <n v="0.15"/>
    <n v="12920.85"/>
    <n v="7425.45"/>
    <n v="5495.4000000000005"/>
  </r>
  <r>
    <s v="ORD-00248"/>
    <d v="2026-11-26T00:00:00"/>
    <s v="Dress"/>
    <s v="Clothing"/>
    <s v="Physical Store"/>
    <x v="2"/>
    <s v="New"/>
    <s v="Black Friday"/>
    <n v="2"/>
    <n v="48984"/>
    <n v="97968"/>
    <n v="14695.2"/>
    <n v="0.15"/>
    <n v="83272.800000000003"/>
    <n v="50303.77"/>
    <n v="32969.030000000006"/>
  </r>
  <r>
    <s v="ORD-00683"/>
    <d v="2026-11-28T00:00:00"/>
    <s v="T-Shirt"/>
    <s v="Clothing"/>
    <s v="Physical Store"/>
    <x v="4"/>
    <s v="New"/>
    <s v="None"/>
    <n v="1"/>
    <n v="17566"/>
    <n v="17566"/>
    <n v="0"/>
    <n v="0"/>
    <n v="17566"/>
    <n v="9810.92"/>
    <n v="7755.08"/>
  </r>
  <r>
    <s v="ORD-00796"/>
    <d v="2026-11-28T00:00:00"/>
    <s v="Sneakers"/>
    <s v="Footwear"/>
    <s v="Website"/>
    <x v="0"/>
    <s v="Returning"/>
    <s v="None"/>
    <n v="2"/>
    <n v="68117"/>
    <n v="136234"/>
    <n v="0"/>
    <n v="0"/>
    <n v="136234"/>
    <n v="72465.88"/>
    <n v="63768.119999999995"/>
  </r>
  <r>
    <s v="ORD-00272"/>
    <d v="2026-11-28T00:00:00"/>
    <s v="Polo Shirt"/>
    <s v="Clothing"/>
    <s v="Website"/>
    <x v="4"/>
    <s v="New"/>
    <s v="None"/>
    <n v="4"/>
    <n v="26689"/>
    <n v="106756"/>
    <n v="0"/>
    <n v="0"/>
    <n v="106756"/>
    <n v="64283.57"/>
    <n v="42472.43"/>
  </r>
  <r>
    <s v="ORD-01121"/>
    <d v="2026-11-28T00:00:00"/>
    <s v="Cap"/>
    <s v="Accessories"/>
    <s v="Website"/>
    <x v="0"/>
    <s v="New"/>
    <s v="Black Friday"/>
    <n v="3"/>
    <n v="11588"/>
    <n v="34764"/>
    <n v="1738.2"/>
    <n v="0.05"/>
    <n v="33025.800000000003"/>
    <n v="22840.78"/>
    <n v="10185.020000000004"/>
  </r>
  <r>
    <s v="ORD-01053"/>
    <d v="2026-11-28T00:00:00"/>
    <s v="Sneakers"/>
    <s v="Footwear"/>
    <s v="Instagram"/>
    <x v="3"/>
    <s v="New"/>
    <s v="Black Friday"/>
    <n v="1"/>
    <n v="68143"/>
    <n v="68143"/>
    <n v="10221.450000000001"/>
    <n v="0.15"/>
    <n v="57921.55"/>
    <n v="37429.089999999997"/>
    <n v="20492.460000000006"/>
  </r>
  <r>
    <s v="ORD-00437"/>
    <d v="2026-11-28T00:00:00"/>
    <s v="Polo Shirt"/>
    <s v="Clothing"/>
    <s v="Physical Store"/>
    <x v="3"/>
    <s v="Returning"/>
    <s v="Black Friday"/>
    <n v="3"/>
    <n v="23233"/>
    <n v="69699"/>
    <n v="6969.9"/>
    <n v="0.1"/>
    <n v="62729.1"/>
    <n v="40067.29"/>
    <n v="22661.809999999998"/>
  </r>
  <r>
    <s v="ORD-00716"/>
    <d v="2026-11-29T00:00:00"/>
    <s v="Dress"/>
    <s v="Clothing"/>
    <s v="Instagram"/>
    <x v="1"/>
    <s v="New"/>
    <s v="Black Friday"/>
    <n v="3"/>
    <n v="48630"/>
    <n v="145890"/>
    <n v="21883.5"/>
    <n v="0.15"/>
    <n v="124006.5"/>
    <n v="95448.960000000006"/>
    <n v="28557.539999999994"/>
  </r>
  <r>
    <s v="ORD-00074"/>
    <d v="2026-11-30T00:00:00"/>
    <s v="Dress"/>
    <s v="Clothing"/>
    <s v="Instagram"/>
    <x v="1"/>
    <s v="New"/>
    <s v="Black Friday"/>
    <n v="2"/>
    <n v="49888"/>
    <n v="99776"/>
    <n v="4988.8"/>
    <n v="0.05"/>
    <n v="94787.199999999997"/>
    <n v="58284.51"/>
    <n v="36502.689999999995"/>
  </r>
  <r>
    <s v="ORD-00779"/>
    <d v="2026-12-01T00:00:00"/>
    <s v="Sandals"/>
    <s v="Footwear"/>
    <s v="WhatsApp"/>
    <x v="1"/>
    <s v="New"/>
    <s v="Christmas Promo"/>
    <n v="2"/>
    <n v="27673"/>
    <n v="55346"/>
    <n v="5534.6"/>
    <n v="0.1"/>
    <n v="49811.4"/>
    <n v="29686.9"/>
    <n v="20124.5"/>
  </r>
  <r>
    <s v="ORD-00439"/>
    <d v="2026-12-01T00:00:00"/>
    <s v="Hoodie"/>
    <s v="Clothing"/>
    <s v="Physical Store"/>
    <x v="3"/>
    <s v="New"/>
    <s v="Christmas Promo"/>
    <n v="3"/>
    <n v="35193"/>
    <n v="105579"/>
    <n v="15836.85"/>
    <n v="0.15"/>
    <n v="89742.15"/>
    <n v="71350.960000000006"/>
    <n v="18391.189999999988"/>
  </r>
  <r>
    <s v="ORD-00378"/>
    <d v="2026-12-02T00:00:00"/>
    <s v="Jeans"/>
    <s v="Clothing"/>
    <s v="Physical Store"/>
    <x v="4"/>
    <s v="Returning"/>
    <s v="Christmas Promo"/>
    <n v="3"/>
    <n v="44548"/>
    <n v="133644"/>
    <n v="13364.4"/>
    <n v="0.1"/>
    <n v="120279.6"/>
    <n v="67158.53"/>
    <n v="53121.070000000007"/>
  </r>
  <r>
    <s v="ORD-01061"/>
    <d v="2026-12-03T00:00:00"/>
    <s v="Sneakers"/>
    <s v="Footwear"/>
    <s v="Physical Store"/>
    <x v="4"/>
    <s v="Returning"/>
    <s v="None"/>
    <n v="2"/>
    <n v="68653"/>
    <n v="137306"/>
    <n v="0"/>
    <n v="0"/>
    <n v="137306"/>
    <n v="73819.81"/>
    <n v="63486.19"/>
  </r>
  <r>
    <s v="ORD-00245"/>
    <d v="2026-12-05T00:00:00"/>
    <s v="Sneakers"/>
    <s v="Footwear"/>
    <s v="Website"/>
    <x v="4"/>
    <s v="Returning"/>
    <s v="Christmas Promo"/>
    <n v="3"/>
    <n v="68506"/>
    <n v="205518"/>
    <n v="10275.9"/>
    <n v="0.05"/>
    <n v="195242.1"/>
    <n v="121806.22"/>
    <n v="73435.88"/>
  </r>
  <r>
    <s v="ORD-00641"/>
    <d v="2026-12-05T00:00:00"/>
    <s v="Jeans"/>
    <s v="Clothing"/>
    <s v="Physical Store"/>
    <x v="3"/>
    <s v="New"/>
    <s v="Christmas Promo"/>
    <n v="3"/>
    <n v="42868"/>
    <n v="128604"/>
    <n v="12860.4"/>
    <n v="0.1"/>
    <n v="115743.6"/>
    <n v="80020.539999999994"/>
    <n v="35723.060000000012"/>
  </r>
  <r>
    <s v="ORD-01169"/>
    <d v="2026-12-06T00:00:00"/>
    <s v="T-Shirt"/>
    <s v="Clothing"/>
    <s v="Physical Store"/>
    <x v="4"/>
    <s v="Returning"/>
    <s v="Christmas Promo"/>
    <n v="3"/>
    <n v="17865"/>
    <n v="53595"/>
    <n v="5359.5"/>
    <n v="0.1"/>
    <n v="48235.5"/>
    <n v="35989.33"/>
    <n v="12246.169999999998"/>
  </r>
  <r>
    <s v="ORD-00345"/>
    <d v="2026-12-06T00:00:00"/>
    <s v="Handbag"/>
    <s v="Accessories"/>
    <s v="Physical Store"/>
    <x v="4"/>
    <s v="Returning"/>
    <s v="Christmas Promo"/>
    <n v="1"/>
    <n v="45751"/>
    <n v="45751"/>
    <n v="2287.5500000000002"/>
    <n v="0.05"/>
    <n v="43463.45"/>
    <n v="26749.71"/>
    <n v="16713.739999999998"/>
  </r>
  <r>
    <s v="ORD-00094"/>
    <d v="2026-12-07T00:00:00"/>
    <s v="Cap"/>
    <s v="Accessories"/>
    <s v="Instagram"/>
    <x v="4"/>
    <s v="Returning"/>
    <s v="Christmas Promo"/>
    <n v="1"/>
    <n v="12092"/>
    <n v="12092"/>
    <n v="1813.8"/>
    <n v="0.15"/>
    <n v="10278.200000000001"/>
    <n v="7937.52"/>
    <n v="2340.6800000000003"/>
  </r>
  <r>
    <s v="ORD-00895"/>
    <d v="2026-12-08T00:00:00"/>
    <s v="T-Shirt"/>
    <s v="Clothing"/>
    <s v="Website"/>
    <x v="3"/>
    <s v="Returning"/>
    <s v="Christmas Promo"/>
    <n v="3"/>
    <n v="18549"/>
    <n v="55647"/>
    <n v="2782.35"/>
    <n v="0.05"/>
    <n v="52864.65"/>
    <n v="30930.39"/>
    <n v="21934.260000000002"/>
  </r>
  <r>
    <s v="ORD-00241"/>
    <d v="2026-12-08T00:00:00"/>
    <s v="T-Shirt"/>
    <s v="Clothing"/>
    <s v="Instagram"/>
    <x v="4"/>
    <s v="New"/>
    <s v="Christmas Promo"/>
    <n v="4"/>
    <n v="18165"/>
    <n v="72660"/>
    <n v="7266"/>
    <n v="0.1"/>
    <n v="65394"/>
    <n v="44567.43"/>
    <n v="20826.57"/>
  </r>
  <r>
    <s v="ORD-00631"/>
    <d v="2026-12-10T00:00:00"/>
    <s v="Polo Shirt"/>
    <s v="Clothing"/>
    <s v="Website"/>
    <x v="1"/>
    <s v="Returning"/>
    <s v="None"/>
    <n v="2"/>
    <n v="26114"/>
    <n v="52228"/>
    <n v="0"/>
    <n v="0"/>
    <n v="52228"/>
    <n v="31346.799999999999"/>
    <n v="20881.2"/>
  </r>
  <r>
    <s v="ORD-00942"/>
    <d v="2026-12-10T00:00:00"/>
    <s v="Sneakers"/>
    <s v="Footwear"/>
    <s v="Website"/>
    <x v="2"/>
    <s v="Returning"/>
    <s v="Christmas Promo"/>
    <n v="4"/>
    <n v="69507"/>
    <n v="278028"/>
    <n v="41704.199999999997"/>
    <n v="0.15"/>
    <n v="236323.8"/>
    <n v="185685.73"/>
    <n v="50638.069999999978"/>
  </r>
  <r>
    <s v="ORD-00067"/>
    <d v="2026-12-12T00:00:00"/>
    <s v="Sneakers"/>
    <s v="Footwear"/>
    <s v="WhatsApp"/>
    <x v="4"/>
    <s v="New"/>
    <s v="Christmas Promo"/>
    <n v="1"/>
    <n v="64750"/>
    <n v="64750"/>
    <n v="9712.5"/>
    <n v="0.15"/>
    <n v="55037.5"/>
    <n v="36188.47"/>
    <n v="18849.03"/>
  </r>
  <r>
    <s v="ORD-00306"/>
    <d v="2026-12-12T00:00:00"/>
    <s v="Hoodie"/>
    <s v="Clothing"/>
    <s v="Instagram"/>
    <x v="4"/>
    <s v="Returning"/>
    <s v="Christmas Promo"/>
    <n v="1"/>
    <n v="35271"/>
    <n v="35271"/>
    <n v="5290.65"/>
    <n v="0.15"/>
    <n v="29980.35"/>
    <n v="20048.79"/>
    <n v="9931.5599999999977"/>
  </r>
  <r>
    <s v="ORD-00975"/>
    <d v="2026-12-12T00:00:00"/>
    <s v="Cap"/>
    <s v="Accessories"/>
    <s v="WhatsApp"/>
    <x v="4"/>
    <s v="New"/>
    <s v="None"/>
    <n v="2"/>
    <n v="11194"/>
    <n v="22388"/>
    <n v="0"/>
    <n v="0"/>
    <n v="22388"/>
    <n v="12639.18"/>
    <n v="9748.82"/>
  </r>
  <r>
    <s v="ORD-00151"/>
    <d v="2026-12-12T00:00:00"/>
    <s v="Polo Shirt"/>
    <s v="Clothing"/>
    <s v="Website"/>
    <x v="3"/>
    <s v="Returning"/>
    <s v="Christmas Promo"/>
    <n v="3"/>
    <n v="24224"/>
    <n v="72672"/>
    <n v="3633.6"/>
    <n v="0.05"/>
    <n v="69038.399999999994"/>
    <n v="44069.61"/>
    <n v="24968.789999999994"/>
  </r>
  <r>
    <s v="ORD-00300"/>
    <d v="2026-12-13T00:00:00"/>
    <s v="Jeans"/>
    <s v="Clothing"/>
    <s v="WhatsApp"/>
    <x v="3"/>
    <s v="New"/>
    <s v="None"/>
    <n v="3"/>
    <n v="42439"/>
    <n v="127317"/>
    <n v="0"/>
    <n v="0"/>
    <n v="127317"/>
    <n v="81411.86"/>
    <n v="45905.14"/>
  </r>
  <r>
    <s v="ORD-00939"/>
    <d v="2026-12-13T00:00:00"/>
    <s v="Dress"/>
    <s v="Clothing"/>
    <s v="WhatsApp"/>
    <x v="1"/>
    <s v="New"/>
    <s v="Christmas Promo"/>
    <n v="1"/>
    <n v="52641"/>
    <n v="52641"/>
    <n v="5264.1"/>
    <n v="0.1"/>
    <n v="47376.9"/>
    <n v="31945.22"/>
    <n v="15431.68"/>
  </r>
  <r>
    <s v="ORD-00576"/>
    <d v="2026-12-13T00:00:00"/>
    <s v="Belt"/>
    <s v="Accessories"/>
    <s v="WhatsApp"/>
    <x v="3"/>
    <s v="Returning"/>
    <s v="None"/>
    <n v="1"/>
    <n v="15883"/>
    <n v="15883"/>
    <n v="2382.4499999999998"/>
    <n v="0.15"/>
    <n v="13500.55"/>
    <n v="7818.7"/>
    <n v="5681.8499999999995"/>
  </r>
  <r>
    <s v="ORD-00648"/>
    <d v="2026-12-15T00:00:00"/>
    <s v="Dress"/>
    <s v="Clothing"/>
    <s v="WhatsApp"/>
    <x v="1"/>
    <s v="Returning"/>
    <s v="Christmas Promo"/>
    <n v="4"/>
    <n v="46074"/>
    <n v="184296"/>
    <n v="18429.599999999999"/>
    <n v="0.1"/>
    <n v="165866.4"/>
    <n v="90160.15"/>
    <n v="75706.25"/>
  </r>
  <r>
    <s v="ORD-00471"/>
    <d v="2026-12-17T00:00:00"/>
    <s v="Dress"/>
    <s v="Clothing"/>
    <s v="Website"/>
    <x v="3"/>
    <s v="Returning"/>
    <s v="Christmas Promo"/>
    <n v="1"/>
    <n v="49908"/>
    <n v="49908"/>
    <n v="4990.8"/>
    <n v="0.1"/>
    <n v="44917.2"/>
    <n v="30612.92"/>
    <n v="14304.279999999999"/>
  </r>
  <r>
    <s v="ORD-00324"/>
    <d v="2026-12-17T00:00:00"/>
    <s v="Handbag"/>
    <s v="Accessories"/>
    <s v="WhatsApp"/>
    <x v="1"/>
    <s v="Returning"/>
    <s v="None"/>
    <n v="2"/>
    <n v="44165"/>
    <n v="88330"/>
    <n v="0"/>
    <n v="0"/>
    <n v="88330"/>
    <n v="59867.17"/>
    <n v="28462.83"/>
  </r>
  <r>
    <s v="ORD-00329"/>
    <d v="2026-12-17T00:00:00"/>
    <s v="Dress"/>
    <s v="Clothing"/>
    <s v="Instagram"/>
    <x v="4"/>
    <s v="Returning"/>
    <s v="Christmas Promo"/>
    <n v="3"/>
    <n v="49793"/>
    <n v="149379"/>
    <n v="29875.8"/>
    <n v="0.2"/>
    <n v="119503.2"/>
    <n v="73138.720000000001"/>
    <n v="46364.479999999996"/>
  </r>
  <r>
    <s v="ORD-00022"/>
    <d v="2026-12-18T00:00:00"/>
    <s v="Jeans"/>
    <s v="Clothing"/>
    <s v="Website"/>
    <x v="3"/>
    <s v="New"/>
    <s v="Christmas Promo"/>
    <n v="1"/>
    <n v="39810"/>
    <n v="39810"/>
    <n v="5971.5"/>
    <n v="0.15"/>
    <n v="33838.5"/>
    <n v="22420.25"/>
    <n v="11418.25"/>
  </r>
  <r>
    <s v="ORD-01156"/>
    <d v="2026-12-21T00:00:00"/>
    <s v="Cap"/>
    <s v="Accessories"/>
    <s v="Website"/>
    <x v="4"/>
    <s v="New"/>
    <s v="None"/>
    <n v="4"/>
    <n v="12394"/>
    <n v="49576"/>
    <n v="0"/>
    <n v="0"/>
    <n v="49576"/>
    <n v="31793.71"/>
    <n v="17782.29"/>
  </r>
  <r>
    <s v="ORD-00079"/>
    <d v="2026-12-22T00:00:00"/>
    <s v="Jeans"/>
    <s v="Clothing"/>
    <s v="Website"/>
    <x v="4"/>
    <s v="New"/>
    <s v="None"/>
    <n v="3"/>
    <n v="39351"/>
    <n v="118053"/>
    <n v="0"/>
    <n v="0"/>
    <n v="118053"/>
    <n v="58879.1"/>
    <n v="59173.9"/>
  </r>
  <r>
    <s v="ORD-00902"/>
    <d v="2026-12-22T00:00:00"/>
    <s v="Cap"/>
    <s v="Accessories"/>
    <s v="Physical Store"/>
    <x v="3"/>
    <s v="New"/>
    <s v="Christmas Promo"/>
    <n v="4"/>
    <n v="11780"/>
    <n v="47120"/>
    <n v="2356"/>
    <n v="0.05"/>
    <n v="44764"/>
    <n v="29170.62"/>
    <n v="15593.380000000001"/>
  </r>
  <r>
    <s v="ORD-00535"/>
    <d v="2026-12-24T00:00:00"/>
    <s v="Dress"/>
    <s v="Clothing"/>
    <s v="Physical Store"/>
    <x v="3"/>
    <s v="Returning"/>
    <s v="None"/>
    <n v="1"/>
    <n v="46761"/>
    <n v="46761"/>
    <n v="0"/>
    <n v="0"/>
    <n v="46761"/>
    <n v="26220.07"/>
    <n v="20540.93"/>
  </r>
  <r>
    <s v="ORD-00344"/>
    <d v="2026-12-28T00:00:00"/>
    <s v="Hoodie"/>
    <s v="Clothing"/>
    <s v="Instagram"/>
    <x v="0"/>
    <s v="New"/>
    <s v="None"/>
    <n v="2"/>
    <n v="38599"/>
    <n v="77198"/>
    <n v="0"/>
    <n v="0"/>
    <n v="77198"/>
    <n v="51845.34"/>
    <n v="25352.660000000003"/>
  </r>
  <r>
    <s v="ORD-00431"/>
    <d v="2026-12-28T00:00:00"/>
    <s v="Hoodie"/>
    <s v="Clothing"/>
    <s v="Physical Store"/>
    <x v="3"/>
    <s v="New"/>
    <s v="Christmas Promo"/>
    <n v="1"/>
    <n v="37808"/>
    <n v="37808"/>
    <n v="3780.8"/>
    <n v="0.1"/>
    <n v="34027.199999999997"/>
    <n v="25593.4"/>
    <n v="8433.7999999999956"/>
  </r>
  <r>
    <s v="ORD-00461"/>
    <d v="2026-12-29T00:00:00"/>
    <s v="Jeans"/>
    <s v="Clothing"/>
    <s v="Website"/>
    <x v="0"/>
    <s v="New"/>
    <s v="None"/>
    <n v="2"/>
    <n v="39538"/>
    <n v="79076"/>
    <n v="0"/>
    <n v="0"/>
    <n v="79076"/>
    <n v="39105.699999999997"/>
    <n v="39970.300000000003"/>
  </r>
  <r>
    <s v="ORD-00568"/>
    <d v="2026-12-31T00:00:00"/>
    <s v="Handbag"/>
    <s v="Accessories"/>
    <s v="WhatsApp"/>
    <x v="4"/>
    <s v="Returning"/>
    <s v="Christmas Promo"/>
    <n v="1"/>
    <n v="43309"/>
    <n v="43309"/>
    <n v="4330.8999999999996"/>
    <n v="0.1"/>
    <n v="38978.1"/>
    <n v="29006.55"/>
    <n v="9971.5499999999993"/>
  </r>
  <r>
    <s v="ORD-00002"/>
    <d v="2026-12-31T00:00:00"/>
    <s v="T-Shirt"/>
    <s v="Clothing"/>
    <s v="WhatsApp"/>
    <x v="0"/>
    <s v="Returning"/>
    <s v="None"/>
    <n v="4"/>
    <n v="18970"/>
    <n v="75880"/>
    <n v="0"/>
    <n v="0"/>
    <n v="75880"/>
    <n v="46744.22"/>
    <n v="29135.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2C8A4-BBF5-4E6E-BB13-B957F5410AD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6">
    <pivotField showAll="0"/>
    <pivotField numFmtId="164" showAll="0"/>
    <pivotField showAll="0"/>
    <pivotField showAll="0"/>
    <pivotField showAll="0"/>
    <pivotField axis="axisRow" showAll="0" sortType="descending">
      <items count="6">
        <item x="3"/>
        <item x="1"/>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5" showAll="0"/>
    <pivotField numFmtId="4" showAll="0"/>
    <pivotField numFmtId="9" showAll="0"/>
    <pivotField dataField="1" numFmtId="165" showAll="0"/>
    <pivotField numFmtId="165" showAll="0"/>
    <pivotField numFmtId="165" showAll="0"/>
  </pivotFields>
  <rowFields count="1">
    <field x="5"/>
  </rowFields>
  <rowItems count="6">
    <i>
      <x v="2"/>
    </i>
    <i>
      <x/>
    </i>
    <i>
      <x v="3"/>
    </i>
    <i>
      <x v="4"/>
    </i>
    <i>
      <x v="1"/>
    </i>
    <i t="grand">
      <x/>
    </i>
  </rowItems>
  <colItems count="1">
    <i/>
  </colItems>
  <dataFields count="1">
    <dataField name="Sum of Net_Sales_NGN" fld="13" baseField="0" baseItem="0" numFmtId="167"/>
  </dataFields>
  <formats count="1">
    <format dxfId="11">
      <pivotArea outline="0" collapsedLevelsAreSubtotals="1" fieldPosition="0">
        <references count="1">
          <reference field="4294967294" count="1" selected="0">
            <x v="0"/>
          </reference>
        </references>
      </pivotArea>
    </format>
  </formats>
  <chartFormats count="2">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13AA4-7F60-45C8-9142-72E03F83DEC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19"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showAll="0"/>
    <pivotField showAll="0"/>
    <pivotField showAll="0"/>
    <pivotField showAll="0"/>
    <pivotField showAll="0"/>
    <pivotField numFmtId="165" showAll="0"/>
    <pivotField numFmtId="165" showAll="0"/>
    <pivotField numFmtId="4" showAll="0"/>
    <pivotField numFmtId="9" showAll="0"/>
    <pivotField dataField="1" numFmtId="165" showAll="0"/>
    <pivotField numFmtId="165" showAll="0"/>
    <pivotField numFmtId="165" showAll="0"/>
    <pivotField axis="axisRow" showAll="0">
      <items count="13">
        <item x="0"/>
        <item x="1"/>
        <item x="2"/>
        <item x="3"/>
        <item x="4"/>
        <item x="5"/>
        <item x="6"/>
        <item x="7"/>
        <item x="8"/>
        <item x="9"/>
        <item x="10"/>
        <item x="11"/>
        <item t="default"/>
      </items>
    </pivotField>
    <pivotField axis="axisRow" multipleItemSelectionAllowed="1"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3">
    <field x="17"/>
    <field x="20"/>
    <field x="16"/>
  </rowFields>
  <rowItems count="16">
    <i>
      <x/>
    </i>
    <i r="1">
      <x v="1"/>
    </i>
    <i r="1">
      <x v="2"/>
    </i>
    <i r="1">
      <x v="3"/>
    </i>
    <i r="1">
      <x v="4"/>
    </i>
    <i>
      <x v="1"/>
    </i>
    <i r="1">
      <x v="1"/>
    </i>
    <i r="1">
      <x v="2"/>
    </i>
    <i r="1">
      <x v="3"/>
    </i>
    <i r="1">
      <x v="4"/>
    </i>
    <i>
      <x v="2"/>
    </i>
    <i r="1">
      <x v="1"/>
    </i>
    <i r="1">
      <x v="2"/>
    </i>
    <i r="1">
      <x v="3"/>
    </i>
    <i r="1">
      <x v="4"/>
    </i>
    <i t="grand">
      <x/>
    </i>
  </rowItems>
  <colItems count="1">
    <i/>
  </colItems>
  <dataFields count="1">
    <dataField name="Sum of Net_Sales_NGN" fld="13"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7CE38F-15BA-4A11-9FEF-A89193933E7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2:C16"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sortType="descending">
      <items count="11">
        <item x="0"/>
        <item x="3"/>
        <item x="7"/>
        <item x="9"/>
        <item x="8"/>
        <item x="2"/>
        <item x="4"/>
        <item x="6"/>
        <item x="1"/>
        <item x="5"/>
        <item t="default"/>
      </items>
      <autoSortScope>
        <pivotArea dataOnly="0" outline="0" fieldPosition="0">
          <references count="1">
            <reference field="4294967294" count="1" selected="0">
              <x v="0"/>
            </reference>
          </references>
        </pivotArea>
      </autoSortScope>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3"/>
    <field x="2"/>
  </rowFields>
  <rowItems count="14">
    <i>
      <x v="1"/>
    </i>
    <i r="1">
      <x v="2"/>
    </i>
    <i r="1">
      <x v="5"/>
    </i>
    <i r="1">
      <x v="4"/>
    </i>
    <i r="1">
      <x v="6"/>
    </i>
    <i r="1">
      <x v="9"/>
    </i>
    <i>
      <x v="2"/>
    </i>
    <i r="1">
      <x v="8"/>
    </i>
    <i r="1">
      <x v="7"/>
    </i>
    <i>
      <x/>
    </i>
    <i r="1">
      <x v="3"/>
    </i>
    <i r="1">
      <x/>
    </i>
    <i r="1">
      <x v="1"/>
    </i>
    <i t="grand">
      <x/>
    </i>
  </rowItems>
  <colItems count="1">
    <i/>
  </colItems>
  <dataFields count="1">
    <dataField name="Sum of Net_Sales_NGN" fld="13" baseField="0" baseItem="0" numFmtId="167"/>
  </dataFields>
  <formats count="1">
    <format dxfId="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330986-B4EA-49D3-9AA8-1B2713DD59B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9">
    <pivotField showAll="0"/>
    <pivotField numFmtId="164" showAll="0"/>
    <pivotField showAll="0"/>
    <pivotField showAll="0"/>
    <pivotField showAll="0"/>
    <pivotField showAll="0"/>
    <pivotField showAll="0"/>
    <pivotField axis="axisRow" showAll="0" sortType="descending">
      <items count="7">
        <item sd="0" x="4"/>
        <item sd="0" x="5"/>
        <item sd="0" x="2"/>
        <item sd="0" x="3"/>
        <item sd="0" x="0"/>
        <item sd="0" x="1"/>
        <item t="default" sd="0"/>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s>
  <rowFields count="1">
    <field x="7"/>
  </rowFields>
  <rowItems count="7">
    <i>
      <x v="4"/>
    </i>
    <i>
      <x v="2"/>
    </i>
    <i>
      <x/>
    </i>
    <i>
      <x v="3"/>
    </i>
    <i>
      <x v="1"/>
    </i>
    <i>
      <x v="5"/>
    </i>
    <i t="grand">
      <x/>
    </i>
  </rowItems>
  <colItems count="1">
    <i/>
  </colItems>
  <dataFields count="1">
    <dataField name="Sum of Net_Sales_NGN" fld="13" baseField="0" baseItem="0" numFmtId="167"/>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B7B200-6605-4D0C-9647-E331488189A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2:C5"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axis="axisRow"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3">
    <i>
      <x/>
    </i>
    <i>
      <x v="1"/>
    </i>
    <i t="grand">
      <x/>
    </i>
  </rowItems>
  <colItems count="1">
    <i/>
  </colItems>
  <dataFields count="1">
    <dataField name="Sum of Net_Sales_NGN" fld="13"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5CEC3B-ED31-4213-BD1B-44E5F8AFC25A}"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B7" firstHeaderRow="1" firstDataRow="1" firstDataCol="1"/>
  <pivotFields count="22">
    <pivotField dataField="1"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dataField="1" showAll="0"/>
    <pivotField numFmtId="165" showAll="0"/>
    <pivotField numFmtId="165" showAll="0"/>
    <pivotField numFmtId="165" showAll="0"/>
    <pivotField numFmtId="9" showAll="0"/>
    <pivotField dataField="1" numFmtId="165" showAll="0"/>
    <pivotField dataField="1" numFmtId="165" showAll="0"/>
    <pivotField dataField="1"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i="1">
      <x v="1"/>
    </i>
    <i i="2">
      <x v="2"/>
    </i>
    <i i="3">
      <x v="3"/>
    </i>
    <i i="4">
      <x v="4"/>
    </i>
    <i i="5">
      <x v="5"/>
    </i>
  </rowItems>
  <colItems count="1">
    <i/>
  </colItems>
  <dataFields count="6">
    <dataField name="Sum of Net_Sales_NGN" fld="13" baseField="0" baseItem="0" numFmtId="165"/>
    <dataField name="Count of Order_ID" fld="0" subtotal="count" baseField="0" baseItem="0"/>
    <dataField name="Average of Net_Sales_NGN2" fld="13" subtotal="average" baseField="0" baseItem="1" numFmtId="165"/>
    <dataField name="Sum of Quantity" fld="8" baseField="0" baseItem="0"/>
    <dataField name="Sum of Estimated_Cost_NGN" fld="14" baseField="0" baseItem="0" numFmtId="165"/>
    <dataField name="Sum of Estimated_Profit_NGN" fld="15" baseField="0" baseItem="0" numFmtId="165"/>
  </dataFields>
  <formats count="4">
    <format dxfId="3">
      <pivotArea collapsedLevelsAreSubtotals="1" fieldPosition="0">
        <references count="1">
          <reference field="4294967294" count="1">
            <x v="0"/>
          </reference>
        </references>
      </pivotArea>
    </format>
    <format dxfId="2">
      <pivotArea collapsedLevelsAreSubtotals="1" fieldPosition="0">
        <references count="1">
          <reference field="4294967294" count="1">
            <x v="2"/>
          </reference>
        </references>
      </pivotArea>
    </format>
    <format dxfId="1">
      <pivotArea collapsedLevelsAreSubtotals="1" fieldPosition="0">
        <references count="1">
          <reference field="4294967294" count="1">
            <x v="5"/>
          </reference>
        </references>
      </pivotArea>
    </format>
    <format dxfId="0">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A77DB6-4DBA-4EB0-8A99-D25C7D68072E}" name="PivotTable4"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11:H15"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v="1"/>
    </i>
    <i>
      <x v="2"/>
    </i>
    <i>
      <x/>
    </i>
    <i t="grand">
      <x/>
    </i>
  </rowItems>
  <colItems count="1">
    <i/>
  </colItems>
  <dataFields count="1">
    <dataField name="Sum of Net_Sales_NGN"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BA2A68-672F-4FDF-9284-41F6F779A90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N11"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axis="axisRow" showAll="0" sortType="descending">
      <items count="7">
        <item x="4"/>
        <item x="5"/>
        <item x="2"/>
        <item x="3"/>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7">
    <i>
      <x v="4"/>
    </i>
    <i>
      <x v="2"/>
    </i>
    <i>
      <x/>
    </i>
    <i>
      <x v="3"/>
    </i>
    <i>
      <x v="1"/>
    </i>
    <i>
      <x v="5"/>
    </i>
    <i t="grand">
      <x/>
    </i>
  </rowItems>
  <colItems count="1">
    <i/>
  </colItems>
  <dataFields count="1">
    <dataField name="Sum of Net_Sales_NGN" fld="13" baseField="0" baseItem="0" numFmtId="167"/>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560669-B11D-4F30-AE68-04D76737332C}" name="PivotTable5"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G17:H22"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axis="axisRow"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Sum of Net_Sales_NGN" fld="13" baseField="0" baseItem="0" numFmtId="167"/>
  </dataFields>
  <formats count="1">
    <format dxfId="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A3BA2C-D313-4D0F-8A02-B7396338FFD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2:K18" firstHeaderRow="1" firstDataRow="1" firstDataCol="1"/>
  <pivotFields count="16">
    <pivotField showAll="0"/>
    <pivotField numFmtId="164" showAll="0"/>
    <pivotField showAll="0"/>
    <pivotField showAll="0"/>
    <pivotField showAll="0"/>
    <pivotField axis="axisRow" showAll="0" sortType="descending">
      <items count="6">
        <item x="3"/>
        <item x="1"/>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5" showAll="0"/>
    <pivotField numFmtId="4" showAll="0"/>
    <pivotField numFmtId="9" showAll="0"/>
    <pivotField dataField="1" numFmtId="165" showAll="0"/>
    <pivotField numFmtId="165" showAll="0"/>
    <pivotField numFmtId="165" showAll="0"/>
  </pivotFields>
  <rowFields count="1">
    <field x="5"/>
  </rowFields>
  <rowItems count="6">
    <i>
      <x v="2"/>
    </i>
    <i>
      <x/>
    </i>
    <i>
      <x v="3"/>
    </i>
    <i>
      <x v="4"/>
    </i>
    <i>
      <x v="1"/>
    </i>
    <i t="grand">
      <x/>
    </i>
  </rowItems>
  <colItems count="1">
    <i/>
  </colItems>
  <dataFields count="1">
    <dataField name="Sum of Net_Sales_NGN" fld="13" baseField="0" baseItem="0" numFmtId="167"/>
  </dataFields>
  <formats count="1">
    <format dxfId="6">
      <pivotArea outline="0" collapsedLevelsAreSubtotals="1" fieldPosition="0">
        <references count="1">
          <reference field="4294967294" count="1" selected="0">
            <x v="0"/>
          </reference>
        </references>
      </pivotArea>
    </format>
  </formats>
  <chartFormats count="2">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CB972-30AB-4D70-B306-19214D0CFAD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8:E21"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axis="axisRow"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3">
    <i>
      <x/>
    </i>
    <i>
      <x v="1"/>
    </i>
    <i t="grand">
      <x/>
    </i>
  </rowItems>
  <colItems count="1">
    <i/>
  </colItems>
  <dataFields count="1">
    <dataField name="Sum of Net_Sales_NGN" fld="13"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02A82-7AA1-432A-BCF2-BB426C524C6D}" name="PivotTable6"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A9:B15"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measureFilter="1" sortType="ascending">
      <items count="11">
        <item x="0"/>
        <item x="3"/>
        <item x="7"/>
        <item x="9"/>
        <item x="8"/>
        <item x="2"/>
        <item x="4"/>
        <item x="6"/>
        <item x="1"/>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4"/>
    </i>
    <i>
      <x v="3"/>
    </i>
    <i>
      <x v="5"/>
    </i>
    <i>
      <x v="2"/>
    </i>
    <i>
      <x v="8"/>
    </i>
    <i t="grand">
      <x/>
    </i>
  </rowItems>
  <colItems count="1">
    <i/>
  </colItems>
  <dataFields count="1">
    <dataField name="Sum of Net_Sales_NGN" fld="13" baseField="0" baseItem="0" numFmtId="167"/>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E19311-294E-4D60-B0CF-DB6940A95565}" name="PivotTable3"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2:H8" firstHeaderRow="1" firstDataRow="1" firstDataCol="1"/>
  <pivotFields count="22">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4">
        <item x="0"/>
        <item x="2"/>
        <item x="1"/>
        <item t="default"/>
      </items>
    </pivotField>
    <pivotField showAll="0">
      <items count="5">
        <item x="3"/>
        <item x="0"/>
        <item x="1"/>
        <item x="2"/>
        <item t="default"/>
      </items>
    </pivotField>
    <pivotField axis="axisRow"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6">
    <i>
      <x/>
    </i>
    <i>
      <x v="1"/>
    </i>
    <i>
      <x v="2"/>
    </i>
    <i>
      <x v="3"/>
    </i>
    <i>
      <x v="4"/>
    </i>
    <i t="grand">
      <x/>
    </i>
  </rowItems>
  <colItems count="1">
    <i/>
  </colItems>
  <dataFields count="1">
    <dataField name="Sum of Net_Sales_NGN"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135AE7-A42C-4F94-8677-EED4FBA1A5A9}" name="PivotTable2"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D2:E15" firstHeaderRow="1" firstDataRow="1" firstDataCol="1"/>
  <pivotFields count="22">
    <pivotField showAll="0"/>
    <pivotField axis="axisRow"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11">
        <item x="0"/>
        <item x="3"/>
        <item x="7"/>
        <item x="9"/>
        <item x="8"/>
        <item x="2"/>
        <item x="4"/>
        <item x="6"/>
        <item x="1"/>
        <item x="5"/>
        <item t="default"/>
      </items>
    </pivotField>
    <pivotField showAll="0">
      <items count="4">
        <item x="0"/>
        <item x="2"/>
        <item x="1"/>
        <item t="default"/>
      </items>
    </pivotField>
    <pivotField showAll="0">
      <items count="5">
        <item x="3"/>
        <item x="0"/>
        <item x="1"/>
        <item x="2"/>
        <item t="default"/>
      </items>
    </pivotField>
    <pivotField showAll="0">
      <items count="6">
        <item x="3"/>
        <item x="1"/>
        <item x="4"/>
        <item x="0"/>
        <item x="2"/>
        <item t="default"/>
      </items>
    </pivotField>
    <pivotField showAll="0">
      <items count="3">
        <item x="1"/>
        <item x="0"/>
        <item t="default"/>
      </items>
    </pivotField>
    <pivotField showAll="0">
      <items count="7">
        <item x="4"/>
        <item x="5"/>
        <item x="2"/>
        <item x="3"/>
        <item x="0"/>
        <item x="1"/>
        <item t="default"/>
      </items>
    </pivotField>
    <pivotField showAll="0"/>
    <pivotField numFmtId="165" showAll="0"/>
    <pivotField numFmtId="165" showAll="0"/>
    <pivotField numFmtId="165" showAll="0"/>
    <pivotField numFmtId="9" showAll="0"/>
    <pivotField dataField="1" numFmtId="165" showAll="0"/>
    <pivotField numFmtId="165" showAll="0"/>
    <pivotField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9"/>
    <field x="1"/>
  </rowFields>
  <rowItems count="13">
    <i>
      <x v="1"/>
    </i>
    <i>
      <x v="2"/>
    </i>
    <i>
      <x v="3"/>
    </i>
    <i>
      <x v="4"/>
    </i>
    <i>
      <x v="5"/>
    </i>
    <i>
      <x v="6"/>
    </i>
    <i>
      <x v="7"/>
    </i>
    <i>
      <x v="8"/>
    </i>
    <i>
      <x v="9"/>
    </i>
    <i>
      <x v="10"/>
    </i>
    <i>
      <x v="11"/>
    </i>
    <i>
      <x v="12"/>
    </i>
    <i t="grand">
      <x/>
    </i>
  </rowItems>
  <colItems count="1">
    <i/>
  </colItems>
  <dataFields count="1">
    <dataField name="Sum of Net_Sales_NGN" fld="13" baseField="0" baseItem="0" numFmtId="167"/>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397D3F-8DAF-4191-AACE-CEE4E0828C2E}" sourceName="Region">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 tabId="21" name="PivotTable11"/>
  </pivotTables>
  <data>
    <tabular pivotCacheId="777708310">
      <items count="5">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92DF15-0C3F-42BD-BE9B-AA5F6CCCDD6D}" sourceName="Category">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 tabId="21" name="PivotTable11"/>
  </pivotTables>
  <data>
    <tabular pivotCacheId="7777083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D9E35FE-D033-4226-AFFA-4FDC27C07628}" sourceName="Channel">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 tabId="21" name="PivotTable11"/>
  </pivotTables>
  <data>
    <tabular pivotCacheId="777708310">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E4D4173-DF5D-44A2-9237-476613268396}" sourceName="Customer_Type">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 tabId="21" name="PivotTable11"/>
  </pivotTables>
  <data>
    <tabular pivotCacheId="77770831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2CC54311-2CF3-4AFC-86DF-184D4C9207B4}" sourceName="Campaign">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 tabId="21" name="PivotTable11"/>
  </pivotTables>
  <data>
    <tabular pivotCacheId="777708310">
      <items count="6">
        <i x="4" s="1"/>
        <i x="5"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2FA5AA-D5D4-4525-A57D-75B0BC12DC3E}" cache="Slicer_Region" caption="Region" style="SlicerStyleLight1 2" rowHeight="234950"/>
  <slicer name="Category" xr10:uid="{65661F99-8433-4FF6-9009-AD68371DC484}" cache="Slicer_Category" caption="Category" style="SlicerStyleLight1 2" rowHeight="234950"/>
  <slicer name="Channel" xr10:uid="{C98DD52C-CEB0-42D9-B14B-EB83D692CEE3}" cache="Slicer_Channel" caption="Channel" style="SlicerStyleLight1 2" rowHeight="234950"/>
  <slicer name="Customer_Type" xr10:uid="{61C8A75B-9792-49EF-AB5A-750AE26EAD6D}" cache="Slicer_Customer_Type" caption="Customer_Type" style="SlicerStyleLight1 2" rowHeight="234950"/>
  <slicer name="Campaign" xr10:uid="{298E64F7-16C6-4B19-A1AD-A368D7DE3BDA}" cache="Slicer_Campaign" caption="Campaign"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9D118-8C71-4031-82E7-07792753B278}" name="Table2" displayName="Table2" ref="A2:S1202" totalsRowShown="0" headerRowDxfId="33" dataDxfId="32" tableBorderDxfId="31">
  <autoFilter ref="A2:S1202" xr:uid="{B599D118-8C71-4031-82E7-07792753B278}"/>
  <tableColumns count="19">
    <tableColumn id="1" xr3:uid="{FF3F388F-8DD3-45F6-8A62-122357C29000}" name="Order_ID" dataDxfId="30"/>
    <tableColumn id="2" xr3:uid="{C7D4C85C-FD10-497E-926F-B809C3C65C83}" name="Order_Date" dataDxfId="29"/>
    <tableColumn id="3" xr3:uid="{66D1F1DD-0532-4214-B988-1903807601FC}" name="Product" dataDxfId="28"/>
    <tableColumn id="4" xr3:uid="{366E072B-28F5-4458-B988-EF04035672CF}" name="Category" dataDxfId="27"/>
    <tableColumn id="5" xr3:uid="{2900FC66-E78B-42D2-B275-FD7F45ED6C50}" name="Channel" dataDxfId="26"/>
    <tableColumn id="6" xr3:uid="{C61E49E0-923B-4A2A-90C2-0C036D8C29C7}" name="Region" dataDxfId="25"/>
    <tableColumn id="7" xr3:uid="{9F286EB2-23D0-4ADB-BBA1-C2A385A55243}" name="Customer_Type" dataDxfId="24"/>
    <tableColumn id="8" xr3:uid="{B78EA652-2FBB-434E-B7B4-C8013BD525D0}" name="Campaign" dataDxfId="23"/>
    <tableColumn id="9" xr3:uid="{A654647B-59FF-4513-9E43-3096269443CE}" name="Quantity" dataDxfId="22"/>
    <tableColumn id="10" xr3:uid="{4AC5EBC7-29A0-42FE-89D7-EDC00D705949}" name="Unit_Price_NGN" dataDxfId="21"/>
    <tableColumn id="11" xr3:uid="{DAB9C044-94B8-4E65-A01B-B30B285432C8}" name="Gross_Sales_NGN" dataDxfId="20"/>
    <tableColumn id="12" xr3:uid="{DED9E47A-760E-4CF6-9236-72E8C17148C0}" name="Discount_Amount_NGN" dataDxfId="19"/>
    <tableColumn id="13" xr3:uid="{A794AF0E-5E50-487A-9558-56A821DF4063}" name="Discount_Pct" dataDxfId="18" dataCellStyle="Percent"/>
    <tableColumn id="14" xr3:uid="{87ADF84E-A6D4-49E8-AE80-1EA5CEADCC48}" name="Net_Sales_NGN" dataDxfId="17">
      <calculatedColumnFormula>K3-L3</calculatedColumnFormula>
    </tableColumn>
    <tableColumn id="15" xr3:uid="{8AD7ADA5-DEB9-4A89-8CAC-CEF3C8B2A50F}" name="Estimated_Cost_NGN" dataDxfId="16"/>
    <tableColumn id="16" xr3:uid="{7BD8449C-96A2-4822-8516-07F8A5D5F310}" name="Estimated_Profit_NGN" dataDxfId="15">
      <calculatedColumnFormula>N3-O3</calculatedColumnFormula>
    </tableColumn>
    <tableColumn id="17" xr3:uid="{378D8809-88A7-4F42-A077-3852E3038D8D}" name="Month" dataDxfId="14"/>
    <tableColumn id="18" xr3:uid="{B9526AA8-B2CA-45EE-8837-1D7F96CAEFFB}" name="Year" dataDxfId="13"/>
    <tableColumn id="19" xr3:uid="{C3783D86-77E5-49FD-99C9-54DF6475AED1}" name="Month_Number" dataDxfId="1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A89D757-469B-40C4-AD67-16EBB90AF777}" sourceName="Order_Date">
  <pivotTables>
    <pivotTable tabId="21" name="PivotTable2"/>
    <pivotTable tabId="14" name="PivotTable9"/>
    <pivotTable tabId="13" name="PivotTable2"/>
    <pivotTable tabId="21" name="PivotTable1"/>
    <pivotTable tabId="21" name="PivotTable3"/>
    <pivotTable tabId="21" name="PivotTable4"/>
    <pivotTable tabId="21" name="PivotTable5"/>
    <pivotTable tabId="21" name="PivotTable6"/>
    <pivotTable tabId="21" name="PivotTable8"/>
  </pivotTables>
  <state minimalRefreshVersion="6" lastRefreshVersion="6" pivotCacheId="777708310" filterType="unknown">
    <bounds startDate="2024-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9628F77-B2F0-4177-BE70-BBBFF8E32E66}" cache="NativeTimeline_Order_Date" caption="Order_Date" level="0" selectionLevel="0" scrollPosition="2024-01-21T00:00:00" style="TimeSlicerStyleLight1 2"/>
  <timeline name="Order_Date 1" xr10:uid="{CD64E5B2-7F63-4A16-B0A6-87E83B9BF559}" cache="NativeTimeline_Order_Date" caption="Order_Date" level="1" selectionLevel="1" scrollPosition="2024-01-01T00:00:00" style="TimeSlicerStyleLight1 2"/>
  <timeline name="Order_Date 2" xr10:uid="{7CF21921-D7DF-467D-8659-4D60A9FB3F43}" cache="NativeTimeline_Order_Date" caption="Order_Date" level="2" selectionLevel="2" scrollPosition="2026-01-02T00:00:00" style="TimeSlicerStyleLight1 2"/>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drawing" Target="../drawings/drawing7.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01"/>
  <sheetViews>
    <sheetView topLeftCell="H1" workbookViewId="0">
      <pane ySplit="1" topLeftCell="A928" activePane="bottomLeft" state="frozen"/>
      <selection pane="bottomLeft" activeCell="J949" sqref="J949"/>
    </sheetView>
  </sheetViews>
  <sheetFormatPr defaultRowHeight="14.4" x14ac:dyDescent="0.3"/>
  <cols>
    <col min="1" max="1" width="12" customWidth="1"/>
    <col min="2" max="2" width="21" customWidth="1"/>
    <col min="3" max="3" width="12" customWidth="1"/>
    <col min="4" max="4" width="13" customWidth="1"/>
    <col min="5" max="5" width="16" customWidth="1"/>
    <col min="6" max="6" width="12" customWidth="1"/>
    <col min="7" max="7" width="15" customWidth="1"/>
    <col min="8" max="8" width="17" customWidth="1"/>
    <col min="9" max="9" width="12" customWidth="1"/>
    <col min="10" max="10" width="16" customWidth="1"/>
    <col min="11" max="11" width="14" customWidth="1"/>
    <col min="12" max="12" width="17" customWidth="1"/>
    <col min="13" max="13" width="21" customWidth="1"/>
    <col min="14" max="14" width="15" customWidth="1"/>
    <col min="15" max="15" width="20" customWidth="1"/>
    <col min="16" max="16" width="22" customWidth="1"/>
    <col min="17" max="18" width="12" customWidth="1"/>
    <col min="19" max="19" width="14"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s="2">
        <v>45292</v>
      </c>
      <c r="C2" t="s">
        <v>20</v>
      </c>
      <c r="D2" t="s">
        <v>21</v>
      </c>
      <c r="E2" t="s">
        <v>22</v>
      </c>
      <c r="F2" t="s">
        <v>23</v>
      </c>
      <c r="G2" t="s">
        <v>24</v>
      </c>
      <c r="H2" t="s">
        <v>25</v>
      </c>
      <c r="I2">
        <v>1</v>
      </c>
      <c r="J2" s="3">
        <v>15989</v>
      </c>
      <c r="K2" s="4">
        <v>0</v>
      </c>
      <c r="L2" s="3">
        <v>15989</v>
      </c>
      <c r="M2" s="3">
        <v>0</v>
      </c>
      <c r="N2" s="3">
        <v>15989</v>
      </c>
      <c r="O2" s="3">
        <v>7800.77</v>
      </c>
      <c r="P2" s="3">
        <v>8188.23</v>
      </c>
      <c r="Q2" t="s">
        <v>26</v>
      </c>
      <c r="R2">
        <v>2024</v>
      </c>
      <c r="S2">
        <v>1</v>
      </c>
    </row>
    <row r="3" spans="1:19" x14ac:dyDescent="0.3">
      <c r="A3" t="s">
        <v>27</v>
      </c>
      <c r="B3" s="2">
        <v>45292</v>
      </c>
      <c r="C3" t="s">
        <v>28</v>
      </c>
      <c r="D3" t="s">
        <v>29</v>
      </c>
      <c r="E3" t="s">
        <v>22</v>
      </c>
      <c r="F3" t="s">
        <v>30</v>
      </c>
      <c r="G3" t="s">
        <v>31</v>
      </c>
      <c r="H3" t="s">
        <v>25</v>
      </c>
      <c r="I3">
        <v>1</v>
      </c>
      <c r="J3" s="3">
        <v>69509</v>
      </c>
      <c r="K3" s="4">
        <v>15</v>
      </c>
      <c r="L3" s="3">
        <v>69509</v>
      </c>
      <c r="M3" s="3">
        <v>10426.35</v>
      </c>
      <c r="N3" s="3">
        <v>59082.65</v>
      </c>
      <c r="O3" s="3">
        <v>36611.910000000003</v>
      </c>
      <c r="P3" s="3">
        <v>22470.74</v>
      </c>
      <c r="Q3" t="s">
        <v>26</v>
      </c>
      <c r="R3">
        <v>2024</v>
      </c>
      <c r="S3">
        <v>1</v>
      </c>
    </row>
    <row r="4" spans="1:19" x14ac:dyDescent="0.3">
      <c r="A4" t="s">
        <v>32</v>
      </c>
      <c r="B4" s="2">
        <v>45293</v>
      </c>
      <c r="C4" t="s">
        <v>33</v>
      </c>
      <c r="D4" t="s">
        <v>34</v>
      </c>
      <c r="E4" t="s">
        <v>22</v>
      </c>
      <c r="F4" t="s">
        <v>35</v>
      </c>
      <c r="G4" t="s">
        <v>24</v>
      </c>
      <c r="H4" t="s">
        <v>25</v>
      </c>
      <c r="I4">
        <v>2</v>
      </c>
      <c r="J4" s="3">
        <v>39039</v>
      </c>
      <c r="K4" s="4">
        <v>0</v>
      </c>
      <c r="L4" s="3">
        <v>78078</v>
      </c>
      <c r="M4" s="3">
        <v>0</v>
      </c>
      <c r="N4" s="3">
        <v>0</v>
      </c>
      <c r="O4" s="3">
        <v>47474.52</v>
      </c>
      <c r="P4" s="3">
        <v>0</v>
      </c>
      <c r="Q4" t="s">
        <v>26</v>
      </c>
      <c r="R4">
        <v>2024</v>
      </c>
      <c r="S4">
        <v>1</v>
      </c>
    </row>
    <row r="5" spans="1:19" x14ac:dyDescent="0.3">
      <c r="A5" t="s">
        <v>36</v>
      </c>
      <c r="B5" s="2">
        <v>45293</v>
      </c>
      <c r="C5" t="s">
        <v>33</v>
      </c>
      <c r="D5" t="s">
        <v>34</v>
      </c>
      <c r="E5" t="s">
        <v>22</v>
      </c>
      <c r="F5" t="s">
        <v>37</v>
      </c>
      <c r="G5" t="s">
        <v>31</v>
      </c>
      <c r="H5" t="s">
        <v>25</v>
      </c>
      <c r="I5">
        <v>1</v>
      </c>
      <c r="J5" s="3">
        <v>41273</v>
      </c>
      <c r="K5" s="4">
        <v>0</v>
      </c>
      <c r="L5" s="3">
        <v>41273</v>
      </c>
      <c r="M5" s="3">
        <v>0</v>
      </c>
      <c r="N5" s="3">
        <v>41273</v>
      </c>
      <c r="O5" s="3">
        <v>24202.67</v>
      </c>
      <c r="P5" s="3">
        <v>17070.330000000002</v>
      </c>
      <c r="Q5" t="s">
        <v>26</v>
      </c>
      <c r="R5">
        <v>2024</v>
      </c>
      <c r="S5">
        <v>1</v>
      </c>
    </row>
    <row r="6" spans="1:19" x14ac:dyDescent="0.3">
      <c r="A6" t="s">
        <v>38</v>
      </c>
      <c r="B6" s="2">
        <v>45294</v>
      </c>
      <c r="C6" t="s">
        <v>20</v>
      </c>
      <c r="D6" t="s">
        <v>21</v>
      </c>
      <c r="E6" t="s">
        <v>22</v>
      </c>
      <c r="F6" t="s">
        <v>37</v>
      </c>
      <c r="G6" t="s">
        <v>31</v>
      </c>
      <c r="H6" t="s">
        <v>25</v>
      </c>
      <c r="I6">
        <v>1</v>
      </c>
      <c r="J6" s="3">
        <v>14451</v>
      </c>
      <c r="K6" s="4">
        <v>0</v>
      </c>
      <c r="L6" s="3">
        <v>14451</v>
      </c>
      <c r="M6" s="3">
        <v>0</v>
      </c>
      <c r="N6" s="3">
        <v>14451</v>
      </c>
      <c r="O6" s="3">
        <v>9760.75</v>
      </c>
      <c r="P6" s="3">
        <v>4690.25</v>
      </c>
      <c r="Q6" t="s">
        <v>26</v>
      </c>
      <c r="R6">
        <v>2024</v>
      </c>
      <c r="S6">
        <v>1</v>
      </c>
    </row>
    <row r="7" spans="1:19" x14ac:dyDescent="0.3">
      <c r="A7" t="s">
        <v>39</v>
      </c>
      <c r="B7" s="2">
        <v>45294</v>
      </c>
      <c r="C7" t="s">
        <v>20</v>
      </c>
      <c r="D7" t="s">
        <v>21</v>
      </c>
      <c r="E7" t="s">
        <v>22</v>
      </c>
      <c r="F7" t="s">
        <v>40</v>
      </c>
      <c r="G7" t="s">
        <v>24</v>
      </c>
      <c r="H7" t="s">
        <v>25</v>
      </c>
      <c r="I7">
        <v>4</v>
      </c>
      <c r="J7" s="3">
        <v>14676</v>
      </c>
      <c r="K7" s="4">
        <v>0</v>
      </c>
      <c r="L7" s="3">
        <v>58704</v>
      </c>
      <c r="M7" s="3">
        <v>0</v>
      </c>
      <c r="N7" s="3">
        <v>58704</v>
      </c>
      <c r="O7" s="3">
        <v>39380.18</v>
      </c>
      <c r="P7" s="3">
        <v>19323.82</v>
      </c>
      <c r="Q7" t="s">
        <v>26</v>
      </c>
      <c r="R7">
        <v>2024</v>
      </c>
      <c r="S7">
        <v>1</v>
      </c>
    </row>
    <row r="8" spans="1:19" x14ac:dyDescent="0.3">
      <c r="A8" t="s">
        <v>41</v>
      </c>
      <c r="B8" s="2">
        <v>45295</v>
      </c>
      <c r="C8" t="s">
        <v>20</v>
      </c>
      <c r="D8" t="s">
        <v>21</v>
      </c>
      <c r="E8" t="s">
        <v>42</v>
      </c>
      <c r="F8" t="s">
        <v>37</v>
      </c>
      <c r="G8" t="s">
        <v>31</v>
      </c>
      <c r="H8" t="s">
        <v>25</v>
      </c>
      <c r="I8">
        <v>1</v>
      </c>
      <c r="J8" s="3">
        <v>15933</v>
      </c>
      <c r="K8" s="4">
        <v>0</v>
      </c>
      <c r="L8" s="3">
        <v>15933</v>
      </c>
      <c r="M8" s="3">
        <v>0</v>
      </c>
      <c r="N8" s="3">
        <v>0</v>
      </c>
      <c r="O8" s="3">
        <v>9442.7099999999991</v>
      </c>
      <c r="P8" s="3">
        <v>0</v>
      </c>
      <c r="Q8" t="s">
        <v>26</v>
      </c>
      <c r="R8">
        <v>2024</v>
      </c>
      <c r="S8">
        <v>1</v>
      </c>
    </row>
    <row r="9" spans="1:19" x14ac:dyDescent="0.3">
      <c r="A9" t="s">
        <v>43</v>
      </c>
      <c r="B9" s="2">
        <v>45295</v>
      </c>
      <c r="C9" t="s">
        <v>33</v>
      </c>
      <c r="D9" t="s">
        <v>34</v>
      </c>
      <c r="E9" t="s">
        <v>44</v>
      </c>
      <c r="F9" t="s">
        <v>30</v>
      </c>
      <c r="G9" t="s">
        <v>24</v>
      </c>
      <c r="H9" t="s">
        <v>25</v>
      </c>
      <c r="I9">
        <v>2</v>
      </c>
      <c r="J9" s="3">
        <v>41128</v>
      </c>
      <c r="K9" s="4">
        <v>0</v>
      </c>
      <c r="L9" s="3">
        <v>82256</v>
      </c>
      <c r="M9" s="3">
        <v>0</v>
      </c>
      <c r="N9" s="3">
        <v>0</v>
      </c>
      <c r="O9" s="3">
        <v>48103.199999999997</v>
      </c>
      <c r="P9" s="3">
        <v>0</v>
      </c>
      <c r="Q9" t="s">
        <v>26</v>
      </c>
      <c r="R9">
        <v>2024</v>
      </c>
      <c r="S9">
        <v>1</v>
      </c>
    </row>
    <row r="10" spans="1:19" x14ac:dyDescent="0.3">
      <c r="A10" t="s">
        <v>45</v>
      </c>
      <c r="B10" s="2">
        <v>45296</v>
      </c>
      <c r="C10" t="s">
        <v>46</v>
      </c>
      <c r="D10" t="s">
        <v>21</v>
      </c>
      <c r="E10" t="s">
        <v>42</v>
      </c>
      <c r="F10" t="s">
        <v>40</v>
      </c>
      <c r="G10" t="s">
        <v>31</v>
      </c>
      <c r="H10" t="s">
        <v>25</v>
      </c>
      <c r="I10">
        <v>2</v>
      </c>
      <c r="J10" s="3">
        <v>11792</v>
      </c>
      <c r="K10" s="4">
        <v>10</v>
      </c>
      <c r="L10" s="3">
        <v>23584</v>
      </c>
      <c r="M10" s="3">
        <v>2358.4</v>
      </c>
      <c r="N10" s="3">
        <v>21225.599999999999</v>
      </c>
      <c r="O10" s="3">
        <v>12232.72</v>
      </c>
      <c r="P10" s="3">
        <v>8992.8799999999992</v>
      </c>
      <c r="Q10" t="s">
        <v>26</v>
      </c>
      <c r="R10">
        <v>2024</v>
      </c>
      <c r="S10">
        <v>1</v>
      </c>
    </row>
    <row r="11" spans="1:19" x14ac:dyDescent="0.3">
      <c r="A11" t="s">
        <v>47</v>
      </c>
      <c r="B11" s="2">
        <v>45296</v>
      </c>
      <c r="C11" t="s">
        <v>48</v>
      </c>
      <c r="D11" t="s">
        <v>34</v>
      </c>
      <c r="E11" t="s">
        <v>22</v>
      </c>
      <c r="F11" t="s">
        <v>40</v>
      </c>
      <c r="G11" t="s">
        <v>31</v>
      </c>
      <c r="H11" t="s">
        <v>25</v>
      </c>
      <c r="I11">
        <v>5</v>
      </c>
      <c r="J11" s="3">
        <v>24808</v>
      </c>
      <c r="K11" s="4">
        <v>0</v>
      </c>
      <c r="L11" s="3">
        <v>124040</v>
      </c>
      <c r="M11" s="3">
        <v>0</v>
      </c>
      <c r="N11" s="3">
        <v>124040</v>
      </c>
      <c r="O11" s="3">
        <v>60728.94</v>
      </c>
      <c r="P11" s="3">
        <v>63311.06</v>
      </c>
      <c r="Q11" t="s">
        <v>26</v>
      </c>
      <c r="R11">
        <v>2024</v>
      </c>
      <c r="S11">
        <v>1</v>
      </c>
    </row>
    <row r="12" spans="1:19" x14ac:dyDescent="0.3">
      <c r="A12" t="s">
        <v>49</v>
      </c>
      <c r="B12" s="2">
        <v>45297</v>
      </c>
      <c r="C12" t="s">
        <v>50</v>
      </c>
      <c r="D12" t="s">
        <v>34</v>
      </c>
      <c r="E12" t="s">
        <v>44</v>
      </c>
      <c r="F12" t="s">
        <v>40</v>
      </c>
      <c r="G12" t="s">
        <v>24</v>
      </c>
      <c r="H12" t="s">
        <v>25</v>
      </c>
      <c r="I12">
        <v>2</v>
      </c>
      <c r="J12" s="3">
        <v>19096</v>
      </c>
      <c r="K12" s="4">
        <v>0</v>
      </c>
      <c r="L12" s="3">
        <v>38192</v>
      </c>
      <c r="M12" s="3">
        <v>0</v>
      </c>
      <c r="N12" s="3">
        <v>38192</v>
      </c>
      <c r="O12" s="3">
        <v>22437.75</v>
      </c>
      <c r="P12" s="3">
        <v>15754.25</v>
      </c>
      <c r="Q12" t="s">
        <v>26</v>
      </c>
      <c r="R12">
        <v>2024</v>
      </c>
      <c r="S12">
        <v>1</v>
      </c>
    </row>
    <row r="13" spans="1:19" x14ac:dyDescent="0.3">
      <c r="A13" t="s">
        <v>51</v>
      </c>
      <c r="B13" s="2">
        <v>45298</v>
      </c>
      <c r="C13" t="s">
        <v>48</v>
      </c>
      <c r="D13" t="s">
        <v>34</v>
      </c>
      <c r="E13" t="s">
        <v>42</v>
      </c>
      <c r="F13" t="s">
        <v>30</v>
      </c>
      <c r="G13" t="s">
        <v>24</v>
      </c>
      <c r="H13" t="s">
        <v>25</v>
      </c>
      <c r="I13">
        <v>1</v>
      </c>
      <c r="J13" s="3">
        <v>24972</v>
      </c>
      <c r="K13" s="4">
        <v>0</v>
      </c>
      <c r="L13" s="3">
        <v>24972</v>
      </c>
      <c r="M13" s="3">
        <v>0</v>
      </c>
      <c r="N13" s="3">
        <v>24972</v>
      </c>
      <c r="O13" s="3">
        <v>14986.89</v>
      </c>
      <c r="P13" s="3">
        <v>9985.11</v>
      </c>
      <c r="Q13" t="s">
        <v>26</v>
      </c>
      <c r="R13">
        <v>2024</v>
      </c>
      <c r="S13">
        <v>1</v>
      </c>
    </row>
    <row r="14" spans="1:19" x14ac:dyDescent="0.3">
      <c r="A14" t="s">
        <v>52</v>
      </c>
      <c r="B14" s="2">
        <v>45299</v>
      </c>
      <c r="C14" t="s">
        <v>46</v>
      </c>
      <c r="D14" t="s">
        <v>21</v>
      </c>
      <c r="E14" t="s">
        <v>42</v>
      </c>
      <c r="F14" t="s">
        <v>37</v>
      </c>
      <c r="G14" t="s">
        <v>31</v>
      </c>
      <c r="H14" t="s">
        <v>25</v>
      </c>
      <c r="I14">
        <v>4</v>
      </c>
      <c r="J14" s="3">
        <v>12639</v>
      </c>
      <c r="K14" s="4">
        <v>10</v>
      </c>
      <c r="L14" s="3">
        <v>50556</v>
      </c>
      <c r="M14" s="3">
        <v>5055.6000000000004</v>
      </c>
      <c r="N14" s="3">
        <v>45500.4</v>
      </c>
      <c r="O14" s="3">
        <v>32247.56</v>
      </c>
      <c r="P14" s="3">
        <v>13252.84</v>
      </c>
      <c r="Q14" t="s">
        <v>26</v>
      </c>
      <c r="R14">
        <v>2024</v>
      </c>
      <c r="S14">
        <v>1</v>
      </c>
    </row>
    <row r="15" spans="1:19" x14ac:dyDescent="0.3">
      <c r="A15" t="s">
        <v>53</v>
      </c>
      <c r="B15" s="2">
        <v>45300</v>
      </c>
      <c r="C15" t="s">
        <v>50</v>
      </c>
      <c r="D15" t="s">
        <v>34</v>
      </c>
      <c r="E15" t="s">
        <v>44</v>
      </c>
      <c r="F15" t="s">
        <v>23</v>
      </c>
      <c r="G15" t="s">
        <v>24</v>
      </c>
      <c r="H15" t="s">
        <v>25</v>
      </c>
      <c r="I15">
        <v>3</v>
      </c>
      <c r="J15" s="3">
        <v>19212</v>
      </c>
      <c r="K15" s="4">
        <v>0</v>
      </c>
      <c r="L15" s="3">
        <v>57636</v>
      </c>
      <c r="M15" s="3">
        <v>0</v>
      </c>
      <c r="N15" s="3">
        <v>57636</v>
      </c>
      <c r="O15" s="3">
        <v>36068.39</v>
      </c>
      <c r="P15" s="3">
        <v>21567.61</v>
      </c>
      <c r="Q15" t="s">
        <v>26</v>
      </c>
      <c r="R15">
        <v>2024</v>
      </c>
      <c r="S15">
        <v>1</v>
      </c>
    </row>
    <row r="16" spans="1:19" x14ac:dyDescent="0.3">
      <c r="A16" t="s">
        <v>54</v>
      </c>
      <c r="B16" s="2">
        <v>45301</v>
      </c>
      <c r="C16" t="s">
        <v>50</v>
      </c>
      <c r="D16" t="s">
        <v>34</v>
      </c>
      <c r="E16" t="s">
        <v>42</v>
      </c>
      <c r="F16" t="s">
        <v>40</v>
      </c>
      <c r="G16" t="s">
        <v>31</v>
      </c>
      <c r="H16" t="s">
        <v>25</v>
      </c>
      <c r="I16">
        <v>2</v>
      </c>
      <c r="J16" s="3">
        <v>17848</v>
      </c>
      <c r="K16" s="4">
        <v>0</v>
      </c>
      <c r="L16" s="3">
        <v>35696</v>
      </c>
      <c r="M16" s="3">
        <v>0</v>
      </c>
      <c r="N16" s="3">
        <v>35696</v>
      </c>
      <c r="O16" s="3">
        <v>19828.05</v>
      </c>
      <c r="P16" s="3">
        <v>15867.95</v>
      </c>
      <c r="Q16" t="s">
        <v>26</v>
      </c>
      <c r="R16">
        <v>2024</v>
      </c>
      <c r="S16">
        <v>1</v>
      </c>
    </row>
    <row r="17" spans="1:19" x14ac:dyDescent="0.3">
      <c r="A17" t="s">
        <v>55</v>
      </c>
      <c r="B17" s="2">
        <v>45301</v>
      </c>
      <c r="C17" t="s">
        <v>46</v>
      </c>
      <c r="D17" t="s">
        <v>21</v>
      </c>
      <c r="E17" t="s">
        <v>56</v>
      </c>
      <c r="F17" t="s">
        <v>40</v>
      </c>
      <c r="G17" t="s">
        <v>31</v>
      </c>
      <c r="H17" t="s">
        <v>25</v>
      </c>
      <c r="I17">
        <v>3</v>
      </c>
      <c r="J17" s="3">
        <v>11744</v>
      </c>
      <c r="K17" s="4">
        <v>5</v>
      </c>
      <c r="L17" s="3">
        <v>35232</v>
      </c>
      <c r="M17" s="3">
        <v>1761.6</v>
      </c>
      <c r="N17" s="3">
        <v>33470.400000000001</v>
      </c>
      <c r="O17" s="3">
        <v>21763.83</v>
      </c>
      <c r="P17" s="3">
        <v>11706.57</v>
      </c>
      <c r="Q17" t="s">
        <v>26</v>
      </c>
      <c r="R17">
        <v>2024</v>
      </c>
      <c r="S17">
        <v>1</v>
      </c>
    </row>
    <row r="18" spans="1:19" x14ac:dyDescent="0.3">
      <c r="A18" t="s">
        <v>57</v>
      </c>
      <c r="B18" s="2">
        <v>45302</v>
      </c>
      <c r="C18" t="s">
        <v>20</v>
      </c>
      <c r="D18" t="s">
        <v>21</v>
      </c>
      <c r="E18" t="s">
        <v>42</v>
      </c>
      <c r="F18" t="s">
        <v>40</v>
      </c>
      <c r="G18" t="s">
        <v>24</v>
      </c>
      <c r="H18" t="s">
        <v>25</v>
      </c>
      <c r="I18">
        <v>5</v>
      </c>
      <c r="J18" s="3">
        <v>14467</v>
      </c>
      <c r="K18" s="4">
        <v>0</v>
      </c>
      <c r="L18" s="3">
        <v>72335</v>
      </c>
      <c r="M18" s="3">
        <v>0</v>
      </c>
      <c r="N18" s="3">
        <v>72335</v>
      </c>
      <c r="O18" s="3">
        <v>37182.080000000002</v>
      </c>
      <c r="P18" s="3">
        <v>35152.92</v>
      </c>
      <c r="Q18" t="s">
        <v>26</v>
      </c>
      <c r="R18">
        <v>2024</v>
      </c>
      <c r="S18">
        <v>1</v>
      </c>
    </row>
    <row r="19" spans="1:19" x14ac:dyDescent="0.3">
      <c r="A19" t="s">
        <v>58</v>
      </c>
      <c r="B19" s="2">
        <v>45302</v>
      </c>
      <c r="C19" t="s">
        <v>46</v>
      </c>
      <c r="D19" t="s">
        <v>21</v>
      </c>
      <c r="E19" t="s">
        <v>56</v>
      </c>
      <c r="F19" t="s">
        <v>23</v>
      </c>
      <c r="G19" t="s">
        <v>31</v>
      </c>
      <c r="H19" t="s">
        <v>25</v>
      </c>
      <c r="I19">
        <v>5</v>
      </c>
      <c r="J19" s="3">
        <v>11671</v>
      </c>
      <c r="K19" s="4">
        <v>0</v>
      </c>
      <c r="L19" s="3">
        <v>58355</v>
      </c>
      <c r="M19" s="3">
        <v>0</v>
      </c>
      <c r="N19" s="3">
        <v>58355</v>
      </c>
      <c r="O19" s="3">
        <v>37902.870000000003</v>
      </c>
      <c r="P19" s="3">
        <v>20452.13</v>
      </c>
      <c r="Q19" t="s">
        <v>26</v>
      </c>
      <c r="R19">
        <v>2024</v>
      </c>
      <c r="S19">
        <v>1</v>
      </c>
    </row>
    <row r="20" spans="1:19" x14ac:dyDescent="0.3">
      <c r="A20" t="s">
        <v>59</v>
      </c>
      <c r="B20" s="2">
        <v>45302</v>
      </c>
      <c r="C20" t="s">
        <v>50</v>
      </c>
      <c r="D20" t="s">
        <v>34</v>
      </c>
      <c r="E20" t="s">
        <v>22</v>
      </c>
      <c r="F20" t="s">
        <v>37</v>
      </c>
      <c r="G20" t="s">
        <v>31</v>
      </c>
      <c r="H20" t="s">
        <v>25</v>
      </c>
      <c r="I20">
        <v>4</v>
      </c>
      <c r="J20" s="3">
        <v>18454</v>
      </c>
      <c r="K20" s="4">
        <v>0</v>
      </c>
      <c r="L20" s="3">
        <v>73816</v>
      </c>
      <c r="M20" s="3">
        <v>0</v>
      </c>
      <c r="N20" s="3">
        <v>73816</v>
      </c>
      <c r="O20" s="3">
        <v>37882.29</v>
      </c>
      <c r="P20" s="3">
        <v>35933.71</v>
      </c>
      <c r="Q20" t="s">
        <v>26</v>
      </c>
      <c r="R20">
        <v>2024</v>
      </c>
      <c r="S20">
        <v>1</v>
      </c>
    </row>
    <row r="21" spans="1:19" x14ac:dyDescent="0.3">
      <c r="A21" t="s">
        <v>60</v>
      </c>
      <c r="B21" s="2">
        <v>45303</v>
      </c>
      <c r="C21" t="s">
        <v>46</v>
      </c>
      <c r="D21" t="s">
        <v>21</v>
      </c>
      <c r="E21" t="s">
        <v>42</v>
      </c>
      <c r="F21" t="s">
        <v>40</v>
      </c>
      <c r="G21" t="s">
        <v>31</v>
      </c>
      <c r="H21" t="s">
        <v>25</v>
      </c>
      <c r="I21">
        <v>1</v>
      </c>
      <c r="J21" s="3">
        <v>11838</v>
      </c>
      <c r="K21" s="4">
        <v>0</v>
      </c>
      <c r="L21" s="3">
        <v>11838</v>
      </c>
      <c r="M21" s="3">
        <v>0</v>
      </c>
      <c r="N21" s="3">
        <v>0</v>
      </c>
      <c r="O21" s="3">
        <v>6621.6</v>
      </c>
      <c r="P21" s="3">
        <v>0</v>
      </c>
      <c r="Q21" t="s">
        <v>26</v>
      </c>
      <c r="R21">
        <v>2024</v>
      </c>
      <c r="S21">
        <v>1</v>
      </c>
    </row>
    <row r="22" spans="1:19" x14ac:dyDescent="0.3">
      <c r="A22" t="s">
        <v>61</v>
      </c>
      <c r="B22" s="2">
        <v>45303</v>
      </c>
      <c r="C22" t="s">
        <v>50</v>
      </c>
      <c r="D22" t="s">
        <v>34</v>
      </c>
      <c r="E22" t="s">
        <v>22</v>
      </c>
      <c r="F22" t="s">
        <v>30</v>
      </c>
      <c r="G22" t="s">
        <v>24</v>
      </c>
      <c r="H22" t="s">
        <v>25</v>
      </c>
      <c r="I22">
        <v>4</v>
      </c>
      <c r="J22" s="3">
        <v>18288</v>
      </c>
      <c r="K22" s="4">
        <v>0</v>
      </c>
      <c r="L22" s="3">
        <v>73152</v>
      </c>
      <c r="M22" s="3">
        <v>0</v>
      </c>
      <c r="N22" s="3">
        <v>73152</v>
      </c>
      <c r="O22" s="3">
        <v>44507.57</v>
      </c>
      <c r="P22" s="3">
        <v>28644.43</v>
      </c>
      <c r="Q22" t="s">
        <v>26</v>
      </c>
      <c r="R22">
        <v>2024</v>
      </c>
      <c r="S22">
        <v>1</v>
      </c>
    </row>
    <row r="23" spans="1:19" x14ac:dyDescent="0.3">
      <c r="A23" t="s">
        <v>62</v>
      </c>
      <c r="B23" s="2">
        <v>45304</v>
      </c>
      <c r="C23" t="s">
        <v>33</v>
      </c>
      <c r="D23" t="s">
        <v>34</v>
      </c>
      <c r="E23" t="s">
        <v>22</v>
      </c>
      <c r="F23" t="s">
        <v>30</v>
      </c>
      <c r="G23" t="s">
        <v>24</v>
      </c>
      <c r="H23" t="s">
        <v>25</v>
      </c>
      <c r="I23">
        <v>1</v>
      </c>
      <c r="J23" s="3">
        <v>41414</v>
      </c>
      <c r="K23" s="4">
        <v>0</v>
      </c>
      <c r="L23" s="3">
        <v>41414</v>
      </c>
      <c r="M23" s="3">
        <v>0</v>
      </c>
      <c r="N23" s="3">
        <v>41414</v>
      </c>
      <c r="O23" s="3">
        <v>21964.45</v>
      </c>
      <c r="P23" s="3">
        <v>19449.55</v>
      </c>
      <c r="Q23" t="s">
        <v>26</v>
      </c>
      <c r="R23">
        <v>2024</v>
      </c>
      <c r="S23">
        <v>1</v>
      </c>
    </row>
    <row r="24" spans="1:19" x14ac:dyDescent="0.3">
      <c r="A24" t="s">
        <v>63</v>
      </c>
      <c r="B24" s="2">
        <v>45305</v>
      </c>
      <c r="C24" t="s">
        <v>64</v>
      </c>
      <c r="D24" t="s">
        <v>29</v>
      </c>
      <c r="E24" t="s">
        <v>42</v>
      </c>
      <c r="F24" t="s">
        <v>35</v>
      </c>
      <c r="G24" t="s">
        <v>24</v>
      </c>
      <c r="H24" t="s">
        <v>25</v>
      </c>
      <c r="I24">
        <v>2</v>
      </c>
      <c r="J24" s="3">
        <v>29422</v>
      </c>
      <c r="K24" s="4">
        <v>0</v>
      </c>
      <c r="L24" s="3">
        <v>58844</v>
      </c>
      <c r="M24" s="3">
        <v>0</v>
      </c>
      <c r="N24" s="3">
        <v>58844</v>
      </c>
      <c r="O24" s="3">
        <v>34354.089999999997</v>
      </c>
      <c r="P24" s="3">
        <v>24489.91</v>
      </c>
      <c r="Q24" t="s">
        <v>26</v>
      </c>
      <c r="R24">
        <v>2024</v>
      </c>
      <c r="S24">
        <v>1</v>
      </c>
    </row>
    <row r="25" spans="1:19" x14ac:dyDescent="0.3">
      <c r="A25" t="s">
        <v>65</v>
      </c>
      <c r="B25" s="2">
        <v>45306</v>
      </c>
      <c r="C25" t="s">
        <v>28</v>
      </c>
      <c r="D25" t="s">
        <v>29</v>
      </c>
      <c r="E25" t="s">
        <v>44</v>
      </c>
      <c r="F25" t="s">
        <v>35</v>
      </c>
      <c r="G25" t="s">
        <v>31</v>
      </c>
      <c r="H25" t="s">
        <v>25</v>
      </c>
      <c r="I25">
        <v>1</v>
      </c>
      <c r="J25" s="3">
        <v>64691</v>
      </c>
      <c r="K25" s="4">
        <v>0</v>
      </c>
      <c r="L25" s="3">
        <v>64691</v>
      </c>
      <c r="M25" s="3">
        <v>0</v>
      </c>
      <c r="N25" s="3">
        <v>0</v>
      </c>
      <c r="O25" s="3">
        <v>39976.720000000001</v>
      </c>
      <c r="P25" s="3">
        <v>0</v>
      </c>
      <c r="Q25" t="s">
        <v>26</v>
      </c>
      <c r="R25">
        <v>2024</v>
      </c>
      <c r="S25">
        <v>1</v>
      </c>
    </row>
    <row r="26" spans="1:19" x14ac:dyDescent="0.3">
      <c r="A26" t="s">
        <v>66</v>
      </c>
      <c r="B26" s="2">
        <v>45306</v>
      </c>
      <c r="C26" t="s">
        <v>48</v>
      </c>
      <c r="D26" t="s">
        <v>34</v>
      </c>
      <c r="E26" t="s">
        <v>42</v>
      </c>
      <c r="F26" t="s">
        <v>40</v>
      </c>
      <c r="G26" t="s">
        <v>24</v>
      </c>
      <c r="H26" t="s">
        <v>25</v>
      </c>
      <c r="I26">
        <v>1</v>
      </c>
      <c r="J26" s="3">
        <v>24728</v>
      </c>
      <c r="K26" s="4">
        <v>0</v>
      </c>
      <c r="L26" s="3">
        <v>24728</v>
      </c>
      <c r="M26" s="3">
        <v>0</v>
      </c>
      <c r="N26" s="3">
        <v>24728</v>
      </c>
      <c r="O26" s="3">
        <v>14900.79</v>
      </c>
      <c r="P26" s="3">
        <v>9827.2099999999991</v>
      </c>
      <c r="Q26" t="s">
        <v>26</v>
      </c>
      <c r="R26">
        <v>2024</v>
      </c>
      <c r="S26">
        <v>1</v>
      </c>
    </row>
    <row r="27" spans="1:19" x14ac:dyDescent="0.3">
      <c r="A27" t="s">
        <v>67</v>
      </c>
      <c r="B27" s="2">
        <v>45307</v>
      </c>
      <c r="C27" t="s">
        <v>46</v>
      </c>
      <c r="D27" t="s">
        <v>21</v>
      </c>
      <c r="E27" t="s">
        <v>44</v>
      </c>
      <c r="F27" t="s">
        <v>23</v>
      </c>
      <c r="G27" t="s">
        <v>31</v>
      </c>
      <c r="H27" t="s">
        <v>25</v>
      </c>
      <c r="I27">
        <v>3</v>
      </c>
      <c r="J27" s="3">
        <v>11360</v>
      </c>
      <c r="K27" s="4">
        <v>0</v>
      </c>
      <c r="L27" s="3">
        <v>34080</v>
      </c>
      <c r="M27" s="3">
        <v>0</v>
      </c>
      <c r="N27" s="3">
        <v>0</v>
      </c>
      <c r="O27" s="3">
        <v>18987.45</v>
      </c>
      <c r="P27" s="3">
        <v>0</v>
      </c>
      <c r="Q27" t="s">
        <v>26</v>
      </c>
      <c r="R27">
        <v>2024</v>
      </c>
      <c r="S27">
        <v>1</v>
      </c>
    </row>
    <row r="28" spans="1:19" x14ac:dyDescent="0.3">
      <c r="A28" t="s">
        <v>68</v>
      </c>
      <c r="B28" s="2">
        <v>45308</v>
      </c>
      <c r="C28" t="s">
        <v>64</v>
      </c>
      <c r="D28" t="s">
        <v>29</v>
      </c>
      <c r="E28" t="s">
        <v>56</v>
      </c>
      <c r="F28" t="s">
        <v>40</v>
      </c>
      <c r="G28" t="s">
        <v>31</v>
      </c>
      <c r="H28" t="s">
        <v>25</v>
      </c>
      <c r="I28">
        <v>3</v>
      </c>
      <c r="J28" s="3">
        <v>30800</v>
      </c>
      <c r="K28" s="4">
        <v>0</v>
      </c>
      <c r="L28" s="3">
        <v>92400</v>
      </c>
      <c r="M28" s="3">
        <v>0</v>
      </c>
      <c r="N28" s="3">
        <v>92400</v>
      </c>
      <c r="O28" s="3">
        <v>58175.13</v>
      </c>
      <c r="P28" s="3">
        <v>34224.870000000003</v>
      </c>
      <c r="Q28" t="s">
        <v>26</v>
      </c>
      <c r="R28">
        <v>2024</v>
      </c>
      <c r="S28">
        <v>1</v>
      </c>
    </row>
    <row r="29" spans="1:19" x14ac:dyDescent="0.3">
      <c r="A29" t="s">
        <v>69</v>
      </c>
      <c r="B29" s="2">
        <v>45309</v>
      </c>
      <c r="C29" t="s">
        <v>33</v>
      </c>
      <c r="D29" t="s">
        <v>34</v>
      </c>
      <c r="E29" t="s">
        <v>44</v>
      </c>
      <c r="F29" t="s">
        <v>35</v>
      </c>
      <c r="G29" t="s">
        <v>31</v>
      </c>
      <c r="H29" t="s">
        <v>25</v>
      </c>
      <c r="I29">
        <v>1</v>
      </c>
      <c r="J29" s="3">
        <v>42420</v>
      </c>
      <c r="K29" s="4">
        <v>0</v>
      </c>
      <c r="L29" s="3">
        <v>42420</v>
      </c>
      <c r="M29" s="3">
        <v>0</v>
      </c>
      <c r="N29" s="3">
        <v>42420</v>
      </c>
      <c r="O29" s="3">
        <v>28340.12</v>
      </c>
      <c r="P29" s="3">
        <v>14079.88</v>
      </c>
      <c r="Q29" t="s">
        <v>26</v>
      </c>
      <c r="R29">
        <v>2024</v>
      </c>
      <c r="S29">
        <v>1</v>
      </c>
    </row>
    <row r="30" spans="1:19" x14ac:dyDescent="0.3">
      <c r="A30" t="s">
        <v>70</v>
      </c>
      <c r="B30" s="2">
        <v>45309</v>
      </c>
      <c r="C30" t="s">
        <v>71</v>
      </c>
      <c r="D30" t="s">
        <v>34</v>
      </c>
      <c r="E30" t="s">
        <v>22</v>
      </c>
      <c r="F30" t="s">
        <v>40</v>
      </c>
      <c r="G30" t="s">
        <v>31</v>
      </c>
      <c r="H30" t="s">
        <v>25</v>
      </c>
      <c r="I30">
        <v>1</v>
      </c>
      <c r="J30" s="3">
        <v>47579</v>
      </c>
      <c r="K30" s="4">
        <v>0</v>
      </c>
      <c r="L30" s="3">
        <v>47579</v>
      </c>
      <c r="M30" s="3">
        <v>0</v>
      </c>
      <c r="N30" s="3">
        <v>47579</v>
      </c>
      <c r="O30" s="3">
        <v>31642.55</v>
      </c>
      <c r="P30" s="3">
        <v>15936.45</v>
      </c>
      <c r="Q30" t="s">
        <v>26</v>
      </c>
      <c r="R30">
        <v>2024</v>
      </c>
      <c r="S30">
        <v>1</v>
      </c>
    </row>
    <row r="31" spans="1:19" x14ac:dyDescent="0.3">
      <c r="A31" t="s">
        <v>72</v>
      </c>
      <c r="B31" s="2">
        <v>45311</v>
      </c>
      <c r="C31" t="s">
        <v>71</v>
      </c>
      <c r="D31" t="s">
        <v>34</v>
      </c>
      <c r="E31" t="s">
        <v>56</v>
      </c>
      <c r="F31" t="s">
        <v>35</v>
      </c>
      <c r="G31" t="s">
        <v>31</v>
      </c>
      <c r="H31" t="s">
        <v>25</v>
      </c>
      <c r="I31">
        <v>1</v>
      </c>
      <c r="J31" s="3">
        <v>48841</v>
      </c>
      <c r="K31" s="4">
        <v>5</v>
      </c>
      <c r="L31" s="3">
        <v>48841</v>
      </c>
      <c r="M31" s="3">
        <v>2442.0500000000002</v>
      </c>
      <c r="N31" s="3">
        <v>46398.95</v>
      </c>
      <c r="O31" s="3">
        <v>25572.26</v>
      </c>
      <c r="P31" s="3">
        <v>20826.689999999999</v>
      </c>
      <c r="Q31" t="s">
        <v>26</v>
      </c>
      <c r="R31">
        <v>2024</v>
      </c>
      <c r="S31">
        <v>1</v>
      </c>
    </row>
    <row r="32" spans="1:19" x14ac:dyDescent="0.3">
      <c r="A32" t="s">
        <v>73</v>
      </c>
      <c r="B32" s="2">
        <v>45312</v>
      </c>
      <c r="C32" t="s">
        <v>48</v>
      </c>
      <c r="D32" t="s">
        <v>34</v>
      </c>
      <c r="E32" t="s">
        <v>42</v>
      </c>
      <c r="F32" t="s">
        <v>35</v>
      </c>
      <c r="G32" t="s">
        <v>24</v>
      </c>
      <c r="H32" t="s">
        <v>25</v>
      </c>
      <c r="I32">
        <v>1</v>
      </c>
      <c r="J32" s="3">
        <v>24775</v>
      </c>
      <c r="K32" s="4">
        <v>0</v>
      </c>
      <c r="L32" s="3">
        <v>24775</v>
      </c>
      <c r="M32" s="3">
        <v>0</v>
      </c>
      <c r="N32" s="3">
        <v>24775</v>
      </c>
      <c r="O32" s="3">
        <v>12769.78</v>
      </c>
      <c r="P32" s="3">
        <v>12005.22</v>
      </c>
      <c r="Q32" t="s">
        <v>26</v>
      </c>
      <c r="R32">
        <v>2024</v>
      </c>
      <c r="S32">
        <v>1</v>
      </c>
    </row>
    <row r="33" spans="1:19" x14ac:dyDescent="0.3">
      <c r="A33" t="s">
        <v>74</v>
      </c>
      <c r="B33" s="2">
        <v>45313</v>
      </c>
      <c r="C33" t="s">
        <v>75</v>
      </c>
      <c r="D33" t="s">
        <v>34</v>
      </c>
      <c r="E33" t="s">
        <v>56</v>
      </c>
      <c r="F33" t="s">
        <v>40</v>
      </c>
      <c r="G33" t="s">
        <v>24</v>
      </c>
      <c r="H33" t="s">
        <v>25</v>
      </c>
      <c r="I33">
        <v>1</v>
      </c>
      <c r="J33" s="3">
        <v>39954</v>
      </c>
      <c r="K33" s="4">
        <v>0</v>
      </c>
      <c r="L33" s="3">
        <v>39954</v>
      </c>
      <c r="M33" s="3">
        <v>0</v>
      </c>
      <c r="N33" s="3">
        <v>0</v>
      </c>
      <c r="O33" s="3">
        <v>24534.84</v>
      </c>
      <c r="P33" s="3">
        <v>0</v>
      </c>
      <c r="Q33" t="s">
        <v>26</v>
      </c>
      <c r="R33">
        <v>2024</v>
      </c>
      <c r="S33">
        <v>1</v>
      </c>
    </row>
    <row r="34" spans="1:19" x14ac:dyDescent="0.3">
      <c r="A34" t="s">
        <v>76</v>
      </c>
      <c r="B34" s="2">
        <v>45314</v>
      </c>
      <c r="C34" t="s">
        <v>48</v>
      </c>
      <c r="D34" t="s">
        <v>34</v>
      </c>
      <c r="E34" t="s">
        <v>22</v>
      </c>
      <c r="F34" t="s">
        <v>40</v>
      </c>
      <c r="G34" t="s">
        <v>31</v>
      </c>
      <c r="H34" t="s">
        <v>25</v>
      </c>
      <c r="I34">
        <v>2</v>
      </c>
      <c r="J34" s="3">
        <v>23840</v>
      </c>
      <c r="K34" s="4">
        <v>0</v>
      </c>
      <c r="L34" s="3">
        <v>47680</v>
      </c>
      <c r="M34" s="3">
        <v>0</v>
      </c>
      <c r="N34" s="3">
        <v>47680</v>
      </c>
      <c r="O34" s="3">
        <v>23126.7</v>
      </c>
      <c r="P34" s="3">
        <v>24553.3</v>
      </c>
      <c r="Q34" t="s">
        <v>26</v>
      </c>
      <c r="R34">
        <v>2024</v>
      </c>
      <c r="S34">
        <v>1</v>
      </c>
    </row>
    <row r="35" spans="1:19" x14ac:dyDescent="0.3">
      <c r="A35" t="s">
        <v>77</v>
      </c>
      <c r="B35" s="2">
        <v>45314</v>
      </c>
      <c r="C35" t="s">
        <v>20</v>
      </c>
      <c r="D35" t="s">
        <v>21</v>
      </c>
      <c r="E35" t="s">
        <v>22</v>
      </c>
      <c r="F35" t="s">
        <v>37</v>
      </c>
      <c r="G35" t="s">
        <v>31</v>
      </c>
      <c r="H35" t="s">
        <v>25</v>
      </c>
      <c r="I35">
        <v>3</v>
      </c>
      <c r="J35" s="3">
        <v>16062</v>
      </c>
      <c r="K35" s="4">
        <v>0</v>
      </c>
      <c r="L35" s="3">
        <v>48186</v>
      </c>
      <c r="M35" s="3">
        <v>0</v>
      </c>
      <c r="N35" s="3">
        <v>48186</v>
      </c>
      <c r="O35" s="3">
        <v>28793.01</v>
      </c>
      <c r="P35" s="3">
        <v>19392.990000000002</v>
      </c>
      <c r="Q35" t="s">
        <v>26</v>
      </c>
      <c r="R35">
        <v>2024</v>
      </c>
      <c r="S35">
        <v>1</v>
      </c>
    </row>
    <row r="36" spans="1:19" x14ac:dyDescent="0.3">
      <c r="A36" t="s">
        <v>78</v>
      </c>
      <c r="B36" s="2">
        <v>45316</v>
      </c>
      <c r="C36" t="s">
        <v>46</v>
      </c>
      <c r="D36" t="s">
        <v>21</v>
      </c>
      <c r="E36" t="s">
        <v>44</v>
      </c>
      <c r="F36" t="s">
        <v>37</v>
      </c>
      <c r="G36" t="s">
        <v>31</v>
      </c>
      <c r="H36" t="s">
        <v>25</v>
      </c>
      <c r="I36">
        <v>2</v>
      </c>
      <c r="J36" s="3">
        <v>12904</v>
      </c>
      <c r="K36" s="4">
        <v>5</v>
      </c>
      <c r="L36" s="3">
        <v>25808</v>
      </c>
      <c r="M36" s="3">
        <v>1290.4000000000001</v>
      </c>
      <c r="N36" s="3">
        <v>24517.599999999999</v>
      </c>
      <c r="O36" s="3">
        <v>16832.150000000001</v>
      </c>
      <c r="P36" s="3">
        <v>7685.45</v>
      </c>
      <c r="Q36" t="s">
        <v>26</v>
      </c>
      <c r="R36">
        <v>2024</v>
      </c>
      <c r="S36">
        <v>1</v>
      </c>
    </row>
    <row r="37" spans="1:19" x14ac:dyDescent="0.3">
      <c r="A37" t="s">
        <v>79</v>
      </c>
      <c r="B37" s="2">
        <v>45316</v>
      </c>
      <c r="C37" t="s">
        <v>50</v>
      </c>
      <c r="D37" t="s">
        <v>34</v>
      </c>
      <c r="E37" t="s">
        <v>42</v>
      </c>
      <c r="F37" t="s">
        <v>30</v>
      </c>
      <c r="G37" t="s">
        <v>24</v>
      </c>
      <c r="H37" t="s">
        <v>25</v>
      </c>
      <c r="I37">
        <v>5</v>
      </c>
      <c r="J37" s="3">
        <v>17366</v>
      </c>
      <c r="K37" s="4">
        <v>0</v>
      </c>
      <c r="L37" s="3">
        <v>86830</v>
      </c>
      <c r="M37" s="3">
        <v>0</v>
      </c>
      <c r="N37" s="3">
        <v>86830</v>
      </c>
      <c r="O37" s="3">
        <v>43627.58</v>
      </c>
      <c r="P37" s="3">
        <v>43202.42</v>
      </c>
      <c r="Q37" t="s">
        <v>26</v>
      </c>
      <c r="R37">
        <v>2024</v>
      </c>
      <c r="S37">
        <v>1</v>
      </c>
    </row>
    <row r="38" spans="1:19" x14ac:dyDescent="0.3">
      <c r="A38" t="s">
        <v>80</v>
      </c>
      <c r="B38" s="2">
        <v>45316</v>
      </c>
      <c r="C38" t="s">
        <v>75</v>
      </c>
      <c r="D38" t="s">
        <v>34</v>
      </c>
      <c r="E38" t="s">
        <v>42</v>
      </c>
      <c r="F38" t="s">
        <v>30</v>
      </c>
      <c r="G38" t="s">
        <v>24</v>
      </c>
      <c r="H38" t="s">
        <v>25</v>
      </c>
      <c r="I38">
        <v>1</v>
      </c>
      <c r="J38" s="3">
        <v>40689</v>
      </c>
      <c r="K38" s="4">
        <v>0</v>
      </c>
      <c r="L38" s="3">
        <v>40689</v>
      </c>
      <c r="M38" s="3">
        <v>0</v>
      </c>
      <c r="N38" s="3">
        <v>40689</v>
      </c>
      <c r="O38" s="3">
        <v>22062.93</v>
      </c>
      <c r="P38" s="3">
        <v>18626.07</v>
      </c>
      <c r="Q38" t="s">
        <v>26</v>
      </c>
      <c r="R38">
        <v>2024</v>
      </c>
      <c r="S38">
        <v>1</v>
      </c>
    </row>
    <row r="39" spans="1:19" x14ac:dyDescent="0.3">
      <c r="A39" t="s">
        <v>81</v>
      </c>
      <c r="B39" s="2">
        <v>45318</v>
      </c>
      <c r="C39" t="s">
        <v>82</v>
      </c>
      <c r="D39" t="s">
        <v>21</v>
      </c>
      <c r="E39" t="s">
        <v>22</v>
      </c>
      <c r="F39" t="s">
        <v>23</v>
      </c>
      <c r="G39" t="s">
        <v>31</v>
      </c>
      <c r="H39" t="s">
        <v>25</v>
      </c>
      <c r="I39">
        <v>1</v>
      </c>
      <c r="J39" s="3">
        <v>45081</v>
      </c>
      <c r="K39" s="4">
        <v>0</v>
      </c>
      <c r="L39" s="3">
        <v>45081</v>
      </c>
      <c r="M39" s="3">
        <v>0</v>
      </c>
      <c r="N39" s="3">
        <v>45081</v>
      </c>
      <c r="O39" s="3">
        <v>29521.71</v>
      </c>
      <c r="P39" s="3">
        <v>15559.29</v>
      </c>
      <c r="Q39" t="s">
        <v>26</v>
      </c>
      <c r="R39">
        <v>2024</v>
      </c>
      <c r="S39">
        <v>1</v>
      </c>
    </row>
    <row r="40" spans="1:19" x14ac:dyDescent="0.3">
      <c r="A40" t="s">
        <v>83</v>
      </c>
      <c r="B40" s="2">
        <v>45318</v>
      </c>
      <c r="C40" t="s">
        <v>33</v>
      </c>
      <c r="D40" t="s">
        <v>34</v>
      </c>
      <c r="E40" t="s">
        <v>44</v>
      </c>
      <c r="F40" t="s">
        <v>37</v>
      </c>
      <c r="G40" t="s">
        <v>31</v>
      </c>
      <c r="H40" t="s">
        <v>25</v>
      </c>
      <c r="I40">
        <v>1</v>
      </c>
      <c r="J40" s="3">
        <v>42993</v>
      </c>
      <c r="K40" s="4">
        <v>0</v>
      </c>
      <c r="L40" s="3">
        <v>42993</v>
      </c>
      <c r="M40" s="3">
        <v>0</v>
      </c>
      <c r="N40" s="3">
        <v>0</v>
      </c>
      <c r="O40" s="3">
        <v>23051.83</v>
      </c>
      <c r="P40" s="3">
        <v>0</v>
      </c>
      <c r="Q40" t="s">
        <v>26</v>
      </c>
      <c r="R40">
        <v>2024</v>
      </c>
      <c r="S40">
        <v>1</v>
      </c>
    </row>
    <row r="41" spans="1:19" x14ac:dyDescent="0.3">
      <c r="A41" t="s">
        <v>84</v>
      </c>
      <c r="B41" s="2">
        <v>45319</v>
      </c>
      <c r="C41" t="s">
        <v>82</v>
      </c>
      <c r="D41" t="s">
        <v>21</v>
      </c>
      <c r="E41" t="s">
        <v>22</v>
      </c>
      <c r="F41" t="s">
        <v>40</v>
      </c>
      <c r="G41" t="s">
        <v>24</v>
      </c>
      <c r="H41" t="s">
        <v>25</v>
      </c>
      <c r="I41">
        <v>2</v>
      </c>
      <c r="J41" s="3">
        <v>41843</v>
      </c>
      <c r="K41" s="4">
        <v>0</v>
      </c>
      <c r="L41" s="3">
        <v>83686</v>
      </c>
      <c r="M41" s="3">
        <v>0</v>
      </c>
      <c r="N41" s="3">
        <v>83686</v>
      </c>
      <c r="O41" s="3">
        <v>55149.64</v>
      </c>
      <c r="P41" s="3">
        <v>28536.36</v>
      </c>
      <c r="Q41" t="s">
        <v>26</v>
      </c>
      <c r="R41">
        <v>2024</v>
      </c>
      <c r="S41">
        <v>1</v>
      </c>
    </row>
    <row r="42" spans="1:19" x14ac:dyDescent="0.3">
      <c r="A42" t="s">
        <v>85</v>
      </c>
      <c r="B42" s="2">
        <v>45319</v>
      </c>
      <c r="C42" t="s">
        <v>71</v>
      </c>
      <c r="D42" t="s">
        <v>34</v>
      </c>
      <c r="E42" t="s">
        <v>44</v>
      </c>
      <c r="F42" t="s">
        <v>40</v>
      </c>
      <c r="G42" t="s">
        <v>24</v>
      </c>
      <c r="H42" t="s">
        <v>25</v>
      </c>
      <c r="I42">
        <v>3</v>
      </c>
      <c r="J42" s="3">
        <v>51987</v>
      </c>
      <c r="K42" s="4">
        <v>0</v>
      </c>
      <c r="L42" s="3">
        <v>155961</v>
      </c>
      <c r="M42" s="3">
        <v>0</v>
      </c>
      <c r="N42" s="3">
        <v>155961</v>
      </c>
      <c r="O42" s="3">
        <v>89177.56</v>
      </c>
      <c r="P42" s="3">
        <v>66783.44</v>
      </c>
      <c r="Q42" t="s">
        <v>26</v>
      </c>
      <c r="R42">
        <v>2024</v>
      </c>
      <c r="S42">
        <v>1</v>
      </c>
    </row>
    <row r="43" spans="1:19" x14ac:dyDescent="0.3">
      <c r="A43" t="s">
        <v>86</v>
      </c>
      <c r="B43" s="2">
        <v>45320</v>
      </c>
      <c r="C43" t="s">
        <v>48</v>
      </c>
      <c r="D43" t="s">
        <v>34</v>
      </c>
      <c r="E43" t="s">
        <v>56</v>
      </c>
      <c r="F43" t="s">
        <v>35</v>
      </c>
      <c r="G43" t="s">
        <v>31</v>
      </c>
      <c r="H43" t="s">
        <v>25</v>
      </c>
      <c r="I43">
        <v>1</v>
      </c>
      <c r="J43" s="3">
        <v>23063</v>
      </c>
      <c r="K43" s="4">
        <v>0</v>
      </c>
      <c r="L43" s="3">
        <v>23063</v>
      </c>
      <c r="M43" s="3">
        <v>0</v>
      </c>
      <c r="N43" s="3">
        <v>23063</v>
      </c>
      <c r="O43" s="3">
        <v>13658.15</v>
      </c>
      <c r="P43" s="3">
        <v>9404.85</v>
      </c>
      <c r="Q43" t="s">
        <v>26</v>
      </c>
      <c r="R43">
        <v>2024</v>
      </c>
      <c r="S43">
        <v>1</v>
      </c>
    </row>
    <row r="44" spans="1:19" x14ac:dyDescent="0.3">
      <c r="A44" t="s">
        <v>87</v>
      </c>
      <c r="B44" s="2">
        <v>45320</v>
      </c>
      <c r="C44" t="s">
        <v>48</v>
      </c>
      <c r="D44" t="s">
        <v>34</v>
      </c>
      <c r="E44" t="s">
        <v>22</v>
      </c>
      <c r="F44" t="s">
        <v>23</v>
      </c>
      <c r="G44" t="s">
        <v>31</v>
      </c>
      <c r="H44" t="s">
        <v>25</v>
      </c>
      <c r="I44">
        <v>2</v>
      </c>
      <c r="J44" s="3">
        <v>25639</v>
      </c>
      <c r="K44" s="4">
        <v>0</v>
      </c>
      <c r="L44" s="3">
        <v>51278</v>
      </c>
      <c r="M44" s="3">
        <v>0</v>
      </c>
      <c r="N44" s="3">
        <v>51278</v>
      </c>
      <c r="O44" s="3">
        <v>25961.15</v>
      </c>
      <c r="P44" s="3">
        <v>25316.85</v>
      </c>
      <c r="Q44" t="s">
        <v>26</v>
      </c>
      <c r="R44">
        <v>2024</v>
      </c>
      <c r="S44">
        <v>1</v>
      </c>
    </row>
    <row r="45" spans="1:19" x14ac:dyDescent="0.3">
      <c r="A45" t="s">
        <v>88</v>
      </c>
      <c r="B45" s="2">
        <v>45320</v>
      </c>
      <c r="C45" t="s">
        <v>75</v>
      </c>
      <c r="D45" t="s">
        <v>34</v>
      </c>
      <c r="E45" t="s">
        <v>22</v>
      </c>
      <c r="F45" t="s">
        <v>23</v>
      </c>
      <c r="G45" t="s">
        <v>31</v>
      </c>
      <c r="H45" t="s">
        <v>25</v>
      </c>
      <c r="I45">
        <v>2</v>
      </c>
      <c r="J45" s="3">
        <v>40120</v>
      </c>
      <c r="K45" s="4">
        <v>5</v>
      </c>
      <c r="L45" s="3">
        <v>80240</v>
      </c>
      <c r="M45" s="3">
        <v>4012</v>
      </c>
      <c r="N45" s="3">
        <v>0</v>
      </c>
      <c r="O45" s="3">
        <v>53553.98</v>
      </c>
      <c r="P45" s="3">
        <v>0</v>
      </c>
      <c r="Q45" t="s">
        <v>26</v>
      </c>
      <c r="R45">
        <v>2024</v>
      </c>
      <c r="S45">
        <v>1</v>
      </c>
    </row>
    <row r="46" spans="1:19" x14ac:dyDescent="0.3">
      <c r="A46" t="s">
        <v>89</v>
      </c>
      <c r="B46" s="2">
        <v>45320</v>
      </c>
      <c r="C46" t="s">
        <v>48</v>
      </c>
      <c r="D46" t="s">
        <v>34</v>
      </c>
      <c r="E46" t="s">
        <v>22</v>
      </c>
      <c r="F46" t="s">
        <v>30</v>
      </c>
      <c r="G46" t="s">
        <v>24</v>
      </c>
      <c r="H46" t="s">
        <v>25</v>
      </c>
      <c r="I46">
        <v>3</v>
      </c>
      <c r="J46" s="3">
        <v>23929</v>
      </c>
      <c r="K46" s="4">
        <v>10</v>
      </c>
      <c r="L46" s="3">
        <v>71787</v>
      </c>
      <c r="M46" s="3">
        <v>7178.7</v>
      </c>
      <c r="N46" s="3">
        <v>64608.3</v>
      </c>
      <c r="O46" s="3">
        <v>46845.16</v>
      </c>
      <c r="P46" s="3">
        <v>17763.14</v>
      </c>
      <c r="Q46" t="s">
        <v>26</v>
      </c>
      <c r="R46">
        <v>2024</v>
      </c>
      <c r="S46">
        <v>1</v>
      </c>
    </row>
    <row r="47" spans="1:19" x14ac:dyDescent="0.3">
      <c r="A47" t="s">
        <v>90</v>
      </c>
      <c r="B47" s="2">
        <v>45323</v>
      </c>
      <c r="C47" t="s">
        <v>50</v>
      </c>
      <c r="D47" t="s">
        <v>34</v>
      </c>
      <c r="E47" t="s">
        <v>44</v>
      </c>
      <c r="F47" t="s">
        <v>23</v>
      </c>
      <c r="G47" t="s">
        <v>31</v>
      </c>
      <c r="H47" t="s">
        <v>25</v>
      </c>
      <c r="I47">
        <v>3</v>
      </c>
      <c r="J47" s="3">
        <v>17057</v>
      </c>
      <c r="K47" s="4">
        <v>0</v>
      </c>
      <c r="L47" s="3">
        <v>51171</v>
      </c>
      <c r="M47" s="3">
        <v>0</v>
      </c>
      <c r="N47" s="3">
        <v>0</v>
      </c>
      <c r="O47" s="3">
        <v>29176.720000000001</v>
      </c>
      <c r="P47" s="3">
        <v>0</v>
      </c>
      <c r="Q47" t="s">
        <v>91</v>
      </c>
      <c r="R47">
        <v>2024</v>
      </c>
      <c r="S47">
        <v>2</v>
      </c>
    </row>
    <row r="48" spans="1:19" x14ac:dyDescent="0.3">
      <c r="A48" t="s">
        <v>92</v>
      </c>
      <c r="B48" s="2">
        <v>45325</v>
      </c>
      <c r="C48" t="s">
        <v>50</v>
      </c>
      <c r="D48" t="s">
        <v>34</v>
      </c>
      <c r="E48" t="s">
        <v>44</v>
      </c>
      <c r="F48" t="s">
        <v>40</v>
      </c>
      <c r="G48" t="s">
        <v>31</v>
      </c>
      <c r="H48" t="s">
        <v>25</v>
      </c>
      <c r="I48">
        <v>2</v>
      </c>
      <c r="J48" s="3">
        <v>17949</v>
      </c>
      <c r="K48" s="4">
        <v>0</v>
      </c>
      <c r="L48" s="3">
        <v>35898</v>
      </c>
      <c r="M48" s="3">
        <v>0</v>
      </c>
      <c r="N48" s="3">
        <v>35898</v>
      </c>
      <c r="O48" s="3">
        <v>22745.61</v>
      </c>
      <c r="P48" s="3">
        <v>13152.39</v>
      </c>
      <c r="Q48" t="s">
        <v>91</v>
      </c>
      <c r="R48">
        <v>2024</v>
      </c>
      <c r="S48">
        <v>2</v>
      </c>
    </row>
    <row r="49" spans="1:19" x14ac:dyDescent="0.3">
      <c r="A49" t="s">
        <v>93</v>
      </c>
      <c r="B49" s="2">
        <v>45325</v>
      </c>
      <c r="C49" t="s">
        <v>64</v>
      </c>
      <c r="D49" t="s">
        <v>29</v>
      </c>
      <c r="E49" t="s">
        <v>22</v>
      </c>
      <c r="F49" t="s">
        <v>37</v>
      </c>
      <c r="G49" t="s">
        <v>31</v>
      </c>
      <c r="H49" t="s">
        <v>94</v>
      </c>
      <c r="I49">
        <v>2</v>
      </c>
      <c r="J49" s="3">
        <v>27700</v>
      </c>
      <c r="K49" s="4">
        <v>10</v>
      </c>
      <c r="L49" s="3">
        <v>55400</v>
      </c>
      <c r="M49" s="3">
        <v>5540</v>
      </c>
      <c r="N49" s="3">
        <v>49860</v>
      </c>
      <c r="O49" s="3">
        <v>26951.95</v>
      </c>
      <c r="P49" s="3">
        <v>22908.05</v>
      </c>
      <c r="Q49" t="s">
        <v>91</v>
      </c>
      <c r="R49">
        <v>2024</v>
      </c>
      <c r="S49">
        <v>2</v>
      </c>
    </row>
    <row r="50" spans="1:19" x14ac:dyDescent="0.3">
      <c r="A50" t="s">
        <v>95</v>
      </c>
      <c r="B50" s="2">
        <v>45325</v>
      </c>
      <c r="C50" t="s">
        <v>64</v>
      </c>
      <c r="D50" t="s">
        <v>29</v>
      </c>
      <c r="E50" t="s">
        <v>42</v>
      </c>
      <c r="F50" t="s">
        <v>35</v>
      </c>
      <c r="G50" t="s">
        <v>24</v>
      </c>
      <c r="H50" t="s">
        <v>94</v>
      </c>
      <c r="I50">
        <v>4</v>
      </c>
      <c r="J50" s="3">
        <v>30624</v>
      </c>
      <c r="K50" s="4">
        <v>10</v>
      </c>
      <c r="L50" s="3">
        <v>122496</v>
      </c>
      <c r="M50" s="3">
        <v>12249.6</v>
      </c>
      <c r="N50" s="3">
        <v>110246.39999999999</v>
      </c>
      <c r="O50" s="3">
        <v>66069.45</v>
      </c>
      <c r="P50" s="3">
        <v>44176.95</v>
      </c>
      <c r="Q50" t="s">
        <v>91</v>
      </c>
      <c r="R50">
        <v>2024</v>
      </c>
      <c r="S50">
        <v>2</v>
      </c>
    </row>
    <row r="51" spans="1:19" x14ac:dyDescent="0.3">
      <c r="A51" t="s">
        <v>96</v>
      </c>
      <c r="B51" s="2">
        <v>45326</v>
      </c>
      <c r="C51" t="s">
        <v>50</v>
      </c>
      <c r="D51" t="s">
        <v>34</v>
      </c>
      <c r="E51" t="s">
        <v>42</v>
      </c>
      <c r="F51" t="s">
        <v>40</v>
      </c>
      <c r="G51" t="s">
        <v>31</v>
      </c>
      <c r="H51" t="s">
        <v>94</v>
      </c>
      <c r="I51">
        <v>2</v>
      </c>
      <c r="J51" s="3">
        <v>18380</v>
      </c>
      <c r="K51" s="4">
        <v>10</v>
      </c>
      <c r="L51" s="3">
        <v>36760</v>
      </c>
      <c r="M51" s="3">
        <v>3676</v>
      </c>
      <c r="N51" s="3">
        <v>0</v>
      </c>
      <c r="O51" s="3">
        <v>18687.13</v>
      </c>
      <c r="P51" s="3">
        <v>0</v>
      </c>
      <c r="Q51" t="s">
        <v>91</v>
      </c>
      <c r="R51">
        <v>2024</v>
      </c>
      <c r="S51">
        <v>2</v>
      </c>
    </row>
    <row r="52" spans="1:19" x14ac:dyDescent="0.3">
      <c r="A52" t="s">
        <v>97</v>
      </c>
      <c r="B52" s="2">
        <v>45326</v>
      </c>
      <c r="C52" t="s">
        <v>46</v>
      </c>
      <c r="D52" t="s">
        <v>21</v>
      </c>
      <c r="E52" t="s">
        <v>56</v>
      </c>
      <c r="F52" t="s">
        <v>30</v>
      </c>
      <c r="G52" t="s">
        <v>31</v>
      </c>
      <c r="H52" t="s">
        <v>94</v>
      </c>
      <c r="I52">
        <v>1</v>
      </c>
      <c r="J52" s="3">
        <v>11461</v>
      </c>
      <c r="K52" s="4">
        <v>10</v>
      </c>
      <c r="L52" s="3">
        <v>11461</v>
      </c>
      <c r="M52" s="3">
        <v>1146.0999999999999</v>
      </c>
      <c r="N52" s="3">
        <v>0</v>
      </c>
      <c r="O52" s="3">
        <v>7598.65</v>
      </c>
      <c r="P52" s="3">
        <v>0</v>
      </c>
      <c r="Q52" t="s">
        <v>91</v>
      </c>
      <c r="R52">
        <v>2024</v>
      </c>
      <c r="S52">
        <v>2</v>
      </c>
    </row>
    <row r="53" spans="1:19" x14ac:dyDescent="0.3">
      <c r="A53" t="s">
        <v>98</v>
      </c>
      <c r="B53" s="2">
        <v>45327</v>
      </c>
      <c r="C53" t="s">
        <v>46</v>
      </c>
      <c r="D53" t="s">
        <v>21</v>
      </c>
      <c r="E53" t="s">
        <v>22</v>
      </c>
      <c r="F53" t="s">
        <v>37</v>
      </c>
      <c r="G53" t="s">
        <v>31</v>
      </c>
      <c r="H53" t="s">
        <v>25</v>
      </c>
      <c r="I53">
        <v>4</v>
      </c>
      <c r="J53" s="3">
        <v>11642</v>
      </c>
      <c r="K53" s="4">
        <v>0</v>
      </c>
      <c r="L53" s="3">
        <v>46568</v>
      </c>
      <c r="M53" s="3">
        <v>0</v>
      </c>
      <c r="N53" s="3">
        <v>46568</v>
      </c>
      <c r="O53" s="3">
        <v>24882.52</v>
      </c>
      <c r="P53" s="3">
        <v>21685.48</v>
      </c>
      <c r="Q53" t="s">
        <v>91</v>
      </c>
      <c r="R53">
        <v>2024</v>
      </c>
      <c r="S53">
        <v>2</v>
      </c>
    </row>
    <row r="54" spans="1:19" x14ac:dyDescent="0.3">
      <c r="A54" t="s">
        <v>99</v>
      </c>
      <c r="B54" s="2">
        <v>45328</v>
      </c>
      <c r="C54" t="s">
        <v>46</v>
      </c>
      <c r="D54" t="s">
        <v>21</v>
      </c>
      <c r="E54" t="s">
        <v>22</v>
      </c>
      <c r="F54" t="s">
        <v>30</v>
      </c>
      <c r="G54" t="s">
        <v>24</v>
      </c>
      <c r="H54" t="s">
        <v>94</v>
      </c>
      <c r="I54">
        <v>2</v>
      </c>
      <c r="J54" s="3">
        <v>12108</v>
      </c>
      <c r="K54" s="4">
        <v>10</v>
      </c>
      <c r="L54" s="3">
        <v>24216</v>
      </c>
      <c r="M54" s="3">
        <v>2421.6</v>
      </c>
      <c r="N54" s="3">
        <v>21794.400000000001</v>
      </c>
      <c r="O54" s="3">
        <v>15782.9</v>
      </c>
      <c r="P54" s="3">
        <v>6011.5</v>
      </c>
      <c r="Q54" t="s">
        <v>91</v>
      </c>
      <c r="R54">
        <v>2024</v>
      </c>
      <c r="S54">
        <v>2</v>
      </c>
    </row>
    <row r="55" spans="1:19" x14ac:dyDescent="0.3">
      <c r="A55" t="s">
        <v>100</v>
      </c>
      <c r="B55" s="2">
        <v>45328</v>
      </c>
      <c r="C55" t="s">
        <v>50</v>
      </c>
      <c r="D55" t="s">
        <v>34</v>
      </c>
      <c r="E55" t="s">
        <v>42</v>
      </c>
      <c r="F55" t="s">
        <v>40</v>
      </c>
      <c r="G55" t="s">
        <v>31</v>
      </c>
      <c r="H55" t="s">
        <v>94</v>
      </c>
      <c r="I55">
        <v>2</v>
      </c>
      <c r="J55" s="3">
        <v>17943</v>
      </c>
      <c r="K55" s="4">
        <v>15</v>
      </c>
      <c r="L55" s="3">
        <v>35886</v>
      </c>
      <c r="M55" s="3">
        <v>5382.9</v>
      </c>
      <c r="N55" s="3">
        <v>30503.1</v>
      </c>
      <c r="O55" s="3">
        <v>18797.990000000002</v>
      </c>
      <c r="P55" s="3">
        <v>11705.11</v>
      </c>
      <c r="Q55" t="s">
        <v>91</v>
      </c>
      <c r="R55">
        <v>2024</v>
      </c>
      <c r="S55">
        <v>2</v>
      </c>
    </row>
    <row r="56" spans="1:19" x14ac:dyDescent="0.3">
      <c r="A56" t="s">
        <v>101</v>
      </c>
      <c r="B56" s="2">
        <v>45329</v>
      </c>
      <c r="C56" t="s">
        <v>50</v>
      </c>
      <c r="D56" t="s">
        <v>34</v>
      </c>
      <c r="E56" t="s">
        <v>22</v>
      </c>
      <c r="F56" t="s">
        <v>35</v>
      </c>
      <c r="G56" t="s">
        <v>24</v>
      </c>
      <c r="H56" t="s">
        <v>94</v>
      </c>
      <c r="I56">
        <v>2</v>
      </c>
      <c r="J56" s="3">
        <v>19067</v>
      </c>
      <c r="K56" s="4">
        <v>10</v>
      </c>
      <c r="L56" s="3">
        <v>38134</v>
      </c>
      <c r="M56" s="3">
        <v>3813.4</v>
      </c>
      <c r="N56" s="3">
        <v>34320.6</v>
      </c>
      <c r="O56" s="3">
        <v>22365.62</v>
      </c>
      <c r="P56" s="3">
        <v>11954.98</v>
      </c>
      <c r="Q56" t="s">
        <v>91</v>
      </c>
      <c r="R56">
        <v>2024</v>
      </c>
      <c r="S56">
        <v>2</v>
      </c>
    </row>
    <row r="57" spans="1:19" x14ac:dyDescent="0.3">
      <c r="A57" t="s">
        <v>102</v>
      </c>
      <c r="B57" s="2">
        <v>45329</v>
      </c>
      <c r="C57" t="s">
        <v>48</v>
      </c>
      <c r="D57" t="s">
        <v>34</v>
      </c>
      <c r="E57" t="s">
        <v>22</v>
      </c>
      <c r="F57" t="s">
        <v>37</v>
      </c>
      <c r="G57" t="s">
        <v>31</v>
      </c>
      <c r="H57" t="s">
        <v>94</v>
      </c>
      <c r="I57">
        <v>1</v>
      </c>
      <c r="J57" s="3">
        <v>24805</v>
      </c>
      <c r="K57" s="4">
        <v>15</v>
      </c>
      <c r="L57" s="3">
        <v>24805</v>
      </c>
      <c r="M57" s="3">
        <v>3720.75</v>
      </c>
      <c r="N57" s="3">
        <v>21084.25</v>
      </c>
      <c r="O57" s="3">
        <v>13200.27</v>
      </c>
      <c r="P57" s="3">
        <v>7883.98</v>
      </c>
      <c r="Q57" t="s">
        <v>91</v>
      </c>
      <c r="R57">
        <v>2024</v>
      </c>
      <c r="S57">
        <v>2</v>
      </c>
    </row>
    <row r="58" spans="1:19" x14ac:dyDescent="0.3">
      <c r="A58" t="s">
        <v>103</v>
      </c>
      <c r="B58" s="2">
        <v>45330</v>
      </c>
      <c r="C58" t="s">
        <v>48</v>
      </c>
      <c r="D58" t="s">
        <v>34</v>
      </c>
      <c r="E58" t="s">
        <v>56</v>
      </c>
      <c r="F58" t="s">
        <v>37</v>
      </c>
      <c r="G58" t="s">
        <v>31</v>
      </c>
      <c r="H58" t="s">
        <v>94</v>
      </c>
      <c r="I58">
        <v>1</v>
      </c>
      <c r="J58" s="3">
        <v>23338</v>
      </c>
      <c r="K58" s="4">
        <v>5</v>
      </c>
      <c r="L58" s="3">
        <v>23338</v>
      </c>
      <c r="M58" s="3">
        <v>1166.9000000000001</v>
      </c>
      <c r="N58" s="3">
        <v>22171.1</v>
      </c>
      <c r="O58" s="3">
        <v>11720.14</v>
      </c>
      <c r="P58" s="3">
        <v>10450.959999999999</v>
      </c>
      <c r="Q58" t="s">
        <v>91</v>
      </c>
      <c r="R58">
        <v>2024</v>
      </c>
      <c r="S58">
        <v>2</v>
      </c>
    </row>
    <row r="59" spans="1:19" x14ac:dyDescent="0.3">
      <c r="A59" t="s">
        <v>104</v>
      </c>
      <c r="B59" s="2">
        <v>45330</v>
      </c>
      <c r="C59" t="s">
        <v>33</v>
      </c>
      <c r="D59" t="s">
        <v>34</v>
      </c>
      <c r="E59" t="s">
        <v>56</v>
      </c>
      <c r="F59" t="s">
        <v>40</v>
      </c>
      <c r="G59" t="s">
        <v>31</v>
      </c>
      <c r="H59" t="s">
        <v>25</v>
      </c>
      <c r="I59">
        <v>2</v>
      </c>
      <c r="J59" s="3">
        <v>42125</v>
      </c>
      <c r="K59" s="4">
        <v>0</v>
      </c>
      <c r="L59" s="3">
        <v>84250</v>
      </c>
      <c r="M59" s="3">
        <v>0</v>
      </c>
      <c r="N59" s="3">
        <v>84250</v>
      </c>
      <c r="O59" s="3">
        <v>44363.67</v>
      </c>
      <c r="P59" s="3">
        <v>39886.33</v>
      </c>
      <c r="Q59" t="s">
        <v>91</v>
      </c>
      <c r="R59">
        <v>2024</v>
      </c>
      <c r="S59">
        <v>2</v>
      </c>
    </row>
    <row r="60" spans="1:19" x14ac:dyDescent="0.3">
      <c r="A60" t="s">
        <v>105</v>
      </c>
      <c r="B60" s="2">
        <v>45331</v>
      </c>
      <c r="C60" t="s">
        <v>48</v>
      </c>
      <c r="D60" t="s">
        <v>34</v>
      </c>
      <c r="E60" t="s">
        <v>44</v>
      </c>
      <c r="F60" t="s">
        <v>40</v>
      </c>
      <c r="G60" t="s">
        <v>24</v>
      </c>
      <c r="H60" t="s">
        <v>94</v>
      </c>
      <c r="I60">
        <v>1</v>
      </c>
      <c r="J60" s="3">
        <v>26419</v>
      </c>
      <c r="K60" s="4">
        <v>15</v>
      </c>
      <c r="L60" s="3">
        <v>26419</v>
      </c>
      <c r="M60" s="3">
        <v>3962.85</v>
      </c>
      <c r="N60" s="3">
        <v>22456.15</v>
      </c>
      <c r="O60" s="3">
        <v>14409.94</v>
      </c>
      <c r="P60" s="3">
        <v>8046.21</v>
      </c>
      <c r="Q60" t="s">
        <v>91</v>
      </c>
      <c r="R60">
        <v>2024</v>
      </c>
      <c r="S60">
        <v>2</v>
      </c>
    </row>
    <row r="61" spans="1:19" x14ac:dyDescent="0.3">
      <c r="A61" t="s">
        <v>106</v>
      </c>
      <c r="B61" s="2">
        <v>45332</v>
      </c>
      <c r="C61" t="s">
        <v>75</v>
      </c>
      <c r="D61" t="s">
        <v>34</v>
      </c>
      <c r="E61" t="s">
        <v>22</v>
      </c>
      <c r="F61" t="s">
        <v>37</v>
      </c>
      <c r="G61" t="s">
        <v>31</v>
      </c>
      <c r="H61" t="s">
        <v>94</v>
      </c>
      <c r="I61">
        <v>2</v>
      </c>
      <c r="J61" s="3">
        <v>36301</v>
      </c>
      <c r="K61" s="4">
        <v>5</v>
      </c>
      <c r="L61" s="3">
        <v>72602</v>
      </c>
      <c r="M61" s="3">
        <v>3630.1</v>
      </c>
      <c r="N61" s="3">
        <v>68971.899999999994</v>
      </c>
      <c r="O61" s="3">
        <v>45531.08</v>
      </c>
      <c r="P61" s="3">
        <v>23440.82</v>
      </c>
      <c r="Q61" t="s">
        <v>91</v>
      </c>
      <c r="R61">
        <v>2024</v>
      </c>
      <c r="S61">
        <v>2</v>
      </c>
    </row>
    <row r="62" spans="1:19" x14ac:dyDescent="0.3">
      <c r="A62" t="s">
        <v>107</v>
      </c>
      <c r="B62" s="2">
        <v>45332</v>
      </c>
      <c r="C62" t="s">
        <v>46</v>
      </c>
      <c r="D62" t="s">
        <v>21</v>
      </c>
      <c r="E62" t="s">
        <v>56</v>
      </c>
      <c r="F62" t="s">
        <v>40</v>
      </c>
      <c r="G62" t="s">
        <v>24</v>
      </c>
      <c r="H62" t="s">
        <v>94</v>
      </c>
      <c r="I62">
        <v>3</v>
      </c>
      <c r="J62" s="3">
        <v>11447</v>
      </c>
      <c r="K62" s="4">
        <v>15</v>
      </c>
      <c r="L62" s="3">
        <v>34341</v>
      </c>
      <c r="M62" s="3">
        <v>5151.1499999999996</v>
      </c>
      <c r="N62" s="3">
        <v>29189.85</v>
      </c>
      <c r="O62" s="3">
        <v>18415.599999999999</v>
      </c>
      <c r="P62" s="3">
        <v>10774.25</v>
      </c>
      <c r="Q62" t="s">
        <v>91</v>
      </c>
      <c r="R62">
        <v>2024</v>
      </c>
      <c r="S62">
        <v>2</v>
      </c>
    </row>
    <row r="63" spans="1:19" x14ac:dyDescent="0.3">
      <c r="A63" t="s">
        <v>108</v>
      </c>
      <c r="B63" s="2">
        <v>45332</v>
      </c>
      <c r="C63" t="s">
        <v>50</v>
      </c>
      <c r="D63" t="s">
        <v>34</v>
      </c>
      <c r="E63" t="s">
        <v>56</v>
      </c>
      <c r="F63" t="s">
        <v>35</v>
      </c>
      <c r="G63" t="s">
        <v>24</v>
      </c>
      <c r="H63" t="s">
        <v>94</v>
      </c>
      <c r="I63">
        <v>1</v>
      </c>
      <c r="J63" s="3">
        <v>18125</v>
      </c>
      <c r="K63" s="4">
        <v>10</v>
      </c>
      <c r="L63" s="3">
        <v>18125</v>
      </c>
      <c r="M63" s="3">
        <v>1812.5</v>
      </c>
      <c r="N63" s="3">
        <v>16312.5</v>
      </c>
      <c r="O63" s="3">
        <v>9161.44</v>
      </c>
      <c r="P63" s="3">
        <v>7151.06</v>
      </c>
      <c r="Q63" t="s">
        <v>91</v>
      </c>
      <c r="R63">
        <v>2024</v>
      </c>
      <c r="S63">
        <v>2</v>
      </c>
    </row>
    <row r="64" spans="1:19" x14ac:dyDescent="0.3">
      <c r="A64" t="s">
        <v>109</v>
      </c>
      <c r="B64" s="2">
        <v>45333</v>
      </c>
      <c r="C64" t="s">
        <v>64</v>
      </c>
      <c r="D64" t="s">
        <v>29</v>
      </c>
      <c r="E64" t="s">
        <v>56</v>
      </c>
      <c r="F64" t="s">
        <v>40</v>
      </c>
      <c r="G64" t="s">
        <v>31</v>
      </c>
      <c r="H64" t="s">
        <v>94</v>
      </c>
      <c r="I64">
        <v>2</v>
      </c>
      <c r="J64" s="3">
        <v>30539</v>
      </c>
      <c r="K64" s="4">
        <v>5</v>
      </c>
      <c r="L64" s="3">
        <v>61078</v>
      </c>
      <c r="M64" s="3">
        <v>3053.9</v>
      </c>
      <c r="N64" s="3">
        <v>58024.1</v>
      </c>
      <c r="O64" s="3">
        <v>38690.199999999997</v>
      </c>
      <c r="P64" s="3">
        <v>19333.900000000001</v>
      </c>
      <c r="Q64" t="s">
        <v>91</v>
      </c>
      <c r="R64">
        <v>2024</v>
      </c>
      <c r="S64">
        <v>2</v>
      </c>
    </row>
    <row r="65" spans="1:19" x14ac:dyDescent="0.3">
      <c r="A65" t="s">
        <v>110</v>
      </c>
      <c r="B65" s="2">
        <v>45333</v>
      </c>
      <c r="C65" t="s">
        <v>50</v>
      </c>
      <c r="D65" t="s">
        <v>34</v>
      </c>
      <c r="E65" t="s">
        <v>44</v>
      </c>
      <c r="F65" t="s">
        <v>40</v>
      </c>
      <c r="G65" t="s">
        <v>31</v>
      </c>
      <c r="H65" t="s">
        <v>94</v>
      </c>
      <c r="I65">
        <v>2</v>
      </c>
      <c r="J65" s="3">
        <v>18860</v>
      </c>
      <c r="K65" s="4">
        <v>15</v>
      </c>
      <c r="L65" s="3">
        <v>37720</v>
      </c>
      <c r="M65" s="3">
        <v>5658</v>
      </c>
      <c r="N65" s="3">
        <v>32062</v>
      </c>
      <c r="O65" s="3">
        <v>22696.16</v>
      </c>
      <c r="P65" s="3">
        <v>9365.84</v>
      </c>
      <c r="Q65" t="s">
        <v>91</v>
      </c>
      <c r="R65">
        <v>2024</v>
      </c>
      <c r="S65">
        <v>2</v>
      </c>
    </row>
    <row r="66" spans="1:19" x14ac:dyDescent="0.3">
      <c r="A66" t="s">
        <v>111</v>
      </c>
      <c r="B66" s="2">
        <v>45334</v>
      </c>
      <c r="C66" t="s">
        <v>28</v>
      </c>
      <c r="D66" t="s">
        <v>29</v>
      </c>
      <c r="E66" t="s">
        <v>44</v>
      </c>
      <c r="F66" t="s">
        <v>23</v>
      </c>
      <c r="G66" t="s">
        <v>31</v>
      </c>
      <c r="H66" t="s">
        <v>25</v>
      </c>
      <c r="I66">
        <v>2</v>
      </c>
      <c r="J66" s="3">
        <v>67308</v>
      </c>
      <c r="K66" s="4">
        <v>0</v>
      </c>
      <c r="L66" s="3">
        <v>134616</v>
      </c>
      <c r="M66" s="3">
        <v>0</v>
      </c>
      <c r="N66" s="3">
        <v>134616</v>
      </c>
      <c r="O66" s="3">
        <v>82225.539999999994</v>
      </c>
      <c r="P66" s="3">
        <v>52390.46</v>
      </c>
      <c r="Q66" t="s">
        <v>91</v>
      </c>
      <c r="R66">
        <v>2024</v>
      </c>
      <c r="S66">
        <v>2</v>
      </c>
    </row>
    <row r="67" spans="1:19" x14ac:dyDescent="0.3">
      <c r="A67" t="s">
        <v>112</v>
      </c>
      <c r="B67" s="2">
        <v>45338</v>
      </c>
      <c r="C67" t="s">
        <v>82</v>
      </c>
      <c r="D67" t="s">
        <v>21</v>
      </c>
      <c r="E67" t="s">
        <v>44</v>
      </c>
      <c r="F67" t="s">
        <v>35</v>
      </c>
      <c r="G67" t="s">
        <v>31</v>
      </c>
      <c r="H67" t="s">
        <v>25</v>
      </c>
      <c r="I67">
        <v>2</v>
      </c>
      <c r="J67" s="3">
        <v>45330</v>
      </c>
      <c r="K67" s="4">
        <v>5</v>
      </c>
      <c r="L67" s="3">
        <v>90660</v>
      </c>
      <c r="M67" s="3">
        <v>4533</v>
      </c>
      <c r="N67" s="3">
        <v>86127</v>
      </c>
      <c r="O67" s="3">
        <v>48065.98</v>
      </c>
      <c r="P67" s="3">
        <v>38061.019999999997</v>
      </c>
      <c r="Q67" t="s">
        <v>91</v>
      </c>
      <c r="R67">
        <v>2024</v>
      </c>
      <c r="S67">
        <v>2</v>
      </c>
    </row>
    <row r="68" spans="1:19" x14ac:dyDescent="0.3">
      <c r="A68" t="s">
        <v>113</v>
      </c>
      <c r="B68" s="2">
        <v>45338</v>
      </c>
      <c r="C68" t="s">
        <v>82</v>
      </c>
      <c r="D68" t="s">
        <v>21</v>
      </c>
      <c r="E68" t="s">
        <v>44</v>
      </c>
      <c r="F68" t="s">
        <v>40</v>
      </c>
      <c r="G68" t="s">
        <v>31</v>
      </c>
      <c r="H68" t="s">
        <v>94</v>
      </c>
      <c r="I68">
        <v>1</v>
      </c>
      <c r="J68" s="3">
        <v>45978</v>
      </c>
      <c r="K68" s="4">
        <v>15</v>
      </c>
      <c r="L68" s="3">
        <v>45978</v>
      </c>
      <c r="M68" s="3">
        <v>6896.7</v>
      </c>
      <c r="N68" s="3">
        <v>39081.300000000003</v>
      </c>
      <c r="O68" s="3">
        <v>22830.27</v>
      </c>
      <c r="P68" s="3">
        <v>16251.03</v>
      </c>
      <c r="Q68" t="s">
        <v>91</v>
      </c>
      <c r="R68">
        <v>2024</v>
      </c>
      <c r="S68">
        <v>2</v>
      </c>
    </row>
    <row r="69" spans="1:19" x14ac:dyDescent="0.3">
      <c r="A69" t="s">
        <v>114</v>
      </c>
      <c r="B69" s="2">
        <v>45338</v>
      </c>
      <c r="C69" t="s">
        <v>75</v>
      </c>
      <c r="D69" t="s">
        <v>34</v>
      </c>
      <c r="E69" t="s">
        <v>42</v>
      </c>
      <c r="F69" t="s">
        <v>40</v>
      </c>
      <c r="G69" t="s">
        <v>24</v>
      </c>
      <c r="H69" t="s">
        <v>25</v>
      </c>
      <c r="I69">
        <v>2</v>
      </c>
      <c r="J69" s="3">
        <v>36283</v>
      </c>
      <c r="K69" s="4">
        <v>0</v>
      </c>
      <c r="L69" s="3">
        <v>72566</v>
      </c>
      <c r="M69" s="3">
        <v>0</v>
      </c>
      <c r="N69" s="3">
        <v>72566</v>
      </c>
      <c r="O69" s="3">
        <v>43154.01</v>
      </c>
      <c r="P69" s="3">
        <v>29411.99</v>
      </c>
      <c r="Q69" t="s">
        <v>91</v>
      </c>
      <c r="R69">
        <v>2024</v>
      </c>
      <c r="S69">
        <v>2</v>
      </c>
    </row>
    <row r="70" spans="1:19" x14ac:dyDescent="0.3">
      <c r="A70" t="s">
        <v>115</v>
      </c>
      <c r="B70" s="2">
        <v>45338</v>
      </c>
      <c r="C70" t="s">
        <v>20</v>
      </c>
      <c r="D70" t="s">
        <v>21</v>
      </c>
      <c r="E70" t="s">
        <v>42</v>
      </c>
      <c r="F70" t="s">
        <v>40</v>
      </c>
      <c r="G70" t="s">
        <v>31</v>
      </c>
      <c r="H70" t="s">
        <v>94</v>
      </c>
      <c r="I70">
        <v>2</v>
      </c>
      <c r="J70" s="3">
        <v>15866</v>
      </c>
      <c r="K70" s="4">
        <v>15</v>
      </c>
      <c r="L70" s="3">
        <v>31732</v>
      </c>
      <c r="M70" s="3">
        <v>4759.8</v>
      </c>
      <c r="N70" s="3">
        <v>26972.2</v>
      </c>
      <c r="O70" s="3">
        <v>15312.32</v>
      </c>
      <c r="P70" s="3">
        <v>11659.88</v>
      </c>
      <c r="Q70" t="s">
        <v>91</v>
      </c>
      <c r="R70">
        <v>2024</v>
      </c>
      <c r="S70">
        <v>2</v>
      </c>
    </row>
    <row r="71" spans="1:19" x14ac:dyDescent="0.3">
      <c r="A71" t="s">
        <v>116</v>
      </c>
      <c r="B71" s="2">
        <v>45338</v>
      </c>
      <c r="C71" t="s">
        <v>20</v>
      </c>
      <c r="D71" t="s">
        <v>21</v>
      </c>
      <c r="E71" t="s">
        <v>44</v>
      </c>
      <c r="F71" t="s">
        <v>37</v>
      </c>
      <c r="G71" t="s">
        <v>24</v>
      </c>
      <c r="H71" t="s">
        <v>94</v>
      </c>
      <c r="I71">
        <v>3</v>
      </c>
      <c r="J71" s="3">
        <v>15935</v>
      </c>
      <c r="K71" s="4">
        <v>5</v>
      </c>
      <c r="L71" s="3">
        <v>47805</v>
      </c>
      <c r="M71" s="3">
        <v>2390.25</v>
      </c>
      <c r="N71" s="3">
        <v>45414.75</v>
      </c>
      <c r="O71" s="3">
        <v>25757.98</v>
      </c>
      <c r="P71" s="3">
        <v>19656.77</v>
      </c>
      <c r="Q71" t="s">
        <v>91</v>
      </c>
      <c r="R71">
        <v>2024</v>
      </c>
      <c r="S71">
        <v>2</v>
      </c>
    </row>
    <row r="72" spans="1:19" x14ac:dyDescent="0.3">
      <c r="A72" t="s">
        <v>117</v>
      </c>
      <c r="B72" s="2">
        <v>45339</v>
      </c>
      <c r="C72" t="s">
        <v>50</v>
      </c>
      <c r="D72" t="s">
        <v>34</v>
      </c>
      <c r="E72" t="s">
        <v>22</v>
      </c>
      <c r="F72" t="s">
        <v>40</v>
      </c>
      <c r="G72" t="s">
        <v>24</v>
      </c>
      <c r="H72" t="s">
        <v>94</v>
      </c>
      <c r="I72">
        <v>1</v>
      </c>
      <c r="J72" s="3">
        <v>17956</v>
      </c>
      <c r="K72" s="4">
        <v>10</v>
      </c>
      <c r="L72" s="3">
        <v>17956</v>
      </c>
      <c r="M72" s="3">
        <v>1795.6</v>
      </c>
      <c r="N72" s="3">
        <v>16160.4</v>
      </c>
      <c r="O72" s="3">
        <v>9770.6200000000008</v>
      </c>
      <c r="P72" s="3">
        <v>6389.78</v>
      </c>
      <c r="Q72" t="s">
        <v>91</v>
      </c>
      <c r="R72">
        <v>2024</v>
      </c>
      <c r="S72">
        <v>2</v>
      </c>
    </row>
    <row r="73" spans="1:19" x14ac:dyDescent="0.3">
      <c r="A73" t="s">
        <v>118</v>
      </c>
      <c r="B73" s="2">
        <v>45342</v>
      </c>
      <c r="C73" t="s">
        <v>33</v>
      </c>
      <c r="D73" t="s">
        <v>34</v>
      </c>
      <c r="E73" t="s">
        <v>42</v>
      </c>
      <c r="F73" t="s">
        <v>35</v>
      </c>
      <c r="G73" t="s">
        <v>24</v>
      </c>
      <c r="H73" t="s">
        <v>94</v>
      </c>
      <c r="I73">
        <v>1</v>
      </c>
      <c r="J73" s="3">
        <v>44683</v>
      </c>
      <c r="K73" s="4">
        <v>10</v>
      </c>
      <c r="L73" s="3">
        <v>44683</v>
      </c>
      <c r="M73" s="3">
        <v>4468.3</v>
      </c>
      <c r="N73" s="3">
        <v>40214.699999999997</v>
      </c>
      <c r="O73" s="3">
        <v>25416.720000000001</v>
      </c>
      <c r="P73" s="3">
        <v>14797.98</v>
      </c>
      <c r="Q73" t="s">
        <v>91</v>
      </c>
      <c r="R73">
        <v>2024</v>
      </c>
      <c r="S73">
        <v>2</v>
      </c>
    </row>
    <row r="74" spans="1:19" x14ac:dyDescent="0.3">
      <c r="A74" t="s">
        <v>119</v>
      </c>
      <c r="B74" s="2">
        <v>45342</v>
      </c>
      <c r="C74" t="s">
        <v>28</v>
      </c>
      <c r="D74" t="s">
        <v>29</v>
      </c>
      <c r="E74" t="s">
        <v>22</v>
      </c>
      <c r="F74" t="s">
        <v>37</v>
      </c>
      <c r="G74" t="s">
        <v>24</v>
      </c>
      <c r="H74" t="s">
        <v>25</v>
      </c>
      <c r="I74">
        <v>1</v>
      </c>
      <c r="J74" s="3">
        <v>64042</v>
      </c>
      <c r="K74" s="4">
        <v>5</v>
      </c>
      <c r="L74" s="3">
        <v>64042</v>
      </c>
      <c r="M74" s="3">
        <v>3202.1</v>
      </c>
      <c r="N74" s="3">
        <v>60839.9</v>
      </c>
      <c r="O74" s="3">
        <v>39400.449999999997</v>
      </c>
      <c r="P74" s="3">
        <v>21439.45</v>
      </c>
      <c r="Q74" t="s">
        <v>91</v>
      </c>
      <c r="R74">
        <v>2024</v>
      </c>
      <c r="S74">
        <v>2</v>
      </c>
    </row>
    <row r="75" spans="1:19" x14ac:dyDescent="0.3">
      <c r="A75" t="s">
        <v>120</v>
      </c>
      <c r="B75" s="2">
        <v>45342</v>
      </c>
      <c r="C75" t="s">
        <v>28</v>
      </c>
      <c r="D75" t="s">
        <v>29</v>
      </c>
      <c r="E75" t="s">
        <v>22</v>
      </c>
      <c r="F75" t="s">
        <v>30</v>
      </c>
      <c r="G75" t="s">
        <v>31</v>
      </c>
      <c r="H75" t="s">
        <v>94</v>
      </c>
      <c r="I75">
        <v>1</v>
      </c>
      <c r="J75" s="3">
        <v>66514</v>
      </c>
      <c r="K75" s="4">
        <v>15</v>
      </c>
      <c r="L75" s="3">
        <v>66514</v>
      </c>
      <c r="M75" s="3">
        <v>9977.1</v>
      </c>
      <c r="N75" s="3">
        <v>56536.9</v>
      </c>
      <c r="O75" s="3">
        <v>41676.04</v>
      </c>
      <c r="P75" s="3">
        <v>14860.86</v>
      </c>
      <c r="Q75" t="s">
        <v>91</v>
      </c>
      <c r="R75">
        <v>2024</v>
      </c>
      <c r="S75">
        <v>2</v>
      </c>
    </row>
    <row r="76" spans="1:19" x14ac:dyDescent="0.3">
      <c r="A76" t="s">
        <v>121</v>
      </c>
      <c r="B76" s="2">
        <v>45344</v>
      </c>
      <c r="C76" t="s">
        <v>33</v>
      </c>
      <c r="D76" t="s">
        <v>34</v>
      </c>
      <c r="E76" t="s">
        <v>56</v>
      </c>
      <c r="F76" t="s">
        <v>23</v>
      </c>
      <c r="G76" t="s">
        <v>24</v>
      </c>
      <c r="H76" t="s">
        <v>94</v>
      </c>
      <c r="I76">
        <v>1</v>
      </c>
      <c r="J76" s="3">
        <v>44026</v>
      </c>
      <c r="K76" s="4">
        <v>5</v>
      </c>
      <c r="L76" s="3">
        <v>44026</v>
      </c>
      <c r="M76" s="3">
        <v>2201.3000000000002</v>
      </c>
      <c r="N76" s="3">
        <v>41824.699999999997</v>
      </c>
      <c r="O76" s="3">
        <v>25372.97</v>
      </c>
      <c r="P76" s="3">
        <v>16451.73</v>
      </c>
      <c r="Q76" t="s">
        <v>91</v>
      </c>
      <c r="R76">
        <v>2024</v>
      </c>
      <c r="S76">
        <v>2</v>
      </c>
    </row>
    <row r="77" spans="1:19" x14ac:dyDescent="0.3">
      <c r="A77" t="s">
        <v>122</v>
      </c>
      <c r="B77" s="2">
        <v>45345</v>
      </c>
      <c r="C77" t="s">
        <v>28</v>
      </c>
      <c r="D77" t="s">
        <v>29</v>
      </c>
      <c r="E77" t="s">
        <v>42</v>
      </c>
      <c r="F77" t="s">
        <v>23</v>
      </c>
      <c r="G77" t="s">
        <v>24</v>
      </c>
      <c r="H77" t="s">
        <v>94</v>
      </c>
      <c r="I77">
        <v>1</v>
      </c>
      <c r="J77" s="3">
        <v>68491</v>
      </c>
      <c r="K77" s="4">
        <v>15</v>
      </c>
      <c r="L77" s="3">
        <v>68491</v>
      </c>
      <c r="M77" s="3">
        <v>10273.65</v>
      </c>
      <c r="N77" s="3">
        <v>58217.35</v>
      </c>
      <c r="O77" s="3">
        <v>33363.410000000003</v>
      </c>
      <c r="P77" s="3">
        <v>24853.94</v>
      </c>
      <c r="Q77" t="s">
        <v>91</v>
      </c>
      <c r="R77">
        <v>2024</v>
      </c>
      <c r="S77">
        <v>2</v>
      </c>
    </row>
    <row r="78" spans="1:19" x14ac:dyDescent="0.3">
      <c r="A78" t="s">
        <v>123</v>
      </c>
      <c r="B78" s="2">
        <v>45345</v>
      </c>
      <c r="C78" t="s">
        <v>75</v>
      </c>
      <c r="D78" t="s">
        <v>34</v>
      </c>
      <c r="E78" t="s">
        <v>22</v>
      </c>
      <c r="F78" t="s">
        <v>35</v>
      </c>
      <c r="G78" t="s">
        <v>31</v>
      </c>
      <c r="H78" t="s">
        <v>25</v>
      </c>
      <c r="I78">
        <v>2</v>
      </c>
      <c r="J78" s="3">
        <v>38759</v>
      </c>
      <c r="K78" s="4">
        <v>10</v>
      </c>
      <c r="L78" s="3">
        <v>77518</v>
      </c>
      <c r="M78" s="3">
        <v>7751.8</v>
      </c>
      <c r="N78" s="3">
        <v>69766.2</v>
      </c>
      <c r="O78" s="3">
        <v>50120.51</v>
      </c>
      <c r="P78" s="3">
        <v>19645.689999999999</v>
      </c>
      <c r="Q78" t="s">
        <v>91</v>
      </c>
      <c r="R78">
        <v>2024</v>
      </c>
      <c r="S78">
        <v>2</v>
      </c>
    </row>
    <row r="79" spans="1:19" x14ac:dyDescent="0.3">
      <c r="A79" t="s">
        <v>124</v>
      </c>
      <c r="B79" s="2">
        <v>45346</v>
      </c>
      <c r="C79" t="s">
        <v>46</v>
      </c>
      <c r="D79" t="s">
        <v>21</v>
      </c>
      <c r="E79" t="s">
        <v>56</v>
      </c>
      <c r="F79" t="s">
        <v>30</v>
      </c>
      <c r="G79" t="s">
        <v>24</v>
      </c>
      <c r="H79" t="s">
        <v>94</v>
      </c>
      <c r="I79">
        <v>2</v>
      </c>
      <c r="J79" s="3">
        <v>11075</v>
      </c>
      <c r="K79" s="4">
        <v>10</v>
      </c>
      <c r="L79" s="3">
        <v>22150</v>
      </c>
      <c r="M79" s="3">
        <v>2215</v>
      </c>
      <c r="N79" s="3">
        <v>19935</v>
      </c>
      <c r="O79" s="3">
        <v>13973.24</v>
      </c>
      <c r="P79" s="3">
        <v>5961.76</v>
      </c>
      <c r="Q79" t="s">
        <v>91</v>
      </c>
      <c r="R79">
        <v>2024</v>
      </c>
      <c r="S79">
        <v>2</v>
      </c>
    </row>
    <row r="80" spans="1:19" x14ac:dyDescent="0.3">
      <c r="A80" t="s">
        <v>125</v>
      </c>
      <c r="B80" s="2">
        <v>45346</v>
      </c>
      <c r="C80" t="s">
        <v>28</v>
      </c>
      <c r="D80" t="s">
        <v>29</v>
      </c>
      <c r="E80" t="s">
        <v>22</v>
      </c>
      <c r="F80" t="s">
        <v>40</v>
      </c>
      <c r="G80" t="s">
        <v>24</v>
      </c>
      <c r="H80" t="s">
        <v>94</v>
      </c>
      <c r="I80">
        <v>4</v>
      </c>
      <c r="J80" s="3">
        <v>60924</v>
      </c>
      <c r="K80" s="4">
        <v>10</v>
      </c>
      <c r="L80" s="3">
        <v>243696</v>
      </c>
      <c r="M80" s="3">
        <v>24369.599999999999</v>
      </c>
      <c r="N80" s="3">
        <v>219326.4</v>
      </c>
      <c r="O80" s="3">
        <v>121156.43</v>
      </c>
      <c r="P80" s="3">
        <v>98169.97</v>
      </c>
      <c r="Q80" t="s">
        <v>91</v>
      </c>
      <c r="R80">
        <v>2024</v>
      </c>
      <c r="S80">
        <v>2</v>
      </c>
    </row>
    <row r="81" spans="1:19" x14ac:dyDescent="0.3">
      <c r="A81" t="s">
        <v>126</v>
      </c>
      <c r="B81" s="2">
        <v>45346</v>
      </c>
      <c r="C81" t="s">
        <v>64</v>
      </c>
      <c r="D81" t="s">
        <v>29</v>
      </c>
      <c r="E81" t="s">
        <v>44</v>
      </c>
      <c r="F81" t="s">
        <v>37</v>
      </c>
      <c r="G81" t="s">
        <v>31</v>
      </c>
      <c r="H81" t="s">
        <v>94</v>
      </c>
      <c r="I81">
        <v>2</v>
      </c>
      <c r="J81" s="3">
        <v>30285</v>
      </c>
      <c r="K81" s="4">
        <v>10</v>
      </c>
      <c r="L81" s="3">
        <v>60570</v>
      </c>
      <c r="M81" s="3">
        <v>6057</v>
      </c>
      <c r="N81" s="3">
        <v>54513</v>
      </c>
      <c r="O81" s="3">
        <v>40925.03</v>
      </c>
      <c r="P81" s="3">
        <v>13587.97</v>
      </c>
      <c r="Q81" t="s">
        <v>91</v>
      </c>
      <c r="R81">
        <v>2024</v>
      </c>
      <c r="S81">
        <v>2</v>
      </c>
    </row>
    <row r="82" spans="1:19" x14ac:dyDescent="0.3">
      <c r="A82" t="s">
        <v>127</v>
      </c>
      <c r="B82" s="2">
        <v>45347</v>
      </c>
      <c r="C82" t="s">
        <v>33</v>
      </c>
      <c r="D82" t="s">
        <v>34</v>
      </c>
      <c r="E82" t="s">
        <v>22</v>
      </c>
      <c r="F82" t="s">
        <v>35</v>
      </c>
      <c r="G82" t="s">
        <v>31</v>
      </c>
      <c r="H82" t="s">
        <v>94</v>
      </c>
      <c r="I82">
        <v>5</v>
      </c>
      <c r="J82" s="3">
        <v>43201</v>
      </c>
      <c r="K82" s="4">
        <v>5</v>
      </c>
      <c r="L82" s="3">
        <v>216005</v>
      </c>
      <c r="M82" s="3">
        <v>10800.25</v>
      </c>
      <c r="N82" s="3">
        <v>205204.75</v>
      </c>
      <c r="O82" s="3">
        <v>134645.35999999999</v>
      </c>
      <c r="P82" s="3">
        <v>70559.39</v>
      </c>
      <c r="Q82" t="s">
        <v>91</v>
      </c>
      <c r="R82">
        <v>2024</v>
      </c>
      <c r="S82">
        <v>2</v>
      </c>
    </row>
    <row r="83" spans="1:19" x14ac:dyDescent="0.3">
      <c r="A83" t="s">
        <v>128</v>
      </c>
      <c r="B83" s="2">
        <v>45349</v>
      </c>
      <c r="C83" t="s">
        <v>64</v>
      </c>
      <c r="D83" t="s">
        <v>29</v>
      </c>
      <c r="E83" t="s">
        <v>22</v>
      </c>
      <c r="F83" t="s">
        <v>40</v>
      </c>
      <c r="G83" t="s">
        <v>24</v>
      </c>
      <c r="H83" t="s">
        <v>25</v>
      </c>
      <c r="I83">
        <v>2</v>
      </c>
      <c r="J83" s="3">
        <v>32161</v>
      </c>
      <c r="K83" s="4">
        <v>0</v>
      </c>
      <c r="L83" s="3">
        <v>64322</v>
      </c>
      <c r="M83" s="3">
        <v>0</v>
      </c>
      <c r="N83" s="3">
        <v>64322</v>
      </c>
      <c r="O83" s="3">
        <v>31121.14</v>
      </c>
      <c r="P83" s="3">
        <v>33200.86</v>
      </c>
      <c r="Q83" t="s">
        <v>91</v>
      </c>
      <c r="R83">
        <v>2024</v>
      </c>
      <c r="S83">
        <v>2</v>
      </c>
    </row>
    <row r="84" spans="1:19" x14ac:dyDescent="0.3">
      <c r="A84" t="s">
        <v>129</v>
      </c>
      <c r="B84" s="2">
        <v>45350</v>
      </c>
      <c r="C84" t="s">
        <v>75</v>
      </c>
      <c r="D84" t="s">
        <v>34</v>
      </c>
      <c r="E84" t="s">
        <v>22</v>
      </c>
      <c r="F84" t="s">
        <v>35</v>
      </c>
      <c r="G84" t="s">
        <v>31</v>
      </c>
      <c r="H84" t="s">
        <v>25</v>
      </c>
      <c r="I84">
        <v>2</v>
      </c>
      <c r="J84" s="3">
        <v>41024</v>
      </c>
      <c r="K84" s="4">
        <v>0</v>
      </c>
      <c r="L84" s="3">
        <v>82048</v>
      </c>
      <c r="M84" s="3">
        <v>0</v>
      </c>
      <c r="N84" s="3">
        <v>82048</v>
      </c>
      <c r="O84" s="3">
        <v>42310.48</v>
      </c>
      <c r="P84" s="3">
        <v>39737.519999999997</v>
      </c>
      <c r="Q84" t="s">
        <v>91</v>
      </c>
      <c r="R84">
        <v>2024</v>
      </c>
      <c r="S84">
        <v>2</v>
      </c>
    </row>
    <row r="85" spans="1:19" x14ac:dyDescent="0.3">
      <c r="A85" t="s">
        <v>130</v>
      </c>
      <c r="B85" s="2">
        <v>45352</v>
      </c>
      <c r="C85" t="s">
        <v>28</v>
      </c>
      <c r="D85" t="s">
        <v>29</v>
      </c>
      <c r="E85" t="s">
        <v>44</v>
      </c>
      <c r="F85" t="s">
        <v>40</v>
      </c>
      <c r="G85" t="s">
        <v>24</v>
      </c>
      <c r="H85" t="s">
        <v>25</v>
      </c>
      <c r="I85">
        <v>1</v>
      </c>
      <c r="J85" s="3">
        <v>60614</v>
      </c>
      <c r="K85" s="4">
        <v>0</v>
      </c>
      <c r="L85" s="3">
        <v>60614</v>
      </c>
      <c r="M85" s="3">
        <v>0</v>
      </c>
      <c r="N85" s="3">
        <v>60614</v>
      </c>
      <c r="O85" s="3">
        <v>38611.199999999997</v>
      </c>
      <c r="P85" s="3">
        <v>22002.799999999999</v>
      </c>
      <c r="Q85" t="s">
        <v>131</v>
      </c>
      <c r="R85">
        <v>2024</v>
      </c>
      <c r="S85">
        <v>3</v>
      </c>
    </row>
    <row r="86" spans="1:19" x14ac:dyDescent="0.3">
      <c r="A86" t="s">
        <v>132</v>
      </c>
      <c r="B86" s="2">
        <v>45352</v>
      </c>
      <c r="C86" t="s">
        <v>20</v>
      </c>
      <c r="D86" t="s">
        <v>21</v>
      </c>
      <c r="E86" t="s">
        <v>42</v>
      </c>
      <c r="F86" t="s">
        <v>23</v>
      </c>
      <c r="G86" t="s">
        <v>31</v>
      </c>
      <c r="H86" t="s">
        <v>133</v>
      </c>
      <c r="I86">
        <v>2</v>
      </c>
      <c r="J86" s="3">
        <v>14179</v>
      </c>
      <c r="K86" s="4">
        <v>15</v>
      </c>
      <c r="L86" s="3">
        <v>28358</v>
      </c>
      <c r="M86" s="3">
        <v>4253.7</v>
      </c>
      <c r="N86" s="3">
        <v>24104.3</v>
      </c>
      <c r="O86" s="3">
        <v>16150.12</v>
      </c>
      <c r="P86" s="3">
        <v>7954.18</v>
      </c>
      <c r="Q86" t="s">
        <v>131</v>
      </c>
      <c r="R86">
        <v>2024</v>
      </c>
      <c r="S86">
        <v>3</v>
      </c>
    </row>
    <row r="87" spans="1:19" x14ac:dyDescent="0.3">
      <c r="A87" t="s">
        <v>134</v>
      </c>
      <c r="B87" s="2">
        <v>45352</v>
      </c>
      <c r="C87" t="s">
        <v>48</v>
      </c>
      <c r="D87" t="s">
        <v>34</v>
      </c>
      <c r="E87" t="s">
        <v>56</v>
      </c>
      <c r="F87" t="s">
        <v>37</v>
      </c>
      <c r="G87" t="s">
        <v>24</v>
      </c>
      <c r="H87" t="s">
        <v>25</v>
      </c>
      <c r="I87">
        <v>1</v>
      </c>
      <c r="J87" s="3">
        <v>26696</v>
      </c>
      <c r="K87" s="4">
        <v>0</v>
      </c>
      <c r="L87" s="3">
        <v>26696</v>
      </c>
      <c r="M87" s="3">
        <v>0</v>
      </c>
      <c r="N87" s="3">
        <v>26696</v>
      </c>
      <c r="O87" s="3">
        <v>17786.3</v>
      </c>
      <c r="P87" s="3">
        <v>8909.7000000000007</v>
      </c>
      <c r="Q87" t="s">
        <v>131</v>
      </c>
      <c r="R87">
        <v>2024</v>
      </c>
      <c r="S87">
        <v>3</v>
      </c>
    </row>
    <row r="88" spans="1:19" x14ac:dyDescent="0.3">
      <c r="A88" t="s">
        <v>135</v>
      </c>
      <c r="B88" s="2">
        <v>45353</v>
      </c>
      <c r="C88" t="s">
        <v>64</v>
      </c>
      <c r="D88" t="s">
        <v>29</v>
      </c>
      <c r="E88" t="s">
        <v>42</v>
      </c>
      <c r="F88" t="s">
        <v>23</v>
      </c>
      <c r="G88" t="s">
        <v>24</v>
      </c>
      <c r="H88" t="s">
        <v>133</v>
      </c>
      <c r="I88">
        <v>1</v>
      </c>
      <c r="J88" s="3">
        <v>30402</v>
      </c>
      <c r="K88" s="4">
        <v>10</v>
      </c>
      <c r="L88" s="3">
        <v>30402</v>
      </c>
      <c r="M88" s="3">
        <v>3040.2</v>
      </c>
      <c r="N88" s="3">
        <v>27361.8</v>
      </c>
      <c r="O88" s="3">
        <v>19769.849999999999</v>
      </c>
      <c r="P88" s="3">
        <v>7591.95</v>
      </c>
      <c r="Q88" t="s">
        <v>131</v>
      </c>
      <c r="R88">
        <v>2024</v>
      </c>
      <c r="S88">
        <v>3</v>
      </c>
    </row>
    <row r="89" spans="1:19" x14ac:dyDescent="0.3">
      <c r="A89" t="s">
        <v>136</v>
      </c>
      <c r="B89" s="2">
        <v>45353</v>
      </c>
      <c r="C89" t="s">
        <v>82</v>
      </c>
      <c r="D89" t="s">
        <v>21</v>
      </c>
      <c r="E89" t="s">
        <v>44</v>
      </c>
      <c r="F89" t="s">
        <v>30</v>
      </c>
      <c r="G89" t="s">
        <v>24</v>
      </c>
      <c r="H89" t="s">
        <v>25</v>
      </c>
      <c r="I89">
        <v>3</v>
      </c>
      <c r="J89" s="3">
        <v>45873</v>
      </c>
      <c r="K89" s="4">
        <v>0</v>
      </c>
      <c r="L89" s="3">
        <v>137619</v>
      </c>
      <c r="M89" s="3">
        <v>0</v>
      </c>
      <c r="N89" s="3">
        <v>137619</v>
      </c>
      <c r="O89" s="3">
        <v>89781.1</v>
      </c>
      <c r="P89" s="3">
        <v>47837.9</v>
      </c>
      <c r="Q89" t="s">
        <v>131</v>
      </c>
      <c r="R89">
        <v>2024</v>
      </c>
      <c r="S89">
        <v>3</v>
      </c>
    </row>
    <row r="90" spans="1:19" x14ac:dyDescent="0.3">
      <c r="A90" t="s">
        <v>137</v>
      </c>
      <c r="B90" s="2">
        <v>45354</v>
      </c>
      <c r="C90" t="s">
        <v>33</v>
      </c>
      <c r="D90" t="s">
        <v>34</v>
      </c>
      <c r="E90" t="s">
        <v>42</v>
      </c>
      <c r="F90" t="s">
        <v>37</v>
      </c>
      <c r="G90" t="s">
        <v>31</v>
      </c>
      <c r="H90" t="s">
        <v>133</v>
      </c>
      <c r="I90">
        <v>3</v>
      </c>
      <c r="J90" s="3">
        <v>39910</v>
      </c>
      <c r="K90" s="4">
        <v>15</v>
      </c>
      <c r="L90" s="3">
        <v>119730</v>
      </c>
      <c r="M90" s="3">
        <v>17959.5</v>
      </c>
      <c r="N90" s="3">
        <v>101770.5</v>
      </c>
      <c r="O90" s="3">
        <v>74719.25</v>
      </c>
      <c r="P90" s="3">
        <v>27051.25</v>
      </c>
      <c r="Q90" t="s">
        <v>131</v>
      </c>
      <c r="R90">
        <v>2024</v>
      </c>
      <c r="S90">
        <v>3</v>
      </c>
    </row>
    <row r="91" spans="1:19" x14ac:dyDescent="0.3">
      <c r="A91" t="s">
        <v>138</v>
      </c>
      <c r="B91" s="2">
        <v>45354</v>
      </c>
      <c r="C91" t="s">
        <v>50</v>
      </c>
      <c r="D91" t="s">
        <v>34</v>
      </c>
      <c r="E91" t="s">
        <v>42</v>
      </c>
      <c r="F91" t="s">
        <v>40</v>
      </c>
      <c r="G91" t="s">
        <v>31</v>
      </c>
      <c r="H91" t="s">
        <v>133</v>
      </c>
      <c r="I91">
        <v>1</v>
      </c>
      <c r="J91" s="3">
        <v>17133</v>
      </c>
      <c r="K91" s="4">
        <v>5</v>
      </c>
      <c r="L91" s="3">
        <v>17133</v>
      </c>
      <c r="M91" s="3">
        <v>856.65</v>
      </c>
      <c r="N91" s="3">
        <v>16276.35</v>
      </c>
      <c r="O91" s="3">
        <v>8231.32</v>
      </c>
      <c r="P91" s="3">
        <v>8045.03</v>
      </c>
      <c r="Q91" t="s">
        <v>131</v>
      </c>
      <c r="R91">
        <v>2024</v>
      </c>
      <c r="S91">
        <v>3</v>
      </c>
    </row>
    <row r="92" spans="1:19" x14ac:dyDescent="0.3">
      <c r="A92" t="s">
        <v>139</v>
      </c>
      <c r="B92" s="2">
        <v>45356</v>
      </c>
      <c r="C92" t="s">
        <v>64</v>
      </c>
      <c r="D92" t="s">
        <v>29</v>
      </c>
      <c r="E92" t="s">
        <v>42</v>
      </c>
      <c r="F92" t="s">
        <v>30</v>
      </c>
      <c r="G92" t="s">
        <v>24</v>
      </c>
      <c r="H92" t="s">
        <v>25</v>
      </c>
      <c r="I92">
        <v>1</v>
      </c>
      <c r="J92" s="3">
        <v>30822</v>
      </c>
      <c r="K92" s="4">
        <v>0</v>
      </c>
      <c r="L92" s="3">
        <v>30822</v>
      </c>
      <c r="M92" s="3">
        <v>0</v>
      </c>
      <c r="N92" s="3">
        <v>30822</v>
      </c>
      <c r="O92" s="3">
        <v>20214.72</v>
      </c>
      <c r="P92" s="3">
        <v>10607.28</v>
      </c>
      <c r="Q92" t="s">
        <v>131</v>
      </c>
      <c r="R92">
        <v>2024</v>
      </c>
      <c r="S92">
        <v>3</v>
      </c>
    </row>
    <row r="93" spans="1:19" x14ac:dyDescent="0.3">
      <c r="A93" t="s">
        <v>140</v>
      </c>
      <c r="B93" s="2">
        <v>45358</v>
      </c>
      <c r="C93" t="s">
        <v>28</v>
      </c>
      <c r="D93" t="s">
        <v>29</v>
      </c>
      <c r="E93" t="s">
        <v>42</v>
      </c>
      <c r="F93" t="s">
        <v>23</v>
      </c>
      <c r="G93" t="s">
        <v>31</v>
      </c>
      <c r="H93" t="s">
        <v>25</v>
      </c>
      <c r="I93">
        <v>1</v>
      </c>
      <c r="J93" s="3">
        <v>64023</v>
      </c>
      <c r="K93" s="4">
        <v>0</v>
      </c>
      <c r="L93" s="3">
        <v>64023</v>
      </c>
      <c r="M93" s="3">
        <v>0</v>
      </c>
      <c r="N93" s="3">
        <v>64023</v>
      </c>
      <c r="O93" s="3">
        <v>38117.800000000003</v>
      </c>
      <c r="P93" s="3">
        <v>25905.200000000001</v>
      </c>
      <c r="Q93" t="s">
        <v>131</v>
      </c>
      <c r="R93">
        <v>2024</v>
      </c>
      <c r="S93">
        <v>3</v>
      </c>
    </row>
    <row r="94" spans="1:19" x14ac:dyDescent="0.3">
      <c r="A94" t="s">
        <v>141</v>
      </c>
      <c r="B94" s="2">
        <v>45360</v>
      </c>
      <c r="C94" t="s">
        <v>28</v>
      </c>
      <c r="D94" t="s">
        <v>29</v>
      </c>
      <c r="E94" t="s">
        <v>56</v>
      </c>
      <c r="F94" t="s">
        <v>40</v>
      </c>
      <c r="G94" t="s">
        <v>31</v>
      </c>
      <c r="H94" t="s">
        <v>25</v>
      </c>
      <c r="I94">
        <v>1</v>
      </c>
      <c r="J94" s="3">
        <v>67123</v>
      </c>
      <c r="K94" s="4">
        <v>0</v>
      </c>
      <c r="L94" s="3">
        <v>67123</v>
      </c>
      <c r="M94" s="3">
        <v>0</v>
      </c>
      <c r="N94" s="3">
        <v>0</v>
      </c>
      <c r="O94" s="3">
        <v>32350.32</v>
      </c>
      <c r="P94" s="3">
        <v>0</v>
      </c>
      <c r="Q94" t="s">
        <v>131</v>
      </c>
      <c r="R94">
        <v>2024</v>
      </c>
      <c r="S94">
        <v>3</v>
      </c>
    </row>
    <row r="95" spans="1:19" x14ac:dyDescent="0.3">
      <c r="A95" t="s">
        <v>142</v>
      </c>
      <c r="B95" s="2">
        <v>45360</v>
      </c>
      <c r="C95" t="s">
        <v>82</v>
      </c>
      <c r="D95" t="s">
        <v>21</v>
      </c>
      <c r="E95" t="s">
        <v>22</v>
      </c>
      <c r="F95" t="s">
        <v>37</v>
      </c>
      <c r="G95" t="s">
        <v>31</v>
      </c>
      <c r="H95" t="s">
        <v>133</v>
      </c>
      <c r="I95">
        <v>2</v>
      </c>
      <c r="J95" s="3">
        <v>42506</v>
      </c>
      <c r="K95" s="4">
        <v>20</v>
      </c>
      <c r="L95" s="3">
        <v>85012</v>
      </c>
      <c r="M95" s="3">
        <v>17002.400000000001</v>
      </c>
      <c r="N95" s="3">
        <v>68009.600000000006</v>
      </c>
      <c r="O95" s="3">
        <v>48178.1</v>
      </c>
      <c r="P95" s="3">
        <v>19831.5</v>
      </c>
      <c r="Q95" t="s">
        <v>131</v>
      </c>
      <c r="R95">
        <v>2024</v>
      </c>
      <c r="S95">
        <v>3</v>
      </c>
    </row>
    <row r="96" spans="1:19" x14ac:dyDescent="0.3">
      <c r="A96" t="s">
        <v>143</v>
      </c>
      <c r="B96" s="2">
        <v>45360</v>
      </c>
      <c r="C96" t="s">
        <v>48</v>
      </c>
      <c r="D96" t="s">
        <v>34</v>
      </c>
      <c r="E96" t="s">
        <v>22</v>
      </c>
      <c r="F96" t="s">
        <v>40</v>
      </c>
      <c r="G96" t="s">
        <v>24</v>
      </c>
      <c r="H96" t="s">
        <v>133</v>
      </c>
      <c r="I96">
        <v>1</v>
      </c>
      <c r="J96" s="3">
        <v>24560</v>
      </c>
      <c r="K96" s="4">
        <v>10</v>
      </c>
      <c r="L96" s="3">
        <v>24560</v>
      </c>
      <c r="M96" s="3">
        <v>2456</v>
      </c>
      <c r="N96" s="3">
        <v>22104</v>
      </c>
      <c r="O96" s="3">
        <v>16353.33</v>
      </c>
      <c r="P96" s="3">
        <v>5750.67</v>
      </c>
      <c r="Q96" t="s">
        <v>131</v>
      </c>
      <c r="R96">
        <v>2024</v>
      </c>
      <c r="S96">
        <v>3</v>
      </c>
    </row>
    <row r="97" spans="1:19" x14ac:dyDescent="0.3">
      <c r="A97" t="s">
        <v>144</v>
      </c>
      <c r="B97" s="2">
        <v>45364</v>
      </c>
      <c r="C97" t="s">
        <v>64</v>
      </c>
      <c r="D97" t="s">
        <v>29</v>
      </c>
      <c r="E97" t="s">
        <v>56</v>
      </c>
      <c r="F97" t="s">
        <v>40</v>
      </c>
      <c r="G97" t="s">
        <v>24</v>
      </c>
      <c r="H97" t="s">
        <v>133</v>
      </c>
      <c r="I97">
        <v>4</v>
      </c>
      <c r="J97" s="3">
        <v>29121</v>
      </c>
      <c r="K97" s="4">
        <v>15</v>
      </c>
      <c r="L97" s="3">
        <v>116484</v>
      </c>
      <c r="M97" s="3">
        <v>17472.599999999999</v>
      </c>
      <c r="N97" s="3">
        <v>99011.4</v>
      </c>
      <c r="O97" s="3">
        <v>61801.96</v>
      </c>
      <c r="P97" s="3">
        <v>37209.440000000002</v>
      </c>
      <c r="Q97" t="s">
        <v>131</v>
      </c>
      <c r="R97">
        <v>2024</v>
      </c>
      <c r="S97">
        <v>3</v>
      </c>
    </row>
    <row r="98" spans="1:19" x14ac:dyDescent="0.3">
      <c r="A98" t="s">
        <v>145</v>
      </c>
      <c r="B98" s="2">
        <v>45366</v>
      </c>
      <c r="C98" t="s">
        <v>46</v>
      </c>
      <c r="D98" t="s">
        <v>21</v>
      </c>
      <c r="E98" t="s">
        <v>44</v>
      </c>
      <c r="F98" t="s">
        <v>35</v>
      </c>
      <c r="G98" t="s">
        <v>31</v>
      </c>
      <c r="H98" t="s">
        <v>133</v>
      </c>
      <c r="I98">
        <v>3</v>
      </c>
      <c r="J98" s="3">
        <v>12381</v>
      </c>
      <c r="K98" s="4">
        <v>5</v>
      </c>
      <c r="L98" s="3">
        <v>37143</v>
      </c>
      <c r="M98" s="3">
        <v>1857.15</v>
      </c>
      <c r="N98" s="3">
        <v>35285.85</v>
      </c>
      <c r="O98" s="3">
        <v>20280.91</v>
      </c>
      <c r="P98" s="3">
        <v>15004.94</v>
      </c>
      <c r="Q98" t="s">
        <v>131</v>
      </c>
      <c r="R98">
        <v>2024</v>
      </c>
      <c r="S98">
        <v>3</v>
      </c>
    </row>
    <row r="99" spans="1:19" x14ac:dyDescent="0.3">
      <c r="A99" t="s">
        <v>146</v>
      </c>
      <c r="B99" s="2">
        <v>45366</v>
      </c>
      <c r="C99" t="s">
        <v>64</v>
      </c>
      <c r="D99" t="s">
        <v>29</v>
      </c>
      <c r="E99" t="s">
        <v>42</v>
      </c>
      <c r="F99" t="s">
        <v>30</v>
      </c>
      <c r="G99" t="s">
        <v>31</v>
      </c>
      <c r="H99" t="s">
        <v>25</v>
      </c>
      <c r="I99">
        <v>4</v>
      </c>
      <c r="J99" s="3">
        <v>28410</v>
      </c>
      <c r="K99" s="4">
        <v>0</v>
      </c>
      <c r="L99" s="3">
        <v>113640</v>
      </c>
      <c r="M99" s="3">
        <v>0</v>
      </c>
      <c r="N99" s="3">
        <v>113640</v>
      </c>
      <c r="O99" s="3">
        <v>72030.73</v>
      </c>
      <c r="P99" s="3">
        <v>41609.269999999997</v>
      </c>
      <c r="Q99" t="s">
        <v>131</v>
      </c>
      <c r="R99">
        <v>2024</v>
      </c>
      <c r="S99">
        <v>3</v>
      </c>
    </row>
    <row r="100" spans="1:19" x14ac:dyDescent="0.3">
      <c r="A100" t="s">
        <v>147</v>
      </c>
      <c r="B100" s="2">
        <v>45366</v>
      </c>
      <c r="C100" t="s">
        <v>46</v>
      </c>
      <c r="D100" t="s">
        <v>21</v>
      </c>
      <c r="E100" t="s">
        <v>56</v>
      </c>
      <c r="F100" t="s">
        <v>35</v>
      </c>
      <c r="G100" t="s">
        <v>31</v>
      </c>
      <c r="H100" t="s">
        <v>25</v>
      </c>
      <c r="I100">
        <v>3</v>
      </c>
      <c r="J100" s="3">
        <v>11828</v>
      </c>
      <c r="K100" s="4">
        <v>15</v>
      </c>
      <c r="L100" s="3">
        <v>35484</v>
      </c>
      <c r="M100" s="3">
        <v>5322.6</v>
      </c>
      <c r="N100" s="3">
        <v>30161.4</v>
      </c>
      <c r="O100" s="3">
        <v>23392.87</v>
      </c>
      <c r="P100" s="3">
        <v>6768.53</v>
      </c>
      <c r="Q100" t="s">
        <v>131</v>
      </c>
      <c r="R100">
        <v>2024</v>
      </c>
      <c r="S100">
        <v>3</v>
      </c>
    </row>
    <row r="101" spans="1:19" x14ac:dyDescent="0.3">
      <c r="A101" t="s">
        <v>148</v>
      </c>
      <c r="B101" s="2">
        <v>45366</v>
      </c>
      <c r="C101" t="s">
        <v>33</v>
      </c>
      <c r="D101" t="s">
        <v>34</v>
      </c>
      <c r="E101" t="s">
        <v>44</v>
      </c>
      <c r="F101" t="s">
        <v>23</v>
      </c>
      <c r="G101" t="s">
        <v>31</v>
      </c>
      <c r="H101" t="s">
        <v>25</v>
      </c>
      <c r="I101">
        <v>2</v>
      </c>
      <c r="J101" s="3">
        <v>44438</v>
      </c>
      <c r="K101" s="4">
        <v>0</v>
      </c>
      <c r="L101" s="3">
        <v>88876</v>
      </c>
      <c r="M101" s="3">
        <v>0</v>
      </c>
      <c r="N101" s="3">
        <v>88876</v>
      </c>
      <c r="O101" s="3">
        <v>56489.31</v>
      </c>
      <c r="P101" s="3">
        <v>32386.69</v>
      </c>
      <c r="Q101" t="s">
        <v>131</v>
      </c>
      <c r="R101">
        <v>2024</v>
      </c>
      <c r="S101">
        <v>3</v>
      </c>
    </row>
    <row r="102" spans="1:19" x14ac:dyDescent="0.3">
      <c r="A102" t="s">
        <v>149</v>
      </c>
      <c r="B102" s="2">
        <v>45367</v>
      </c>
      <c r="C102" t="s">
        <v>20</v>
      </c>
      <c r="D102" t="s">
        <v>21</v>
      </c>
      <c r="E102" t="s">
        <v>22</v>
      </c>
      <c r="F102" t="s">
        <v>37</v>
      </c>
      <c r="G102" t="s">
        <v>24</v>
      </c>
      <c r="H102" t="s">
        <v>133</v>
      </c>
      <c r="I102">
        <v>1</v>
      </c>
      <c r="J102" s="3">
        <v>14707</v>
      </c>
      <c r="K102" s="4">
        <v>15</v>
      </c>
      <c r="L102" s="3">
        <v>14707</v>
      </c>
      <c r="M102" s="3">
        <v>2206.0500000000002</v>
      </c>
      <c r="N102" s="3">
        <v>12500.95</v>
      </c>
      <c r="O102" s="3">
        <v>8430.7999999999993</v>
      </c>
      <c r="P102" s="3">
        <v>4070.15</v>
      </c>
      <c r="Q102" t="s">
        <v>131</v>
      </c>
      <c r="R102">
        <v>2024</v>
      </c>
      <c r="S102">
        <v>3</v>
      </c>
    </row>
    <row r="103" spans="1:19" x14ac:dyDescent="0.3">
      <c r="A103" t="s">
        <v>150</v>
      </c>
      <c r="B103" s="2">
        <v>45369</v>
      </c>
      <c r="C103" t="s">
        <v>33</v>
      </c>
      <c r="D103" t="s">
        <v>34</v>
      </c>
      <c r="E103" t="s">
        <v>22</v>
      </c>
      <c r="F103" t="s">
        <v>40</v>
      </c>
      <c r="G103" t="s">
        <v>24</v>
      </c>
      <c r="H103" t="s">
        <v>133</v>
      </c>
      <c r="I103">
        <v>3</v>
      </c>
      <c r="J103" s="3">
        <v>40429</v>
      </c>
      <c r="K103" s="4">
        <v>5</v>
      </c>
      <c r="L103" s="3">
        <v>121287</v>
      </c>
      <c r="M103" s="3">
        <v>6064.35</v>
      </c>
      <c r="N103" s="3">
        <v>115222.65</v>
      </c>
      <c r="O103" s="3">
        <v>68404.38</v>
      </c>
      <c r="P103" s="3">
        <v>46818.27</v>
      </c>
      <c r="Q103" t="s">
        <v>131</v>
      </c>
      <c r="R103">
        <v>2024</v>
      </c>
      <c r="S103">
        <v>3</v>
      </c>
    </row>
    <row r="104" spans="1:19" x14ac:dyDescent="0.3">
      <c r="A104" t="s">
        <v>151</v>
      </c>
      <c r="B104" s="2">
        <v>45369</v>
      </c>
      <c r="C104" t="s">
        <v>64</v>
      </c>
      <c r="D104" t="s">
        <v>29</v>
      </c>
      <c r="E104" t="s">
        <v>22</v>
      </c>
      <c r="F104" t="s">
        <v>40</v>
      </c>
      <c r="G104" t="s">
        <v>24</v>
      </c>
      <c r="H104" t="s">
        <v>133</v>
      </c>
      <c r="I104">
        <v>2</v>
      </c>
      <c r="J104" s="3">
        <v>30408</v>
      </c>
      <c r="K104" s="4">
        <v>10</v>
      </c>
      <c r="L104" s="3">
        <v>60816</v>
      </c>
      <c r="M104" s="3">
        <v>6081.6</v>
      </c>
      <c r="N104" s="3">
        <v>54734.400000000001</v>
      </c>
      <c r="O104" s="3">
        <v>35220.870000000003</v>
      </c>
      <c r="P104" s="3">
        <v>19513.53</v>
      </c>
      <c r="Q104" t="s">
        <v>131</v>
      </c>
      <c r="R104">
        <v>2024</v>
      </c>
      <c r="S104">
        <v>3</v>
      </c>
    </row>
    <row r="105" spans="1:19" x14ac:dyDescent="0.3">
      <c r="A105" t="s">
        <v>152</v>
      </c>
      <c r="B105" s="2">
        <v>45371</v>
      </c>
      <c r="C105" t="s">
        <v>75</v>
      </c>
      <c r="D105" t="s">
        <v>34</v>
      </c>
      <c r="E105" t="s">
        <v>42</v>
      </c>
      <c r="F105" t="s">
        <v>37</v>
      </c>
      <c r="G105" t="s">
        <v>31</v>
      </c>
      <c r="H105" t="s">
        <v>133</v>
      </c>
      <c r="I105">
        <v>3</v>
      </c>
      <c r="J105" s="3">
        <v>38453</v>
      </c>
      <c r="K105" s="4">
        <v>10</v>
      </c>
      <c r="L105" s="3">
        <v>115359</v>
      </c>
      <c r="M105" s="3">
        <v>11535.9</v>
      </c>
      <c r="N105" s="3">
        <v>103823.1</v>
      </c>
      <c r="O105" s="3">
        <v>67214.16</v>
      </c>
      <c r="P105" s="3">
        <v>36608.94</v>
      </c>
      <c r="Q105" t="s">
        <v>131</v>
      </c>
      <c r="R105">
        <v>2024</v>
      </c>
      <c r="S105">
        <v>3</v>
      </c>
    </row>
    <row r="106" spans="1:19" x14ac:dyDescent="0.3">
      <c r="A106" t="s">
        <v>153</v>
      </c>
      <c r="B106" s="2">
        <v>45372</v>
      </c>
      <c r="C106" t="s">
        <v>50</v>
      </c>
      <c r="D106" t="s">
        <v>34</v>
      </c>
      <c r="E106" t="s">
        <v>22</v>
      </c>
      <c r="F106" t="s">
        <v>40</v>
      </c>
      <c r="G106" t="s">
        <v>31</v>
      </c>
      <c r="H106" t="s">
        <v>133</v>
      </c>
      <c r="I106">
        <v>2</v>
      </c>
      <c r="J106" s="3">
        <v>18863</v>
      </c>
      <c r="K106" s="4">
        <v>10</v>
      </c>
      <c r="L106" s="3">
        <v>37726</v>
      </c>
      <c r="M106" s="3">
        <v>3772.6</v>
      </c>
      <c r="N106" s="3">
        <v>33953.4</v>
      </c>
      <c r="O106" s="3">
        <v>21325.14</v>
      </c>
      <c r="P106" s="3">
        <v>12628.26</v>
      </c>
      <c r="Q106" t="s">
        <v>131</v>
      </c>
      <c r="R106">
        <v>2024</v>
      </c>
      <c r="S106">
        <v>3</v>
      </c>
    </row>
    <row r="107" spans="1:19" x14ac:dyDescent="0.3">
      <c r="A107" t="s">
        <v>154</v>
      </c>
      <c r="B107" s="2">
        <v>45373</v>
      </c>
      <c r="C107" t="s">
        <v>33</v>
      </c>
      <c r="D107" t="s">
        <v>34</v>
      </c>
      <c r="E107" t="s">
        <v>44</v>
      </c>
      <c r="F107" t="s">
        <v>23</v>
      </c>
      <c r="G107" t="s">
        <v>31</v>
      </c>
      <c r="H107" t="s">
        <v>133</v>
      </c>
      <c r="I107">
        <v>2</v>
      </c>
      <c r="J107" s="3">
        <v>38764</v>
      </c>
      <c r="K107" s="4">
        <v>10</v>
      </c>
      <c r="L107" s="3">
        <v>77528</v>
      </c>
      <c r="M107" s="3">
        <v>7752.8</v>
      </c>
      <c r="N107" s="3">
        <v>69775.199999999997</v>
      </c>
      <c r="O107" s="3">
        <v>40731.67</v>
      </c>
      <c r="P107" s="3">
        <v>29043.53</v>
      </c>
      <c r="Q107" t="s">
        <v>131</v>
      </c>
      <c r="R107">
        <v>2024</v>
      </c>
      <c r="S107">
        <v>3</v>
      </c>
    </row>
    <row r="108" spans="1:19" x14ac:dyDescent="0.3">
      <c r="A108" t="s">
        <v>155</v>
      </c>
      <c r="B108" s="2">
        <v>45374</v>
      </c>
      <c r="C108" t="s">
        <v>20</v>
      </c>
      <c r="D108" t="s">
        <v>21</v>
      </c>
      <c r="E108" t="s">
        <v>22</v>
      </c>
      <c r="F108" t="s">
        <v>35</v>
      </c>
      <c r="G108" t="s">
        <v>31</v>
      </c>
      <c r="H108" t="s">
        <v>25</v>
      </c>
      <c r="I108">
        <v>1</v>
      </c>
      <c r="J108" s="3">
        <v>16009</v>
      </c>
      <c r="K108" s="4">
        <v>0</v>
      </c>
      <c r="L108" s="3">
        <v>16009</v>
      </c>
      <c r="M108" s="3">
        <v>0</v>
      </c>
      <c r="N108" s="3">
        <v>16009</v>
      </c>
      <c r="O108" s="3">
        <v>9415.06</v>
      </c>
      <c r="P108" s="3">
        <v>6593.94</v>
      </c>
      <c r="Q108" t="s">
        <v>131</v>
      </c>
      <c r="R108">
        <v>2024</v>
      </c>
      <c r="S108">
        <v>3</v>
      </c>
    </row>
    <row r="109" spans="1:19" x14ac:dyDescent="0.3">
      <c r="A109" t="s">
        <v>156</v>
      </c>
      <c r="B109" s="2">
        <v>45377</v>
      </c>
      <c r="C109" t="s">
        <v>20</v>
      </c>
      <c r="D109" t="s">
        <v>21</v>
      </c>
      <c r="E109" t="s">
        <v>44</v>
      </c>
      <c r="F109" t="s">
        <v>40</v>
      </c>
      <c r="G109" t="s">
        <v>24</v>
      </c>
      <c r="H109" t="s">
        <v>133</v>
      </c>
      <c r="I109">
        <v>5</v>
      </c>
      <c r="J109" s="3">
        <v>15496</v>
      </c>
      <c r="K109" s="4">
        <v>15</v>
      </c>
      <c r="L109" s="3">
        <v>77480</v>
      </c>
      <c r="M109" s="3">
        <v>11622</v>
      </c>
      <c r="N109" s="3">
        <v>65858</v>
      </c>
      <c r="O109" s="3">
        <v>43576.25</v>
      </c>
      <c r="P109" s="3">
        <v>22281.75</v>
      </c>
      <c r="Q109" t="s">
        <v>131</v>
      </c>
      <c r="R109">
        <v>2024</v>
      </c>
      <c r="S109">
        <v>3</v>
      </c>
    </row>
    <row r="110" spans="1:19" x14ac:dyDescent="0.3">
      <c r="A110" t="s">
        <v>157</v>
      </c>
      <c r="B110" s="2">
        <v>45378</v>
      </c>
      <c r="C110" t="s">
        <v>48</v>
      </c>
      <c r="D110" t="s">
        <v>34</v>
      </c>
      <c r="E110" t="s">
        <v>22</v>
      </c>
      <c r="F110" t="s">
        <v>40</v>
      </c>
      <c r="G110" t="s">
        <v>24</v>
      </c>
      <c r="H110" t="s">
        <v>25</v>
      </c>
      <c r="I110">
        <v>3</v>
      </c>
      <c r="J110" s="3">
        <v>24492</v>
      </c>
      <c r="K110" s="4">
        <v>5</v>
      </c>
      <c r="L110" s="3">
        <v>73476</v>
      </c>
      <c r="M110" s="3">
        <v>3673.8</v>
      </c>
      <c r="N110" s="3">
        <v>69802.2</v>
      </c>
      <c r="O110" s="3">
        <v>43474.05</v>
      </c>
      <c r="P110" s="3">
        <v>26328.15</v>
      </c>
      <c r="Q110" t="s">
        <v>131</v>
      </c>
      <c r="R110">
        <v>2024</v>
      </c>
      <c r="S110">
        <v>3</v>
      </c>
    </row>
    <row r="111" spans="1:19" x14ac:dyDescent="0.3">
      <c r="A111" t="s">
        <v>158</v>
      </c>
      <c r="B111" s="2">
        <v>45379</v>
      </c>
      <c r="C111" t="s">
        <v>71</v>
      </c>
      <c r="D111" t="s">
        <v>34</v>
      </c>
      <c r="E111" t="s">
        <v>42</v>
      </c>
      <c r="F111" t="s">
        <v>23</v>
      </c>
      <c r="G111" t="s">
        <v>24</v>
      </c>
      <c r="H111" t="s">
        <v>25</v>
      </c>
      <c r="I111">
        <v>2</v>
      </c>
      <c r="J111" s="3">
        <v>50755</v>
      </c>
      <c r="K111" s="4">
        <v>0</v>
      </c>
      <c r="L111" s="3">
        <v>101510</v>
      </c>
      <c r="M111" s="3">
        <v>0</v>
      </c>
      <c r="N111" s="3">
        <v>101510</v>
      </c>
      <c r="O111" s="3">
        <v>50057.14</v>
      </c>
      <c r="P111" s="3">
        <v>51452.86</v>
      </c>
      <c r="Q111" t="s">
        <v>131</v>
      </c>
      <c r="R111">
        <v>2024</v>
      </c>
      <c r="S111">
        <v>3</v>
      </c>
    </row>
    <row r="112" spans="1:19" x14ac:dyDescent="0.3">
      <c r="A112" t="s">
        <v>159</v>
      </c>
      <c r="B112" s="2">
        <v>45380</v>
      </c>
      <c r="C112" t="s">
        <v>75</v>
      </c>
      <c r="D112" t="s">
        <v>34</v>
      </c>
      <c r="E112" t="s">
        <v>42</v>
      </c>
      <c r="F112" t="s">
        <v>23</v>
      </c>
      <c r="G112" t="s">
        <v>24</v>
      </c>
      <c r="H112" t="s">
        <v>133</v>
      </c>
      <c r="I112">
        <v>2</v>
      </c>
      <c r="J112" s="3">
        <v>40773</v>
      </c>
      <c r="K112" s="4">
        <v>15</v>
      </c>
      <c r="L112" s="3">
        <v>81546</v>
      </c>
      <c r="M112" s="3">
        <v>12231.9</v>
      </c>
      <c r="N112" s="3">
        <v>0</v>
      </c>
      <c r="O112" s="3">
        <v>43185.66</v>
      </c>
      <c r="P112" s="3">
        <v>0</v>
      </c>
      <c r="Q112" t="s">
        <v>131</v>
      </c>
      <c r="R112">
        <v>2024</v>
      </c>
      <c r="S112">
        <v>3</v>
      </c>
    </row>
    <row r="113" spans="1:19" x14ac:dyDescent="0.3">
      <c r="A113" t="s">
        <v>160</v>
      </c>
      <c r="B113" s="2">
        <v>45381</v>
      </c>
      <c r="C113" t="s">
        <v>82</v>
      </c>
      <c r="D113" t="s">
        <v>21</v>
      </c>
      <c r="E113" t="s">
        <v>22</v>
      </c>
      <c r="F113" t="s">
        <v>37</v>
      </c>
      <c r="G113" t="s">
        <v>31</v>
      </c>
      <c r="H113" t="s">
        <v>133</v>
      </c>
      <c r="I113">
        <v>4</v>
      </c>
      <c r="J113" s="3">
        <v>41405</v>
      </c>
      <c r="K113" s="4">
        <v>20</v>
      </c>
      <c r="L113" s="3">
        <v>165620</v>
      </c>
      <c r="M113" s="3">
        <v>33124</v>
      </c>
      <c r="N113" s="3">
        <v>132496</v>
      </c>
      <c r="O113" s="3">
        <v>103323.71</v>
      </c>
      <c r="P113" s="3">
        <v>29172.29</v>
      </c>
      <c r="Q113" t="s">
        <v>131</v>
      </c>
      <c r="R113">
        <v>2024</v>
      </c>
      <c r="S113">
        <v>3</v>
      </c>
    </row>
    <row r="114" spans="1:19" x14ac:dyDescent="0.3">
      <c r="A114" t="s">
        <v>161</v>
      </c>
      <c r="B114" s="2">
        <v>45381</v>
      </c>
      <c r="C114" t="s">
        <v>46</v>
      </c>
      <c r="D114" t="s">
        <v>21</v>
      </c>
      <c r="E114" t="s">
        <v>22</v>
      </c>
      <c r="F114" t="s">
        <v>35</v>
      </c>
      <c r="G114" t="s">
        <v>31</v>
      </c>
      <c r="H114" t="s">
        <v>25</v>
      </c>
      <c r="I114">
        <v>1</v>
      </c>
      <c r="J114" s="3">
        <v>12222</v>
      </c>
      <c r="K114" s="4">
        <v>0</v>
      </c>
      <c r="L114" s="3">
        <v>12222</v>
      </c>
      <c r="M114" s="3">
        <v>0</v>
      </c>
      <c r="N114" s="3">
        <v>12222</v>
      </c>
      <c r="O114" s="3">
        <v>6854.46</v>
      </c>
      <c r="P114" s="3">
        <v>5367.54</v>
      </c>
      <c r="Q114" t="s">
        <v>131</v>
      </c>
      <c r="R114">
        <v>2024</v>
      </c>
      <c r="S114">
        <v>3</v>
      </c>
    </row>
    <row r="115" spans="1:19" x14ac:dyDescent="0.3">
      <c r="A115" t="s">
        <v>162</v>
      </c>
      <c r="B115" s="2">
        <v>45381</v>
      </c>
      <c r="C115" t="s">
        <v>20</v>
      </c>
      <c r="D115" t="s">
        <v>21</v>
      </c>
      <c r="E115" t="s">
        <v>42</v>
      </c>
      <c r="F115" t="s">
        <v>37</v>
      </c>
      <c r="G115" t="s">
        <v>24</v>
      </c>
      <c r="H115" t="s">
        <v>133</v>
      </c>
      <c r="I115">
        <v>2</v>
      </c>
      <c r="J115" s="3">
        <v>15021</v>
      </c>
      <c r="K115" s="4">
        <v>15</v>
      </c>
      <c r="L115" s="3">
        <v>30042</v>
      </c>
      <c r="M115" s="3">
        <v>4506.3</v>
      </c>
      <c r="N115" s="3">
        <v>25535.7</v>
      </c>
      <c r="O115" s="3">
        <v>19623.650000000001</v>
      </c>
      <c r="P115" s="3">
        <v>5912.05</v>
      </c>
      <c r="Q115" t="s">
        <v>131</v>
      </c>
      <c r="R115">
        <v>2024</v>
      </c>
      <c r="S115">
        <v>3</v>
      </c>
    </row>
    <row r="116" spans="1:19" x14ac:dyDescent="0.3">
      <c r="A116" t="s">
        <v>163</v>
      </c>
      <c r="B116" s="2">
        <v>45382</v>
      </c>
      <c r="C116" t="s">
        <v>46</v>
      </c>
      <c r="D116" t="s">
        <v>21</v>
      </c>
      <c r="E116" t="s">
        <v>22</v>
      </c>
      <c r="F116" t="s">
        <v>40</v>
      </c>
      <c r="G116" t="s">
        <v>31</v>
      </c>
      <c r="H116" t="s">
        <v>25</v>
      </c>
      <c r="I116">
        <v>2</v>
      </c>
      <c r="J116" s="3">
        <v>12695</v>
      </c>
      <c r="K116" s="4">
        <v>0</v>
      </c>
      <c r="L116" s="3">
        <v>25390</v>
      </c>
      <c r="M116" s="3">
        <v>0</v>
      </c>
      <c r="N116" s="3">
        <v>25390</v>
      </c>
      <c r="O116" s="3">
        <v>17183.48</v>
      </c>
      <c r="P116" s="3">
        <v>8206.52</v>
      </c>
      <c r="Q116" t="s">
        <v>131</v>
      </c>
      <c r="R116">
        <v>2024</v>
      </c>
      <c r="S116">
        <v>3</v>
      </c>
    </row>
    <row r="117" spans="1:19" x14ac:dyDescent="0.3">
      <c r="A117" t="s">
        <v>164</v>
      </c>
      <c r="B117" s="2">
        <v>45383</v>
      </c>
      <c r="C117" t="s">
        <v>82</v>
      </c>
      <c r="D117" t="s">
        <v>21</v>
      </c>
      <c r="E117" t="s">
        <v>22</v>
      </c>
      <c r="F117" t="s">
        <v>35</v>
      </c>
      <c r="G117" t="s">
        <v>31</v>
      </c>
      <c r="H117" t="s">
        <v>25</v>
      </c>
      <c r="I117">
        <v>1</v>
      </c>
      <c r="J117" s="3">
        <v>44881</v>
      </c>
      <c r="K117" s="4">
        <v>0</v>
      </c>
      <c r="L117" s="3">
        <v>44881</v>
      </c>
      <c r="M117" s="3">
        <v>0</v>
      </c>
      <c r="N117" s="3">
        <v>44881</v>
      </c>
      <c r="O117" s="3">
        <v>26481.82</v>
      </c>
      <c r="P117" s="3">
        <v>18399.18</v>
      </c>
      <c r="Q117" t="s">
        <v>165</v>
      </c>
      <c r="R117">
        <v>2024</v>
      </c>
      <c r="S117">
        <v>4</v>
      </c>
    </row>
    <row r="118" spans="1:19" x14ac:dyDescent="0.3">
      <c r="A118" t="s">
        <v>166</v>
      </c>
      <c r="B118" s="2">
        <v>45384</v>
      </c>
      <c r="C118" t="s">
        <v>46</v>
      </c>
      <c r="D118" t="s">
        <v>21</v>
      </c>
      <c r="E118" t="s">
        <v>44</v>
      </c>
      <c r="F118" t="s">
        <v>40</v>
      </c>
      <c r="G118" t="s">
        <v>24</v>
      </c>
      <c r="H118" t="s">
        <v>133</v>
      </c>
      <c r="I118">
        <v>3</v>
      </c>
      <c r="J118" s="3">
        <v>12688</v>
      </c>
      <c r="K118" s="4">
        <v>10</v>
      </c>
      <c r="L118" s="3">
        <v>38064</v>
      </c>
      <c r="M118" s="3">
        <v>3806.4</v>
      </c>
      <c r="N118" s="3">
        <v>34257.599999999999</v>
      </c>
      <c r="O118" s="3">
        <v>21329.65</v>
      </c>
      <c r="P118" s="3">
        <v>12927.95</v>
      </c>
      <c r="Q118" t="s">
        <v>165</v>
      </c>
      <c r="R118">
        <v>2024</v>
      </c>
      <c r="S118">
        <v>4</v>
      </c>
    </row>
    <row r="119" spans="1:19" x14ac:dyDescent="0.3">
      <c r="A119" t="s">
        <v>167</v>
      </c>
      <c r="B119" s="2">
        <v>45385</v>
      </c>
      <c r="C119" t="s">
        <v>64</v>
      </c>
      <c r="D119" t="s">
        <v>29</v>
      </c>
      <c r="E119" t="s">
        <v>22</v>
      </c>
      <c r="F119" t="s">
        <v>37</v>
      </c>
      <c r="G119" t="s">
        <v>31</v>
      </c>
      <c r="H119" t="s">
        <v>25</v>
      </c>
      <c r="I119">
        <v>1</v>
      </c>
      <c r="J119" s="3">
        <v>27897</v>
      </c>
      <c r="K119" s="4">
        <v>0</v>
      </c>
      <c r="L119" s="3">
        <v>27897</v>
      </c>
      <c r="M119" s="3">
        <v>0</v>
      </c>
      <c r="N119" s="3">
        <v>27897</v>
      </c>
      <c r="O119" s="3">
        <v>16592.39</v>
      </c>
      <c r="P119" s="3">
        <v>11304.61</v>
      </c>
      <c r="Q119" t="s">
        <v>165</v>
      </c>
      <c r="R119">
        <v>2024</v>
      </c>
      <c r="S119">
        <v>4</v>
      </c>
    </row>
    <row r="120" spans="1:19" x14ac:dyDescent="0.3">
      <c r="A120" t="s">
        <v>168</v>
      </c>
      <c r="B120" s="2">
        <v>45386</v>
      </c>
      <c r="C120" t="s">
        <v>46</v>
      </c>
      <c r="D120" t="s">
        <v>21</v>
      </c>
      <c r="E120" t="s">
        <v>22</v>
      </c>
      <c r="F120" t="s">
        <v>40</v>
      </c>
      <c r="G120" t="s">
        <v>24</v>
      </c>
      <c r="H120" t="s">
        <v>25</v>
      </c>
      <c r="I120">
        <v>1</v>
      </c>
      <c r="J120" s="3">
        <v>11689</v>
      </c>
      <c r="K120" s="4">
        <v>0</v>
      </c>
      <c r="L120" s="3">
        <v>11689</v>
      </c>
      <c r="M120" s="3">
        <v>0</v>
      </c>
      <c r="N120" s="3">
        <v>0</v>
      </c>
      <c r="O120" s="3">
        <v>6460.65</v>
      </c>
      <c r="P120" s="3">
        <v>0</v>
      </c>
      <c r="Q120" t="s">
        <v>165</v>
      </c>
      <c r="R120">
        <v>2024</v>
      </c>
      <c r="S120">
        <v>4</v>
      </c>
    </row>
    <row r="121" spans="1:19" x14ac:dyDescent="0.3">
      <c r="A121" t="s">
        <v>169</v>
      </c>
      <c r="B121" s="2">
        <v>45386</v>
      </c>
      <c r="C121" t="s">
        <v>50</v>
      </c>
      <c r="D121" t="s">
        <v>34</v>
      </c>
      <c r="E121" t="s">
        <v>22</v>
      </c>
      <c r="F121" t="s">
        <v>37</v>
      </c>
      <c r="G121" t="s">
        <v>24</v>
      </c>
      <c r="H121" t="s">
        <v>25</v>
      </c>
      <c r="I121">
        <v>1</v>
      </c>
      <c r="J121" s="3">
        <v>18986</v>
      </c>
      <c r="K121" s="4">
        <v>0</v>
      </c>
      <c r="L121" s="3">
        <v>18986</v>
      </c>
      <c r="M121" s="3">
        <v>0</v>
      </c>
      <c r="N121" s="3">
        <v>18986</v>
      </c>
      <c r="O121" s="3">
        <v>11621.22</v>
      </c>
      <c r="P121" s="3">
        <v>7364.78</v>
      </c>
      <c r="Q121" t="s">
        <v>165</v>
      </c>
      <c r="R121">
        <v>2024</v>
      </c>
      <c r="S121">
        <v>4</v>
      </c>
    </row>
    <row r="122" spans="1:19" x14ac:dyDescent="0.3">
      <c r="A122" t="s">
        <v>170</v>
      </c>
      <c r="B122" s="2">
        <v>45386</v>
      </c>
      <c r="C122" t="s">
        <v>82</v>
      </c>
      <c r="D122" t="s">
        <v>21</v>
      </c>
      <c r="E122" t="s">
        <v>42</v>
      </c>
      <c r="F122" t="s">
        <v>30</v>
      </c>
      <c r="G122" t="s">
        <v>24</v>
      </c>
      <c r="H122" t="s">
        <v>133</v>
      </c>
      <c r="I122">
        <v>1</v>
      </c>
      <c r="J122" s="3">
        <v>41757</v>
      </c>
      <c r="K122" s="4">
        <v>15</v>
      </c>
      <c r="L122" s="3">
        <v>41757</v>
      </c>
      <c r="M122" s="3">
        <v>6263.55</v>
      </c>
      <c r="N122" s="3">
        <v>35493.449999999997</v>
      </c>
      <c r="O122" s="3">
        <v>20317.759999999998</v>
      </c>
      <c r="P122" s="3">
        <v>15175.69</v>
      </c>
      <c r="Q122" t="s">
        <v>165</v>
      </c>
      <c r="R122">
        <v>2024</v>
      </c>
      <c r="S122">
        <v>4</v>
      </c>
    </row>
    <row r="123" spans="1:19" x14ac:dyDescent="0.3">
      <c r="A123" t="s">
        <v>171</v>
      </c>
      <c r="B123" s="2">
        <v>45387</v>
      </c>
      <c r="C123" t="s">
        <v>48</v>
      </c>
      <c r="D123" t="s">
        <v>34</v>
      </c>
      <c r="E123" t="s">
        <v>44</v>
      </c>
      <c r="F123" t="s">
        <v>40</v>
      </c>
      <c r="G123" t="s">
        <v>24</v>
      </c>
      <c r="H123" t="s">
        <v>25</v>
      </c>
      <c r="I123">
        <v>1</v>
      </c>
      <c r="J123" s="3">
        <v>24248</v>
      </c>
      <c r="K123" s="4">
        <v>0</v>
      </c>
      <c r="L123" s="3">
        <v>24248</v>
      </c>
      <c r="M123" s="3">
        <v>0</v>
      </c>
      <c r="N123" s="3">
        <v>24248</v>
      </c>
      <c r="O123" s="3">
        <v>15500.78</v>
      </c>
      <c r="P123" s="3">
        <v>8747.2199999999993</v>
      </c>
      <c r="Q123" t="s">
        <v>165</v>
      </c>
      <c r="R123">
        <v>2024</v>
      </c>
      <c r="S123">
        <v>4</v>
      </c>
    </row>
    <row r="124" spans="1:19" x14ac:dyDescent="0.3">
      <c r="A124" t="s">
        <v>172</v>
      </c>
      <c r="B124" s="2">
        <v>45387</v>
      </c>
      <c r="C124" t="s">
        <v>20</v>
      </c>
      <c r="D124" t="s">
        <v>21</v>
      </c>
      <c r="E124" t="s">
        <v>44</v>
      </c>
      <c r="F124" t="s">
        <v>40</v>
      </c>
      <c r="G124" t="s">
        <v>31</v>
      </c>
      <c r="H124" t="s">
        <v>25</v>
      </c>
      <c r="I124">
        <v>2</v>
      </c>
      <c r="J124" s="3">
        <v>15811</v>
      </c>
      <c r="K124" s="4">
        <v>0</v>
      </c>
      <c r="L124" s="3">
        <v>31622</v>
      </c>
      <c r="M124" s="3">
        <v>0</v>
      </c>
      <c r="N124" s="3">
        <v>31622</v>
      </c>
      <c r="O124" s="3">
        <v>17892.88</v>
      </c>
      <c r="P124" s="3">
        <v>13729.12</v>
      </c>
      <c r="Q124" t="s">
        <v>165</v>
      </c>
      <c r="R124">
        <v>2024</v>
      </c>
      <c r="S124">
        <v>4</v>
      </c>
    </row>
    <row r="125" spans="1:19" x14ac:dyDescent="0.3">
      <c r="A125" t="s">
        <v>173</v>
      </c>
      <c r="B125" s="2">
        <v>45387</v>
      </c>
      <c r="C125" t="s">
        <v>64</v>
      </c>
      <c r="D125" t="s">
        <v>29</v>
      </c>
      <c r="E125" t="s">
        <v>22</v>
      </c>
      <c r="F125" t="s">
        <v>37</v>
      </c>
      <c r="G125" t="s">
        <v>24</v>
      </c>
      <c r="H125" t="s">
        <v>25</v>
      </c>
      <c r="I125">
        <v>3</v>
      </c>
      <c r="J125" s="3">
        <v>30439</v>
      </c>
      <c r="K125" s="4">
        <v>0</v>
      </c>
      <c r="L125" s="3">
        <v>91317</v>
      </c>
      <c r="M125" s="3">
        <v>0</v>
      </c>
      <c r="N125" s="3">
        <v>0</v>
      </c>
      <c r="O125" s="3">
        <v>44458.44</v>
      </c>
      <c r="P125" s="3">
        <v>0</v>
      </c>
      <c r="Q125" t="s">
        <v>165</v>
      </c>
      <c r="R125">
        <v>2024</v>
      </c>
      <c r="S125">
        <v>4</v>
      </c>
    </row>
    <row r="126" spans="1:19" x14ac:dyDescent="0.3">
      <c r="A126" t="s">
        <v>174</v>
      </c>
      <c r="B126" s="2">
        <v>45389</v>
      </c>
      <c r="C126" t="s">
        <v>82</v>
      </c>
      <c r="D126" t="s">
        <v>21</v>
      </c>
      <c r="E126" t="s">
        <v>22</v>
      </c>
      <c r="F126" t="s">
        <v>35</v>
      </c>
      <c r="G126" t="s">
        <v>24</v>
      </c>
      <c r="H126" t="s">
        <v>25</v>
      </c>
      <c r="I126">
        <v>2</v>
      </c>
      <c r="J126" s="3">
        <v>42152</v>
      </c>
      <c r="K126" s="4">
        <v>0</v>
      </c>
      <c r="L126" s="3">
        <v>84304</v>
      </c>
      <c r="M126" s="3">
        <v>0</v>
      </c>
      <c r="N126" s="3">
        <v>84304</v>
      </c>
      <c r="O126" s="3">
        <v>45306.81</v>
      </c>
      <c r="P126" s="3">
        <v>38997.19</v>
      </c>
      <c r="Q126" t="s">
        <v>165</v>
      </c>
      <c r="R126">
        <v>2024</v>
      </c>
      <c r="S126">
        <v>4</v>
      </c>
    </row>
    <row r="127" spans="1:19" x14ac:dyDescent="0.3">
      <c r="A127" t="s">
        <v>175</v>
      </c>
      <c r="B127" s="2">
        <v>45389</v>
      </c>
      <c r="C127" t="s">
        <v>71</v>
      </c>
      <c r="D127" t="s">
        <v>34</v>
      </c>
      <c r="E127" t="s">
        <v>22</v>
      </c>
      <c r="F127" t="s">
        <v>40</v>
      </c>
      <c r="G127" t="s">
        <v>24</v>
      </c>
      <c r="H127" t="s">
        <v>133</v>
      </c>
      <c r="I127">
        <v>2</v>
      </c>
      <c r="J127" s="3">
        <v>49031</v>
      </c>
      <c r="K127" s="4">
        <v>15</v>
      </c>
      <c r="L127" s="3">
        <v>98062</v>
      </c>
      <c r="M127" s="3">
        <v>14709.3</v>
      </c>
      <c r="N127" s="3">
        <v>83352.7</v>
      </c>
      <c r="O127" s="3">
        <v>56078.64</v>
      </c>
      <c r="P127" s="3">
        <v>27274.06</v>
      </c>
      <c r="Q127" t="s">
        <v>165</v>
      </c>
      <c r="R127">
        <v>2024</v>
      </c>
      <c r="S127">
        <v>4</v>
      </c>
    </row>
    <row r="128" spans="1:19" x14ac:dyDescent="0.3">
      <c r="A128" t="s">
        <v>176</v>
      </c>
      <c r="B128" s="2">
        <v>45390</v>
      </c>
      <c r="C128" t="s">
        <v>48</v>
      </c>
      <c r="D128" t="s">
        <v>34</v>
      </c>
      <c r="E128" t="s">
        <v>22</v>
      </c>
      <c r="F128" t="s">
        <v>40</v>
      </c>
      <c r="G128" t="s">
        <v>24</v>
      </c>
      <c r="H128" t="s">
        <v>25</v>
      </c>
      <c r="I128">
        <v>2</v>
      </c>
      <c r="J128" s="3">
        <v>24647</v>
      </c>
      <c r="K128" s="4">
        <v>0</v>
      </c>
      <c r="L128" s="3">
        <v>49294</v>
      </c>
      <c r="M128" s="3">
        <v>0</v>
      </c>
      <c r="N128" s="3">
        <v>49294</v>
      </c>
      <c r="O128" s="3">
        <v>29038.42</v>
      </c>
      <c r="P128" s="3">
        <v>20255.580000000002</v>
      </c>
      <c r="Q128" t="s">
        <v>165</v>
      </c>
      <c r="R128">
        <v>2024</v>
      </c>
      <c r="S128">
        <v>4</v>
      </c>
    </row>
    <row r="129" spans="1:19" x14ac:dyDescent="0.3">
      <c r="A129" t="s">
        <v>177</v>
      </c>
      <c r="B129" s="2">
        <v>45390</v>
      </c>
      <c r="C129" t="s">
        <v>48</v>
      </c>
      <c r="D129" t="s">
        <v>34</v>
      </c>
      <c r="E129" t="s">
        <v>56</v>
      </c>
      <c r="F129" t="s">
        <v>35</v>
      </c>
      <c r="G129" t="s">
        <v>24</v>
      </c>
      <c r="H129" t="s">
        <v>25</v>
      </c>
      <c r="I129">
        <v>1</v>
      </c>
      <c r="J129" s="3">
        <v>23273</v>
      </c>
      <c r="K129" s="4">
        <v>10</v>
      </c>
      <c r="L129" s="3">
        <v>23273</v>
      </c>
      <c r="M129" s="3">
        <v>2327.3000000000002</v>
      </c>
      <c r="N129" s="3">
        <v>20945.7</v>
      </c>
      <c r="O129" s="3">
        <v>14409.7</v>
      </c>
      <c r="P129" s="3">
        <v>6536</v>
      </c>
      <c r="Q129" t="s">
        <v>165</v>
      </c>
      <c r="R129">
        <v>2024</v>
      </c>
      <c r="S129">
        <v>4</v>
      </c>
    </row>
    <row r="130" spans="1:19" x14ac:dyDescent="0.3">
      <c r="A130" t="s">
        <v>178</v>
      </c>
      <c r="B130" s="2">
        <v>45390</v>
      </c>
      <c r="C130" t="s">
        <v>33</v>
      </c>
      <c r="D130" t="s">
        <v>34</v>
      </c>
      <c r="E130" t="s">
        <v>44</v>
      </c>
      <c r="F130" t="s">
        <v>40</v>
      </c>
      <c r="G130" t="s">
        <v>31</v>
      </c>
      <c r="H130" t="s">
        <v>25</v>
      </c>
      <c r="I130">
        <v>2</v>
      </c>
      <c r="J130" s="3">
        <v>41617</v>
      </c>
      <c r="K130" s="4">
        <v>0</v>
      </c>
      <c r="L130" s="3">
        <v>83234</v>
      </c>
      <c r="M130" s="3">
        <v>0</v>
      </c>
      <c r="N130" s="3">
        <v>83234</v>
      </c>
      <c r="O130" s="3">
        <v>54285.97</v>
      </c>
      <c r="P130" s="3">
        <v>28948.03</v>
      </c>
      <c r="Q130" t="s">
        <v>165</v>
      </c>
      <c r="R130">
        <v>2024</v>
      </c>
      <c r="S130">
        <v>4</v>
      </c>
    </row>
    <row r="131" spans="1:19" x14ac:dyDescent="0.3">
      <c r="A131" t="s">
        <v>179</v>
      </c>
      <c r="B131" s="2">
        <v>45393</v>
      </c>
      <c r="C131" t="s">
        <v>64</v>
      </c>
      <c r="D131" t="s">
        <v>29</v>
      </c>
      <c r="E131" t="s">
        <v>56</v>
      </c>
      <c r="F131" t="s">
        <v>30</v>
      </c>
      <c r="G131" t="s">
        <v>31</v>
      </c>
      <c r="H131" t="s">
        <v>25</v>
      </c>
      <c r="I131">
        <v>2</v>
      </c>
      <c r="J131" s="3">
        <v>31413</v>
      </c>
      <c r="K131" s="4">
        <v>0</v>
      </c>
      <c r="L131" s="3">
        <v>62826</v>
      </c>
      <c r="M131" s="3">
        <v>0</v>
      </c>
      <c r="N131" s="3">
        <v>0</v>
      </c>
      <c r="O131" s="3">
        <v>34332.019999999997</v>
      </c>
      <c r="P131" s="3">
        <v>0</v>
      </c>
      <c r="Q131" t="s">
        <v>165</v>
      </c>
      <c r="R131">
        <v>2024</v>
      </c>
      <c r="S131">
        <v>4</v>
      </c>
    </row>
    <row r="132" spans="1:19" x14ac:dyDescent="0.3">
      <c r="A132" t="s">
        <v>180</v>
      </c>
      <c r="B132" s="2">
        <v>45394</v>
      </c>
      <c r="C132" t="s">
        <v>71</v>
      </c>
      <c r="D132" t="s">
        <v>34</v>
      </c>
      <c r="E132" t="s">
        <v>22</v>
      </c>
      <c r="F132" t="s">
        <v>37</v>
      </c>
      <c r="G132" t="s">
        <v>31</v>
      </c>
      <c r="H132" t="s">
        <v>25</v>
      </c>
      <c r="I132">
        <v>2</v>
      </c>
      <c r="J132" s="3">
        <v>48446</v>
      </c>
      <c r="K132" s="4">
        <v>0</v>
      </c>
      <c r="L132" s="3">
        <v>96892</v>
      </c>
      <c r="M132" s="3">
        <v>0</v>
      </c>
      <c r="N132" s="3">
        <v>96892</v>
      </c>
      <c r="O132" s="3">
        <v>64581.23</v>
      </c>
      <c r="P132" s="3">
        <v>32310.77</v>
      </c>
      <c r="Q132" t="s">
        <v>165</v>
      </c>
      <c r="R132">
        <v>2024</v>
      </c>
      <c r="S132">
        <v>4</v>
      </c>
    </row>
    <row r="133" spans="1:19" x14ac:dyDescent="0.3">
      <c r="A133" t="s">
        <v>181</v>
      </c>
      <c r="B133" s="2">
        <v>45395</v>
      </c>
      <c r="C133" t="s">
        <v>48</v>
      </c>
      <c r="D133" t="s">
        <v>34</v>
      </c>
      <c r="E133" t="s">
        <v>42</v>
      </c>
      <c r="F133" t="s">
        <v>37</v>
      </c>
      <c r="G133" t="s">
        <v>24</v>
      </c>
      <c r="H133" t="s">
        <v>25</v>
      </c>
      <c r="I133">
        <v>3</v>
      </c>
      <c r="J133" s="3">
        <v>24673</v>
      </c>
      <c r="K133" s="4">
        <v>15</v>
      </c>
      <c r="L133" s="3">
        <v>74019</v>
      </c>
      <c r="M133" s="3">
        <v>11102.85</v>
      </c>
      <c r="N133" s="3">
        <v>62916.15</v>
      </c>
      <c r="O133" s="3">
        <v>37029.82</v>
      </c>
      <c r="P133" s="3">
        <v>25886.33</v>
      </c>
      <c r="Q133" t="s">
        <v>165</v>
      </c>
      <c r="R133">
        <v>2024</v>
      </c>
      <c r="S133">
        <v>4</v>
      </c>
    </row>
    <row r="134" spans="1:19" x14ac:dyDescent="0.3">
      <c r="A134" t="s">
        <v>182</v>
      </c>
      <c r="B134" s="2">
        <v>45395</v>
      </c>
      <c r="C134" t="s">
        <v>46</v>
      </c>
      <c r="D134" t="s">
        <v>21</v>
      </c>
      <c r="E134" t="s">
        <v>56</v>
      </c>
      <c r="F134" t="s">
        <v>30</v>
      </c>
      <c r="G134" t="s">
        <v>24</v>
      </c>
      <c r="H134" t="s">
        <v>133</v>
      </c>
      <c r="I134">
        <v>1</v>
      </c>
      <c r="J134" s="3">
        <v>12879</v>
      </c>
      <c r="K134" s="4">
        <v>20</v>
      </c>
      <c r="L134" s="3">
        <v>12879</v>
      </c>
      <c r="M134" s="3">
        <v>2575.8000000000002</v>
      </c>
      <c r="N134" s="3">
        <v>10303.200000000001</v>
      </c>
      <c r="O134" s="3">
        <v>6220.55</v>
      </c>
      <c r="P134" s="3">
        <v>4082.65</v>
      </c>
      <c r="Q134" t="s">
        <v>165</v>
      </c>
      <c r="R134">
        <v>2024</v>
      </c>
      <c r="S134">
        <v>4</v>
      </c>
    </row>
    <row r="135" spans="1:19" x14ac:dyDescent="0.3">
      <c r="A135" t="s">
        <v>183</v>
      </c>
      <c r="B135" s="2">
        <v>45396</v>
      </c>
      <c r="C135" t="s">
        <v>82</v>
      </c>
      <c r="D135" t="s">
        <v>21</v>
      </c>
      <c r="E135" t="s">
        <v>42</v>
      </c>
      <c r="F135" t="s">
        <v>35</v>
      </c>
      <c r="G135" t="s">
        <v>31</v>
      </c>
      <c r="H135" t="s">
        <v>25</v>
      </c>
      <c r="I135">
        <v>3</v>
      </c>
      <c r="J135" s="3">
        <v>45565</v>
      </c>
      <c r="K135" s="4">
        <v>0</v>
      </c>
      <c r="L135" s="3">
        <v>136695</v>
      </c>
      <c r="M135" s="3">
        <v>0</v>
      </c>
      <c r="N135" s="3">
        <v>136695</v>
      </c>
      <c r="O135" s="3">
        <v>80762.12</v>
      </c>
      <c r="P135" s="3">
        <v>55932.88</v>
      </c>
      <c r="Q135" t="s">
        <v>165</v>
      </c>
      <c r="R135">
        <v>2024</v>
      </c>
      <c r="S135">
        <v>4</v>
      </c>
    </row>
    <row r="136" spans="1:19" x14ac:dyDescent="0.3">
      <c r="A136" t="s">
        <v>184</v>
      </c>
      <c r="B136" s="2">
        <v>45398</v>
      </c>
      <c r="C136" t="s">
        <v>75</v>
      </c>
      <c r="D136" t="s">
        <v>34</v>
      </c>
      <c r="E136" t="s">
        <v>22</v>
      </c>
      <c r="F136" t="s">
        <v>40</v>
      </c>
      <c r="G136" t="s">
        <v>31</v>
      </c>
      <c r="H136" t="s">
        <v>25</v>
      </c>
      <c r="I136">
        <v>4</v>
      </c>
      <c r="J136" s="3">
        <v>39899</v>
      </c>
      <c r="K136" s="4">
        <v>0</v>
      </c>
      <c r="L136" s="3">
        <v>159596</v>
      </c>
      <c r="M136" s="3">
        <v>0</v>
      </c>
      <c r="N136" s="3">
        <v>159596</v>
      </c>
      <c r="O136" s="3">
        <v>105791.1</v>
      </c>
      <c r="P136" s="3">
        <v>53804.9</v>
      </c>
      <c r="Q136" t="s">
        <v>165</v>
      </c>
      <c r="R136">
        <v>2024</v>
      </c>
      <c r="S136">
        <v>4</v>
      </c>
    </row>
    <row r="137" spans="1:19" x14ac:dyDescent="0.3">
      <c r="A137" t="s">
        <v>185</v>
      </c>
      <c r="B137" s="2">
        <v>45399</v>
      </c>
      <c r="C137" t="s">
        <v>48</v>
      </c>
      <c r="D137" t="s">
        <v>34</v>
      </c>
      <c r="E137" t="s">
        <v>42</v>
      </c>
      <c r="F137" t="s">
        <v>40</v>
      </c>
      <c r="G137" t="s">
        <v>31</v>
      </c>
      <c r="H137" t="s">
        <v>133</v>
      </c>
      <c r="I137">
        <v>2</v>
      </c>
      <c r="J137" s="3">
        <v>26863</v>
      </c>
      <c r="K137" s="4">
        <v>10</v>
      </c>
      <c r="L137" s="3">
        <v>53726</v>
      </c>
      <c r="M137" s="3">
        <v>5372.6</v>
      </c>
      <c r="N137" s="3">
        <v>48353.4</v>
      </c>
      <c r="O137" s="3">
        <v>30556.29</v>
      </c>
      <c r="P137" s="3">
        <v>17797.11</v>
      </c>
      <c r="Q137" t="s">
        <v>165</v>
      </c>
      <c r="R137">
        <v>2024</v>
      </c>
      <c r="S137">
        <v>4</v>
      </c>
    </row>
    <row r="138" spans="1:19" x14ac:dyDescent="0.3">
      <c r="A138" t="s">
        <v>186</v>
      </c>
      <c r="B138" s="2">
        <v>45400</v>
      </c>
      <c r="C138" t="s">
        <v>71</v>
      </c>
      <c r="D138" t="s">
        <v>34</v>
      </c>
      <c r="E138" t="s">
        <v>56</v>
      </c>
      <c r="F138" t="s">
        <v>40</v>
      </c>
      <c r="G138" t="s">
        <v>31</v>
      </c>
      <c r="H138" t="s">
        <v>133</v>
      </c>
      <c r="I138">
        <v>1</v>
      </c>
      <c r="J138" s="3">
        <v>50116</v>
      </c>
      <c r="K138" s="4">
        <v>15</v>
      </c>
      <c r="L138" s="3">
        <v>50116</v>
      </c>
      <c r="M138" s="3">
        <v>7517.4</v>
      </c>
      <c r="N138" s="3">
        <v>42598.6</v>
      </c>
      <c r="O138" s="3">
        <v>27258.99</v>
      </c>
      <c r="P138" s="3">
        <v>15339.61</v>
      </c>
      <c r="Q138" t="s">
        <v>165</v>
      </c>
      <c r="R138">
        <v>2024</v>
      </c>
      <c r="S138">
        <v>4</v>
      </c>
    </row>
    <row r="139" spans="1:19" x14ac:dyDescent="0.3">
      <c r="A139" t="s">
        <v>187</v>
      </c>
      <c r="B139" s="2">
        <v>45400</v>
      </c>
      <c r="C139" t="s">
        <v>82</v>
      </c>
      <c r="D139" t="s">
        <v>21</v>
      </c>
      <c r="E139" t="s">
        <v>22</v>
      </c>
      <c r="F139" t="s">
        <v>40</v>
      </c>
      <c r="G139" t="s">
        <v>24</v>
      </c>
      <c r="H139" t="s">
        <v>25</v>
      </c>
      <c r="I139">
        <v>2</v>
      </c>
      <c r="J139" s="3">
        <v>41519</v>
      </c>
      <c r="K139" s="4">
        <v>0</v>
      </c>
      <c r="L139" s="3">
        <v>83038</v>
      </c>
      <c r="M139" s="3">
        <v>0</v>
      </c>
      <c r="N139" s="3">
        <v>83038</v>
      </c>
      <c r="O139" s="3">
        <v>53072.25</v>
      </c>
      <c r="P139" s="3">
        <v>29965.75</v>
      </c>
      <c r="Q139" t="s">
        <v>165</v>
      </c>
      <c r="R139">
        <v>2024</v>
      </c>
      <c r="S139">
        <v>4</v>
      </c>
    </row>
    <row r="140" spans="1:19" x14ac:dyDescent="0.3">
      <c r="A140" t="s">
        <v>188</v>
      </c>
      <c r="B140" s="2">
        <v>45402</v>
      </c>
      <c r="C140" t="s">
        <v>48</v>
      </c>
      <c r="D140" t="s">
        <v>34</v>
      </c>
      <c r="E140" t="s">
        <v>22</v>
      </c>
      <c r="F140" t="s">
        <v>40</v>
      </c>
      <c r="G140" t="s">
        <v>24</v>
      </c>
      <c r="H140" t="s">
        <v>25</v>
      </c>
      <c r="I140">
        <v>3</v>
      </c>
      <c r="J140" s="3">
        <v>23759</v>
      </c>
      <c r="K140" s="4">
        <v>0</v>
      </c>
      <c r="L140" s="3">
        <v>71277</v>
      </c>
      <c r="M140" s="3">
        <v>0</v>
      </c>
      <c r="N140" s="3">
        <v>71277</v>
      </c>
      <c r="O140" s="3">
        <v>44495.199999999997</v>
      </c>
      <c r="P140" s="3">
        <v>26781.8</v>
      </c>
      <c r="Q140" t="s">
        <v>165</v>
      </c>
      <c r="R140">
        <v>2024</v>
      </c>
      <c r="S140">
        <v>4</v>
      </c>
    </row>
    <row r="141" spans="1:19" x14ac:dyDescent="0.3">
      <c r="A141" t="s">
        <v>189</v>
      </c>
      <c r="B141" s="2">
        <v>45402</v>
      </c>
      <c r="C141" t="s">
        <v>82</v>
      </c>
      <c r="D141" t="s">
        <v>21</v>
      </c>
      <c r="E141" t="s">
        <v>56</v>
      </c>
      <c r="F141" t="s">
        <v>40</v>
      </c>
      <c r="G141" t="s">
        <v>24</v>
      </c>
      <c r="H141" t="s">
        <v>25</v>
      </c>
      <c r="I141">
        <v>1</v>
      </c>
      <c r="J141" s="3">
        <v>44985</v>
      </c>
      <c r="K141" s="4">
        <v>0</v>
      </c>
      <c r="L141" s="3">
        <v>44985</v>
      </c>
      <c r="M141" s="3">
        <v>0</v>
      </c>
      <c r="N141" s="3">
        <v>44985</v>
      </c>
      <c r="O141" s="3">
        <v>28898.07</v>
      </c>
      <c r="P141" s="3">
        <v>16086.93</v>
      </c>
      <c r="Q141" t="s">
        <v>165</v>
      </c>
      <c r="R141">
        <v>2024</v>
      </c>
      <c r="S141">
        <v>4</v>
      </c>
    </row>
    <row r="142" spans="1:19" x14ac:dyDescent="0.3">
      <c r="A142" t="s">
        <v>190</v>
      </c>
      <c r="B142" s="2">
        <v>45402</v>
      </c>
      <c r="C142" t="s">
        <v>48</v>
      </c>
      <c r="D142" t="s">
        <v>34</v>
      </c>
      <c r="E142" t="s">
        <v>44</v>
      </c>
      <c r="F142" t="s">
        <v>37</v>
      </c>
      <c r="G142" t="s">
        <v>24</v>
      </c>
      <c r="H142" t="s">
        <v>133</v>
      </c>
      <c r="I142">
        <v>1</v>
      </c>
      <c r="J142" s="3">
        <v>26945</v>
      </c>
      <c r="K142" s="4">
        <v>20</v>
      </c>
      <c r="L142" s="3">
        <v>26945</v>
      </c>
      <c r="M142" s="3">
        <v>5389</v>
      </c>
      <c r="N142" s="3">
        <v>21556</v>
      </c>
      <c r="O142" s="3">
        <v>17968.38</v>
      </c>
      <c r="P142" s="3">
        <v>3587.62</v>
      </c>
      <c r="Q142" t="s">
        <v>165</v>
      </c>
      <c r="R142">
        <v>2024</v>
      </c>
      <c r="S142">
        <v>4</v>
      </c>
    </row>
    <row r="143" spans="1:19" x14ac:dyDescent="0.3">
      <c r="A143" t="s">
        <v>191</v>
      </c>
      <c r="B143" s="2">
        <v>45404</v>
      </c>
      <c r="C143" t="s">
        <v>64</v>
      </c>
      <c r="D143" t="s">
        <v>29</v>
      </c>
      <c r="E143" t="s">
        <v>42</v>
      </c>
      <c r="F143" t="s">
        <v>40</v>
      </c>
      <c r="G143" t="s">
        <v>24</v>
      </c>
      <c r="H143" t="s">
        <v>133</v>
      </c>
      <c r="I143">
        <v>3</v>
      </c>
      <c r="J143" s="3">
        <v>28788</v>
      </c>
      <c r="K143" s="4">
        <v>5</v>
      </c>
      <c r="L143" s="3">
        <v>86364</v>
      </c>
      <c r="M143" s="3">
        <v>4318.2</v>
      </c>
      <c r="N143" s="3">
        <v>82045.8</v>
      </c>
      <c r="O143" s="3">
        <v>54633.74</v>
      </c>
      <c r="P143" s="3">
        <v>27412.06</v>
      </c>
      <c r="Q143" t="s">
        <v>165</v>
      </c>
      <c r="R143">
        <v>2024</v>
      </c>
      <c r="S143">
        <v>4</v>
      </c>
    </row>
    <row r="144" spans="1:19" x14ac:dyDescent="0.3">
      <c r="A144" t="s">
        <v>192</v>
      </c>
      <c r="B144" s="2">
        <v>45404</v>
      </c>
      <c r="C144" t="s">
        <v>64</v>
      </c>
      <c r="D144" t="s">
        <v>29</v>
      </c>
      <c r="E144" t="s">
        <v>22</v>
      </c>
      <c r="F144" t="s">
        <v>35</v>
      </c>
      <c r="G144" t="s">
        <v>31</v>
      </c>
      <c r="H144" t="s">
        <v>25</v>
      </c>
      <c r="I144">
        <v>4</v>
      </c>
      <c r="J144" s="3">
        <v>31083</v>
      </c>
      <c r="K144" s="4">
        <v>0</v>
      </c>
      <c r="L144" s="3">
        <v>124332</v>
      </c>
      <c r="M144" s="3">
        <v>0</v>
      </c>
      <c r="N144" s="3">
        <v>124332</v>
      </c>
      <c r="O144" s="3">
        <v>71017.919999999998</v>
      </c>
      <c r="P144" s="3">
        <v>53314.080000000002</v>
      </c>
      <c r="Q144" t="s">
        <v>165</v>
      </c>
      <c r="R144">
        <v>2024</v>
      </c>
      <c r="S144">
        <v>4</v>
      </c>
    </row>
    <row r="145" spans="1:19" x14ac:dyDescent="0.3">
      <c r="A145" t="s">
        <v>193</v>
      </c>
      <c r="B145" s="2">
        <v>45405</v>
      </c>
      <c r="C145" t="s">
        <v>46</v>
      </c>
      <c r="D145" t="s">
        <v>21</v>
      </c>
      <c r="E145" t="s">
        <v>56</v>
      </c>
      <c r="F145" t="s">
        <v>40</v>
      </c>
      <c r="G145" t="s">
        <v>31</v>
      </c>
      <c r="H145" t="s">
        <v>25</v>
      </c>
      <c r="I145">
        <v>3</v>
      </c>
      <c r="J145" s="3">
        <v>11420</v>
      </c>
      <c r="K145" s="4">
        <v>0</v>
      </c>
      <c r="L145" s="3">
        <v>34260</v>
      </c>
      <c r="M145" s="3">
        <v>0</v>
      </c>
      <c r="N145" s="3">
        <v>34260</v>
      </c>
      <c r="O145" s="3">
        <v>21869.119999999999</v>
      </c>
      <c r="P145" s="3">
        <v>12390.88</v>
      </c>
      <c r="Q145" t="s">
        <v>165</v>
      </c>
      <c r="R145">
        <v>2024</v>
      </c>
      <c r="S145">
        <v>4</v>
      </c>
    </row>
    <row r="146" spans="1:19" x14ac:dyDescent="0.3">
      <c r="A146" t="s">
        <v>194</v>
      </c>
      <c r="B146" s="2">
        <v>45406</v>
      </c>
      <c r="C146" t="s">
        <v>33</v>
      </c>
      <c r="D146" t="s">
        <v>34</v>
      </c>
      <c r="E146" t="s">
        <v>22</v>
      </c>
      <c r="F146" t="s">
        <v>40</v>
      </c>
      <c r="G146" t="s">
        <v>24</v>
      </c>
      <c r="H146" t="s">
        <v>133</v>
      </c>
      <c r="I146">
        <v>1</v>
      </c>
      <c r="J146" s="3">
        <v>43598</v>
      </c>
      <c r="K146" s="4">
        <v>10</v>
      </c>
      <c r="L146" s="3">
        <v>43598</v>
      </c>
      <c r="M146" s="3">
        <v>4359.8</v>
      </c>
      <c r="N146" s="3">
        <v>39238.199999999997</v>
      </c>
      <c r="O146" s="3">
        <v>24764.28</v>
      </c>
      <c r="P146" s="3">
        <v>14473.92</v>
      </c>
      <c r="Q146" t="s">
        <v>165</v>
      </c>
      <c r="R146">
        <v>2024</v>
      </c>
      <c r="S146">
        <v>4</v>
      </c>
    </row>
    <row r="147" spans="1:19" x14ac:dyDescent="0.3">
      <c r="A147" t="s">
        <v>195</v>
      </c>
      <c r="B147" s="2">
        <v>45408</v>
      </c>
      <c r="C147" t="s">
        <v>33</v>
      </c>
      <c r="D147" t="s">
        <v>34</v>
      </c>
      <c r="E147" t="s">
        <v>44</v>
      </c>
      <c r="F147" t="s">
        <v>37</v>
      </c>
      <c r="G147" t="s">
        <v>31</v>
      </c>
      <c r="H147" t="s">
        <v>25</v>
      </c>
      <c r="I147">
        <v>1</v>
      </c>
      <c r="J147" s="3">
        <v>44416</v>
      </c>
      <c r="K147" s="4">
        <v>0</v>
      </c>
      <c r="L147" s="3">
        <v>44416</v>
      </c>
      <c r="M147" s="3">
        <v>0</v>
      </c>
      <c r="N147" s="3">
        <v>44416</v>
      </c>
      <c r="O147" s="3">
        <v>27490.43</v>
      </c>
      <c r="P147" s="3">
        <v>16925.57</v>
      </c>
      <c r="Q147" t="s">
        <v>165</v>
      </c>
      <c r="R147">
        <v>2024</v>
      </c>
      <c r="S147">
        <v>4</v>
      </c>
    </row>
    <row r="148" spans="1:19" x14ac:dyDescent="0.3">
      <c r="A148" t="s">
        <v>196</v>
      </c>
      <c r="B148" s="2">
        <v>45408</v>
      </c>
      <c r="C148" t="s">
        <v>20</v>
      </c>
      <c r="D148" t="s">
        <v>21</v>
      </c>
      <c r="E148" t="s">
        <v>22</v>
      </c>
      <c r="F148" t="s">
        <v>30</v>
      </c>
      <c r="G148" t="s">
        <v>31</v>
      </c>
      <c r="H148" t="s">
        <v>133</v>
      </c>
      <c r="I148">
        <v>2</v>
      </c>
      <c r="J148" s="3">
        <v>16174</v>
      </c>
      <c r="K148" s="4">
        <v>10</v>
      </c>
      <c r="L148" s="3">
        <v>32348</v>
      </c>
      <c r="M148" s="3">
        <v>3234.8</v>
      </c>
      <c r="N148" s="3">
        <v>29113.200000000001</v>
      </c>
      <c r="O148" s="3">
        <v>16007.94</v>
      </c>
      <c r="P148" s="3">
        <v>13105.26</v>
      </c>
      <c r="Q148" t="s">
        <v>165</v>
      </c>
      <c r="R148">
        <v>2024</v>
      </c>
      <c r="S148">
        <v>4</v>
      </c>
    </row>
    <row r="149" spans="1:19" x14ac:dyDescent="0.3">
      <c r="A149" t="s">
        <v>197</v>
      </c>
      <c r="B149" s="2">
        <v>45409</v>
      </c>
      <c r="C149" t="s">
        <v>82</v>
      </c>
      <c r="D149" t="s">
        <v>21</v>
      </c>
      <c r="E149" t="s">
        <v>42</v>
      </c>
      <c r="F149" t="s">
        <v>37</v>
      </c>
      <c r="G149" t="s">
        <v>31</v>
      </c>
      <c r="H149" t="s">
        <v>133</v>
      </c>
      <c r="I149">
        <v>3</v>
      </c>
      <c r="J149" s="3">
        <v>47988</v>
      </c>
      <c r="K149" s="4">
        <v>15</v>
      </c>
      <c r="L149" s="3">
        <v>143964</v>
      </c>
      <c r="M149" s="3">
        <v>21594.6</v>
      </c>
      <c r="N149" s="3">
        <v>122369.4</v>
      </c>
      <c r="O149" s="3">
        <v>88773.26</v>
      </c>
      <c r="P149" s="3">
        <v>33596.14</v>
      </c>
      <c r="Q149" t="s">
        <v>165</v>
      </c>
      <c r="R149">
        <v>2024</v>
      </c>
      <c r="S149">
        <v>4</v>
      </c>
    </row>
    <row r="150" spans="1:19" x14ac:dyDescent="0.3">
      <c r="A150" t="s">
        <v>198</v>
      </c>
      <c r="B150" s="2">
        <v>45409</v>
      </c>
      <c r="C150" t="s">
        <v>75</v>
      </c>
      <c r="D150" t="s">
        <v>34</v>
      </c>
      <c r="E150" t="s">
        <v>42</v>
      </c>
      <c r="F150" t="s">
        <v>40</v>
      </c>
      <c r="G150" t="s">
        <v>24</v>
      </c>
      <c r="H150" t="s">
        <v>25</v>
      </c>
      <c r="I150">
        <v>3</v>
      </c>
      <c r="J150" s="3">
        <v>40309</v>
      </c>
      <c r="K150" s="4">
        <v>0</v>
      </c>
      <c r="L150" s="3">
        <v>120927</v>
      </c>
      <c r="M150" s="3">
        <v>0</v>
      </c>
      <c r="N150" s="3">
        <v>120927</v>
      </c>
      <c r="O150" s="3">
        <v>63947.75</v>
      </c>
      <c r="P150" s="3">
        <v>56979.25</v>
      </c>
      <c r="Q150" t="s">
        <v>165</v>
      </c>
      <c r="R150">
        <v>2024</v>
      </c>
      <c r="S150">
        <v>4</v>
      </c>
    </row>
    <row r="151" spans="1:19" x14ac:dyDescent="0.3">
      <c r="A151" t="s">
        <v>199</v>
      </c>
      <c r="B151" s="2">
        <v>45411</v>
      </c>
      <c r="C151" t="s">
        <v>64</v>
      </c>
      <c r="D151" t="s">
        <v>29</v>
      </c>
      <c r="E151" t="s">
        <v>22</v>
      </c>
      <c r="F151" t="s">
        <v>30</v>
      </c>
      <c r="G151" t="s">
        <v>24</v>
      </c>
      <c r="H151" t="s">
        <v>133</v>
      </c>
      <c r="I151">
        <v>1</v>
      </c>
      <c r="J151" s="3">
        <v>32036</v>
      </c>
      <c r="K151" s="4">
        <v>15</v>
      </c>
      <c r="L151" s="3">
        <v>32036</v>
      </c>
      <c r="M151" s="3">
        <v>4805.3999999999996</v>
      </c>
      <c r="N151" s="3">
        <v>27230.6</v>
      </c>
      <c r="O151" s="3">
        <v>18574.29</v>
      </c>
      <c r="P151" s="3">
        <v>8656.31</v>
      </c>
      <c r="Q151" t="s">
        <v>165</v>
      </c>
      <c r="R151">
        <v>2024</v>
      </c>
      <c r="S151">
        <v>4</v>
      </c>
    </row>
    <row r="152" spans="1:19" x14ac:dyDescent="0.3">
      <c r="A152" t="s">
        <v>200</v>
      </c>
      <c r="B152" s="2">
        <v>45413</v>
      </c>
      <c r="C152" t="s">
        <v>48</v>
      </c>
      <c r="D152" t="s">
        <v>34</v>
      </c>
      <c r="E152" t="s">
        <v>44</v>
      </c>
      <c r="F152" t="s">
        <v>23</v>
      </c>
      <c r="G152" t="s">
        <v>31</v>
      </c>
      <c r="H152" t="s">
        <v>25</v>
      </c>
      <c r="I152">
        <v>1</v>
      </c>
      <c r="J152" s="3">
        <v>25467</v>
      </c>
      <c r="K152" s="4">
        <v>0</v>
      </c>
      <c r="L152" s="3">
        <v>25467</v>
      </c>
      <c r="M152" s="3">
        <v>0</v>
      </c>
      <c r="N152" s="3">
        <v>25467</v>
      </c>
      <c r="O152" s="3">
        <v>15442.24</v>
      </c>
      <c r="P152" s="3">
        <v>10024.76</v>
      </c>
      <c r="Q152" t="s">
        <v>201</v>
      </c>
      <c r="R152">
        <v>2024</v>
      </c>
      <c r="S152">
        <v>5</v>
      </c>
    </row>
    <row r="153" spans="1:19" x14ac:dyDescent="0.3">
      <c r="A153" t="s">
        <v>202</v>
      </c>
      <c r="B153" s="2">
        <v>45414</v>
      </c>
      <c r="C153" t="s">
        <v>64</v>
      </c>
      <c r="D153" t="s">
        <v>29</v>
      </c>
      <c r="E153" t="s">
        <v>22</v>
      </c>
      <c r="F153" t="s">
        <v>40</v>
      </c>
      <c r="G153" t="s">
        <v>24</v>
      </c>
      <c r="H153" t="s">
        <v>25</v>
      </c>
      <c r="I153">
        <v>3</v>
      </c>
      <c r="J153" s="3">
        <v>28361</v>
      </c>
      <c r="K153" s="4">
        <v>0</v>
      </c>
      <c r="L153" s="3">
        <v>85083</v>
      </c>
      <c r="M153" s="3">
        <v>0</v>
      </c>
      <c r="N153" s="3">
        <v>85083</v>
      </c>
      <c r="O153" s="3">
        <v>54857.74</v>
      </c>
      <c r="P153" s="3">
        <v>30225.26</v>
      </c>
      <c r="Q153" t="s">
        <v>201</v>
      </c>
      <c r="R153">
        <v>2024</v>
      </c>
      <c r="S153">
        <v>5</v>
      </c>
    </row>
    <row r="154" spans="1:19" x14ac:dyDescent="0.3">
      <c r="A154" t="s">
        <v>203</v>
      </c>
      <c r="B154" s="2">
        <v>45417</v>
      </c>
      <c r="C154" t="s">
        <v>75</v>
      </c>
      <c r="D154" t="s">
        <v>34</v>
      </c>
      <c r="E154" t="s">
        <v>22</v>
      </c>
      <c r="F154" t="s">
        <v>35</v>
      </c>
      <c r="G154" t="s">
        <v>24</v>
      </c>
      <c r="H154" t="s">
        <v>25</v>
      </c>
      <c r="I154">
        <v>3</v>
      </c>
      <c r="J154" s="3">
        <v>37357</v>
      </c>
      <c r="K154" s="4">
        <v>0</v>
      </c>
      <c r="L154" s="3">
        <v>112071</v>
      </c>
      <c r="M154" s="3">
        <v>0</v>
      </c>
      <c r="N154" s="3">
        <v>0</v>
      </c>
      <c r="O154" s="3">
        <v>56487.35</v>
      </c>
      <c r="P154" s="3">
        <v>0</v>
      </c>
      <c r="Q154" t="s">
        <v>201</v>
      </c>
      <c r="R154">
        <v>2024</v>
      </c>
      <c r="S154">
        <v>5</v>
      </c>
    </row>
    <row r="155" spans="1:19" x14ac:dyDescent="0.3">
      <c r="A155" t="s">
        <v>204</v>
      </c>
      <c r="B155" s="2">
        <v>45417</v>
      </c>
      <c r="C155" t="s">
        <v>28</v>
      </c>
      <c r="D155" t="s">
        <v>29</v>
      </c>
      <c r="E155" t="s">
        <v>42</v>
      </c>
      <c r="F155" t="s">
        <v>30</v>
      </c>
      <c r="G155" t="s">
        <v>24</v>
      </c>
      <c r="H155" t="s">
        <v>25</v>
      </c>
      <c r="I155">
        <v>1</v>
      </c>
      <c r="J155" s="3">
        <v>66792</v>
      </c>
      <c r="K155" s="4">
        <v>0</v>
      </c>
      <c r="L155" s="3">
        <v>66792</v>
      </c>
      <c r="M155" s="3">
        <v>0</v>
      </c>
      <c r="N155" s="3">
        <v>66792</v>
      </c>
      <c r="O155" s="3">
        <v>33380.949999999997</v>
      </c>
      <c r="P155" s="3">
        <v>33411.050000000003</v>
      </c>
      <c r="Q155" t="s">
        <v>201</v>
      </c>
      <c r="R155">
        <v>2024</v>
      </c>
      <c r="S155">
        <v>5</v>
      </c>
    </row>
    <row r="156" spans="1:19" x14ac:dyDescent="0.3">
      <c r="A156" t="s">
        <v>205</v>
      </c>
      <c r="B156" s="2">
        <v>45418</v>
      </c>
      <c r="C156" t="s">
        <v>48</v>
      </c>
      <c r="D156" t="s">
        <v>34</v>
      </c>
      <c r="E156" t="s">
        <v>44</v>
      </c>
      <c r="F156" t="s">
        <v>37</v>
      </c>
      <c r="G156" t="s">
        <v>24</v>
      </c>
      <c r="H156" t="s">
        <v>25</v>
      </c>
      <c r="I156">
        <v>1</v>
      </c>
      <c r="J156" s="3">
        <v>25531</v>
      </c>
      <c r="K156" s="4">
        <v>0</v>
      </c>
      <c r="L156" s="3">
        <v>25531</v>
      </c>
      <c r="M156" s="3">
        <v>0</v>
      </c>
      <c r="N156" s="3">
        <v>25531</v>
      </c>
      <c r="O156" s="3">
        <v>14849.67</v>
      </c>
      <c r="P156" s="3">
        <v>10681.33</v>
      </c>
      <c r="Q156" t="s">
        <v>201</v>
      </c>
      <c r="R156">
        <v>2024</v>
      </c>
      <c r="S156">
        <v>5</v>
      </c>
    </row>
    <row r="157" spans="1:19" x14ac:dyDescent="0.3">
      <c r="A157" t="s">
        <v>206</v>
      </c>
      <c r="B157" s="2">
        <v>45419</v>
      </c>
      <c r="C157" t="s">
        <v>82</v>
      </c>
      <c r="D157" t="s">
        <v>21</v>
      </c>
      <c r="E157" t="s">
        <v>42</v>
      </c>
      <c r="F157" t="s">
        <v>37</v>
      </c>
      <c r="G157" t="s">
        <v>31</v>
      </c>
      <c r="H157" t="s">
        <v>25</v>
      </c>
      <c r="I157">
        <v>3</v>
      </c>
      <c r="J157" s="3">
        <v>44700</v>
      </c>
      <c r="K157" s="4">
        <v>10</v>
      </c>
      <c r="L157" s="3">
        <v>134100</v>
      </c>
      <c r="M157" s="3">
        <v>13410</v>
      </c>
      <c r="N157" s="3">
        <v>120690</v>
      </c>
      <c r="O157" s="3">
        <v>79770.39</v>
      </c>
      <c r="P157" s="3">
        <v>40919.61</v>
      </c>
      <c r="Q157" t="s">
        <v>201</v>
      </c>
      <c r="R157">
        <v>2024</v>
      </c>
      <c r="S157">
        <v>5</v>
      </c>
    </row>
    <row r="158" spans="1:19" x14ac:dyDescent="0.3">
      <c r="A158" t="s">
        <v>207</v>
      </c>
      <c r="B158" s="2">
        <v>45419</v>
      </c>
      <c r="C158" t="s">
        <v>75</v>
      </c>
      <c r="D158" t="s">
        <v>34</v>
      </c>
      <c r="E158" t="s">
        <v>44</v>
      </c>
      <c r="F158" t="s">
        <v>23</v>
      </c>
      <c r="G158" t="s">
        <v>24</v>
      </c>
      <c r="H158" t="s">
        <v>25</v>
      </c>
      <c r="I158">
        <v>3</v>
      </c>
      <c r="J158" s="3">
        <v>40201</v>
      </c>
      <c r="K158" s="4">
        <v>0</v>
      </c>
      <c r="L158" s="3">
        <v>120603</v>
      </c>
      <c r="M158" s="3">
        <v>0</v>
      </c>
      <c r="N158" s="3">
        <v>120603</v>
      </c>
      <c r="O158" s="3">
        <v>62572.52</v>
      </c>
      <c r="P158" s="3">
        <v>58030.48</v>
      </c>
      <c r="Q158" t="s">
        <v>201</v>
      </c>
      <c r="R158">
        <v>2024</v>
      </c>
      <c r="S158">
        <v>5</v>
      </c>
    </row>
    <row r="159" spans="1:19" x14ac:dyDescent="0.3">
      <c r="A159" t="s">
        <v>208</v>
      </c>
      <c r="B159" s="2">
        <v>45419</v>
      </c>
      <c r="C159" t="s">
        <v>48</v>
      </c>
      <c r="D159" t="s">
        <v>34</v>
      </c>
      <c r="E159" t="s">
        <v>44</v>
      </c>
      <c r="F159" t="s">
        <v>37</v>
      </c>
      <c r="G159" t="s">
        <v>24</v>
      </c>
      <c r="H159" t="s">
        <v>25</v>
      </c>
      <c r="I159">
        <v>4</v>
      </c>
      <c r="J159" s="3">
        <v>26413</v>
      </c>
      <c r="K159" s="4">
        <v>10</v>
      </c>
      <c r="L159" s="3">
        <v>105652</v>
      </c>
      <c r="M159" s="3">
        <v>10565.2</v>
      </c>
      <c r="N159" s="3">
        <v>95086.8</v>
      </c>
      <c r="O159" s="3">
        <v>57102.45</v>
      </c>
      <c r="P159" s="3">
        <v>37984.35</v>
      </c>
      <c r="Q159" t="s">
        <v>201</v>
      </c>
      <c r="R159">
        <v>2024</v>
      </c>
      <c r="S159">
        <v>5</v>
      </c>
    </row>
    <row r="160" spans="1:19" x14ac:dyDescent="0.3">
      <c r="A160" t="s">
        <v>209</v>
      </c>
      <c r="B160" s="2">
        <v>45421</v>
      </c>
      <c r="C160" t="s">
        <v>64</v>
      </c>
      <c r="D160" t="s">
        <v>29</v>
      </c>
      <c r="E160" t="s">
        <v>22</v>
      </c>
      <c r="F160" t="s">
        <v>40</v>
      </c>
      <c r="G160" t="s">
        <v>31</v>
      </c>
      <c r="H160" t="s">
        <v>25</v>
      </c>
      <c r="I160">
        <v>1</v>
      </c>
      <c r="J160" s="3">
        <v>32306</v>
      </c>
      <c r="K160" s="4">
        <v>0</v>
      </c>
      <c r="L160" s="3">
        <v>32306</v>
      </c>
      <c r="M160" s="3">
        <v>0</v>
      </c>
      <c r="N160" s="3">
        <v>32306</v>
      </c>
      <c r="O160" s="3">
        <v>15569.56</v>
      </c>
      <c r="P160" s="3">
        <v>16736.439999999999</v>
      </c>
      <c r="Q160" t="s">
        <v>201</v>
      </c>
      <c r="R160">
        <v>2024</v>
      </c>
      <c r="S160">
        <v>5</v>
      </c>
    </row>
    <row r="161" spans="1:19" x14ac:dyDescent="0.3">
      <c r="A161" t="s">
        <v>210</v>
      </c>
      <c r="B161" s="2">
        <v>45421</v>
      </c>
      <c r="C161" t="s">
        <v>48</v>
      </c>
      <c r="D161" t="s">
        <v>34</v>
      </c>
      <c r="E161" t="s">
        <v>22</v>
      </c>
      <c r="F161" t="s">
        <v>35</v>
      </c>
      <c r="G161" t="s">
        <v>31</v>
      </c>
      <c r="H161" t="s">
        <v>25</v>
      </c>
      <c r="I161">
        <v>1</v>
      </c>
      <c r="J161" s="3">
        <v>24945</v>
      </c>
      <c r="K161" s="4">
        <v>0</v>
      </c>
      <c r="L161" s="3">
        <v>24945</v>
      </c>
      <c r="M161" s="3">
        <v>0</v>
      </c>
      <c r="N161" s="3">
        <v>24945</v>
      </c>
      <c r="O161" s="3">
        <v>12947.33</v>
      </c>
      <c r="P161" s="3">
        <v>11997.67</v>
      </c>
      <c r="Q161" t="s">
        <v>201</v>
      </c>
      <c r="R161">
        <v>2024</v>
      </c>
      <c r="S161">
        <v>5</v>
      </c>
    </row>
    <row r="162" spans="1:19" x14ac:dyDescent="0.3">
      <c r="A162" t="s">
        <v>211</v>
      </c>
      <c r="B162" s="2">
        <v>45422</v>
      </c>
      <c r="C162" t="s">
        <v>75</v>
      </c>
      <c r="D162" t="s">
        <v>34</v>
      </c>
      <c r="E162" t="s">
        <v>56</v>
      </c>
      <c r="F162" t="s">
        <v>40</v>
      </c>
      <c r="G162" t="s">
        <v>31</v>
      </c>
      <c r="H162" t="s">
        <v>25</v>
      </c>
      <c r="I162">
        <v>1</v>
      </c>
      <c r="J162" s="3">
        <v>36613</v>
      </c>
      <c r="K162" s="4">
        <v>0</v>
      </c>
      <c r="L162" s="3">
        <v>36613</v>
      </c>
      <c r="M162" s="3">
        <v>0</v>
      </c>
      <c r="N162" s="3">
        <v>36613</v>
      </c>
      <c r="O162" s="3">
        <v>17929.759999999998</v>
      </c>
      <c r="P162" s="3">
        <v>18683.240000000002</v>
      </c>
      <c r="Q162" t="s">
        <v>201</v>
      </c>
      <c r="R162">
        <v>2024</v>
      </c>
      <c r="S162">
        <v>5</v>
      </c>
    </row>
    <row r="163" spans="1:19" x14ac:dyDescent="0.3">
      <c r="A163" t="s">
        <v>212</v>
      </c>
      <c r="B163" s="2">
        <v>45422</v>
      </c>
      <c r="C163" t="s">
        <v>71</v>
      </c>
      <c r="D163" t="s">
        <v>34</v>
      </c>
      <c r="E163" t="s">
        <v>44</v>
      </c>
      <c r="F163" t="s">
        <v>40</v>
      </c>
      <c r="G163" t="s">
        <v>31</v>
      </c>
      <c r="H163" t="s">
        <v>25</v>
      </c>
      <c r="I163">
        <v>3</v>
      </c>
      <c r="J163" s="3">
        <v>50376</v>
      </c>
      <c r="K163" s="4">
        <v>0</v>
      </c>
      <c r="L163" s="3">
        <v>151128</v>
      </c>
      <c r="M163" s="3">
        <v>0</v>
      </c>
      <c r="N163" s="3">
        <v>151128</v>
      </c>
      <c r="O163" s="3">
        <v>84589.35</v>
      </c>
      <c r="P163" s="3">
        <v>66538.649999999994</v>
      </c>
      <c r="Q163" t="s">
        <v>201</v>
      </c>
      <c r="R163">
        <v>2024</v>
      </c>
      <c r="S163">
        <v>5</v>
      </c>
    </row>
    <row r="164" spans="1:19" x14ac:dyDescent="0.3">
      <c r="A164" t="s">
        <v>213</v>
      </c>
      <c r="B164" s="2">
        <v>45422</v>
      </c>
      <c r="C164" t="s">
        <v>46</v>
      </c>
      <c r="D164" t="s">
        <v>21</v>
      </c>
      <c r="E164" t="s">
        <v>42</v>
      </c>
      <c r="F164" t="s">
        <v>23</v>
      </c>
      <c r="G164" t="s">
        <v>24</v>
      </c>
      <c r="H164" t="s">
        <v>25</v>
      </c>
      <c r="I164">
        <v>1</v>
      </c>
      <c r="J164" s="3">
        <v>11481</v>
      </c>
      <c r="K164" s="4">
        <v>10</v>
      </c>
      <c r="L164" s="3">
        <v>11481</v>
      </c>
      <c r="M164" s="3">
        <v>1148.0999999999999</v>
      </c>
      <c r="N164" s="3">
        <v>10332.9</v>
      </c>
      <c r="O164" s="3">
        <v>7504.11</v>
      </c>
      <c r="P164" s="3">
        <v>2828.79</v>
      </c>
      <c r="Q164" t="s">
        <v>201</v>
      </c>
      <c r="R164">
        <v>2024</v>
      </c>
      <c r="S164">
        <v>5</v>
      </c>
    </row>
    <row r="165" spans="1:19" x14ac:dyDescent="0.3">
      <c r="A165" t="s">
        <v>214</v>
      </c>
      <c r="B165" s="2">
        <v>45423</v>
      </c>
      <c r="C165" t="s">
        <v>50</v>
      </c>
      <c r="D165" t="s">
        <v>34</v>
      </c>
      <c r="E165" t="s">
        <v>22</v>
      </c>
      <c r="F165" t="s">
        <v>23</v>
      </c>
      <c r="G165" t="s">
        <v>31</v>
      </c>
      <c r="H165" t="s">
        <v>25</v>
      </c>
      <c r="I165">
        <v>3</v>
      </c>
      <c r="J165" s="3">
        <v>16891</v>
      </c>
      <c r="K165" s="4">
        <v>0</v>
      </c>
      <c r="L165" s="3">
        <v>50673</v>
      </c>
      <c r="M165" s="3">
        <v>0</v>
      </c>
      <c r="N165" s="3">
        <v>50673</v>
      </c>
      <c r="O165" s="3">
        <v>28797.95</v>
      </c>
      <c r="P165" s="3">
        <v>21875.05</v>
      </c>
      <c r="Q165" t="s">
        <v>201</v>
      </c>
      <c r="R165">
        <v>2024</v>
      </c>
      <c r="S165">
        <v>5</v>
      </c>
    </row>
    <row r="166" spans="1:19" x14ac:dyDescent="0.3">
      <c r="A166" t="s">
        <v>215</v>
      </c>
      <c r="B166" s="2">
        <v>45424</v>
      </c>
      <c r="C166" t="s">
        <v>28</v>
      </c>
      <c r="D166" t="s">
        <v>29</v>
      </c>
      <c r="E166" t="s">
        <v>22</v>
      </c>
      <c r="F166" t="s">
        <v>40</v>
      </c>
      <c r="G166" t="s">
        <v>31</v>
      </c>
      <c r="H166" t="s">
        <v>25</v>
      </c>
      <c r="I166">
        <v>1</v>
      </c>
      <c r="J166" s="3">
        <v>68198</v>
      </c>
      <c r="K166" s="4">
        <v>0</v>
      </c>
      <c r="L166" s="3">
        <v>68198</v>
      </c>
      <c r="M166" s="3">
        <v>0</v>
      </c>
      <c r="N166" s="3">
        <v>68198</v>
      </c>
      <c r="O166" s="3">
        <v>33481.32</v>
      </c>
      <c r="P166" s="3">
        <v>34716.68</v>
      </c>
      <c r="Q166" t="s">
        <v>201</v>
      </c>
      <c r="R166">
        <v>2024</v>
      </c>
      <c r="S166">
        <v>5</v>
      </c>
    </row>
    <row r="167" spans="1:19" x14ac:dyDescent="0.3">
      <c r="A167" t="s">
        <v>216</v>
      </c>
      <c r="B167" s="2">
        <v>45425</v>
      </c>
      <c r="C167" t="s">
        <v>48</v>
      </c>
      <c r="D167" t="s">
        <v>34</v>
      </c>
      <c r="E167" t="s">
        <v>22</v>
      </c>
      <c r="F167" t="s">
        <v>23</v>
      </c>
      <c r="G167" t="s">
        <v>24</v>
      </c>
      <c r="H167" t="s">
        <v>25</v>
      </c>
      <c r="I167">
        <v>2</v>
      </c>
      <c r="J167" s="3">
        <v>23422</v>
      </c>
      <c r="K167" s="4">
        <v>0</v>
      </c>
      <c r="L167" s="3">
        <v>46844</v>
      </c>
      <c r="M167" s="3">
        <v>0</v>
      </c>
      <c r="N167" s="3">
        <v>46844</v>
      </c>
      <c r="O167" s="3">
        <v>27907.37</v>
      </c>
      <c r="P167" s="3">
        <v>18936.63</v>
      </c>
      <c r="Q167" t="s">
        <v>201</v>
      </c>
      <c r="R167">
        <v>2024</v>
      </c>
      <c r="S167">
        <v>5</v>
      </c>
    </row>
    <row r="168" spans="1:19" x14ac:dyDescent="0.3">
      <c r="A168" t="s">
        <v>217</v>
      </c>
      <c r="B168" s="2">
        <v>45426</v>
      </c>
      <c r="C168" t="s">
        <v>46</v>
      </c>
      <c r="D168" t="s">
        <v>21</v>
      </c>
      <c r="E168" t="s">
        <v>44</v>
      </c>
      <c r="F168" t="s">
        <v>40</v>
      </c>
      <c r="G168" t="s">
        <v>31</v>
      </c>
      <c r="H168" t="s">
        <v>25</v>
      </c>
      <c r="I168">
        <v>5</v>
      </c>
      <c r="J168" s="3">
        <v>12384</v>
      </c>
      <c r="K168" s="4">
        <v>0</v>
      </c>
      <c r="L168" s="3">
        <v>61920</v>
      </c>
      <c r="M168" s="3">
        <v>0</v>
      </c>
      <c r="N168" s="3">
        <v>61920</v>
      </c>
      <c r="O168" s="3">
        <v>36984.559999999998</v>
      </c>
      <c r="P168" s="3">
        <v>24935.439999999999</v>
      </c>
      <c r="Q168" t="s">
        <v>201</v>
      </c>
      <c r="R168">
        <v>2024</v>
      </c>
      <c r="S168">
        <v>5</v>
      </c>
    </row>
    <row r="169" spans="1:19" x14ac:dyDescent="0.3">
      <c r="A169" t="s">
        <v>218</v>
      </c>
      <c r="B169" s="2">
        <v>45428</v>
      </c>
      <c r="C169" t="s">
        <v>64</v>
      </c>
      <c r="D169" t="s">
        <v>29</v>
      </c>
      <c r="E169" t="s">
        <v>22</v>
      </c>
      <c r="F169" t="s">
        <v>40</v>
      </c>
      <c r="G169" t="s">
        <v>24</v>
      </c>
      <c r="H169" t="s">
        <v>25</v>
      </c>
      <c r="I169">
        <v>2</v>
      </c>
      <c r="J169" s="3">
        <v>27690</v>
      </c>
      <c r="K169" s="4">
        <v>0</v>
      </c>
      <c r="L169" s="3">
        <v>55380</v>
      </c>
      <c r="M169" s="3">
        <v>0</v>
      </c>
      <c r="N169" s="3">
        <v>55380</v>
      </c>
      <c r="O169" s="3">
        <v>35244.21</v>
      </c>
      <c r="P169" s="3">
        <v>20135.79</v>
      </c>
      <c r="Q169" t="s">
        <v>201</v>
      </c>
      <c r="R169">
        <v>2024</v>
      </c>
      <c r="S169">
        <v>5</v>
      </c>
    </row>
    <row r="170" spans="1:19" x14ac:dyDescent="0.3">
      <c r="A170" t="s">
        <v>219</v>
      </c>
      <c r="B170" s="2">
        <v>45429</v>
      </c>
      <c r="C170" t="s">
        <v>33</v>
      </c>
      <c r="D170" t="s">
        <v>34</v>
      </c>
      <c r="E170" t="s">
        <v>56</v>
      </c>
      <c r="F170" t="s">
        <v>35</v>
      </c>
      <c r="G170" t="s">
        <v>31</v>
      </c>
      <c r="H170" t="s">
        <v>25</v>
      </c>
      <c r="I170">
        <v>5</v>
      </c>
      <c r="J170" s="3">
        <v>39761</v>
      </c>
      <c r="K170" s="4">
        <v>0</v>
      </c>
      <c r="L170" s="3">
        <v>198805</v>
      </c>
      <c r="M170" s="3">
        <v>0</v>
      </c>
      <c r="N170" s="3">
        <v>198805</v>
      </c>
      <c r="O170" s="3">
        <v>98822.33</v>
      </c>
      <c r="P170" s="3">
        <v>99982.67</v>
      </c>
      <c r="Q170" t="s">
        <v>201</v>
      </c>
      <c r="R170">
        <v>2024</v>
      </c>
      <c r="S170">
        <v>5</v>
      </c>
    </row>
    <row r="171" spans="1:19" x14ac:dyDescent="0.3">
      <c r="A171" t="s">
        <v>220</v>
      </c>
      <c r="B171" s="2">
        <v>45430</v>
      </c>
      <c r="C171" t="s">
        <v>28</v>
      </c>
      <c r="D171" t="s">
        <v>29</v>
      </c>
      <c r="E171" t="s">
        <v>22</v>
      </c>
      <c r="F171" t="s">
        <v>37</v>
      </c>
      <c r="G171" t="s">
        <v>24</v>
      </c>
      <c r="H171" t="s">
        <v>25</v>
      </c>
      <c r="I171">
        <v>4</v>
      </c>
      <c r="J171" s="3">
        <v>60343</v>
      </c>
      <c r="K171" s="4">
        <v>10</v>
      </c>
      <c r="L171" s="3">
        <v>241372</v>
      </c>
      <c r="M171" s="3">
        <v>24137.200000000001</v>
      </c>
      <c r="N171" s="3">
        <v>217234.8</v>
      </c>
      <c r="O171" s="3">
        <v>136916.54999999999</v>
      </c>
      <c r="P171" s="3">
        <v>80318.25</v>
      </c>
      <c r="Q171" t="s">
        <v>201</v>
      </c>
      <c r="R171">
        <v>2024</v>
      </c>
      <c r="S171">
        <v>5</v>
      </c>
    </row>
    <row r="172" spans="1:19" x14ac:dyDescent="0.3">
      <c r="A172" t="s">
        <v>221</v>
      </c>
      <c r="B172" s="2">
        <v>45431</v>
      </c>
      <c r="C172" t="s">
        <v>46</v>
      </c>
      <c r="D172" t="s">
        <v>21</v>
      </c>
      <c r="E172" t="s">
        <v>42</v>
      </c>
      <c r="F172" t="s">
        <v>23</v>
      </c>
      <c r="G172" t="s">
        <v>24</v>
      </c>
      <c r="H172" t="s">
        <v>25</v>
      </c>
      <c r="I172">
        <v>1</v>
      </c>
      <c r="J172" s="3">
        <v>12465</v>
      </c>
      <c r="K172" s="4">
        <v>0</v>
      </c>
      <c r="L172" s="3">
        <v>12465</v>
      </c>
      <c r="M172" s="3">
        <v>0</v>
      </c>
      <c r="N172" s="3">
        <v>12465</v>
      </c>
      <c r="O172" s="3">
        <v>7228.75</v>
      </c>
      <c r="P172" s="3">
        <v>5236.25</v>
      </c>
      <c r="Q172" t="s">
        <v>201</v>
      </c>
      <c r="R172">
        <v>2024</v>
      </c>
      <c r="S172">
        <v>5</v>
      </c>
    </row>
    <row r="173" spans="1:19" x14ac:dyDescent="0.3">
      <c r="A173" t="s">
        <v>222</v>
      </c>
      <c r="B173" s="2">
        <v>45432</v>
      </c>
      <c r="C173" t="s">
        <v>33</v>
      </c>
      <c r="D173" t="s">
        <v>34</v>
      </c>
      <c r="E173" t="s">
        <v>22</v>
      </c>
      <c r="F173" t="s">
        <v>37</v>
      </c>
      <c r="G173" t="s">
        <v>31</v>
      </c>
      <c r="H173" t="s">
        <v>25</v>
      </c>
      <c r="I173">
        <v>5</v>
      </c>
      <c r="J173" s="3">
        <v>40707</v>
      </c>
      <c r="K173" s="4">
        <v>0</v>
      </c>
      <c r="L173" s="3">
        <v>203535</v>
      </c>
      <c r="M173" s="3">
        <v>0</v>
      </c>
      <c r="N173" s="3">
        <v>203535</v>
      </c>
      <c r="O173" s="3">
        <v>131881.1</v>
      </c>
      <c r="P173" s="3">
        <v>71653.899999999994</v>
      </c>
      <c r="Q173" t="s">
        <v>201</v>
      </c>
      <c r="R173">
        <v>2024</v>
      </c>
      <c r="S173">
        <v>5</v>
      </c>
    </row>
    <row r="174" spans="1:19" x14ac:dyDescent="0.3">
      <c r="A174" t="s">
        <v>223</v>
      </c>
      <c r="B174" s="2">
        <v>45434</v>
      </c>
      <c r="C174" t="s">
        <v>82</v>
      </c>
      <c r="D174" t="s">
        <v>21</v>
      </c>
      <c r="E174" t="s">
        <v>56</v>
      </c>
      <c r="F174" t="s">
        <v>40</v>
      </c>
      <c r="G174" t="s">
        <v>24</v>
      </c>
      <c r="H174" t="s">
        <v>25</v>
      </c>
      <c r="I174">
        <v>1</v>
      </c>
      <c r="J174" s="3">
        <v>44375</v>
      </c>
      <c r="K174" s="4">
        <v>0</v>
      </c>
      <c r="L174" s="3">
        <v>44375</v>
      </c>
      <c r="M174" s="3">
        <v>0</v>
      </c>
      <c r="N174" s="3">
        <v>44375</v>
      </c>
      <c r="O174" s="3">
        <v>27331.02</v>
      </c>
      <c r="P174" s="3">
        <v>17043.98</v>
      </c>
      <c r="Q174" t="s">
        <v>201</v>
      </c>
      <c r="R174">
        <v>2024</v>
      </c>
      <c r="S174">
        <v>5</v>
      </c>
    </row>
    <row r="175" spans="1:19" x14ac:dyDescent="0.3">
      <c r="A175" t="s">
        <v>224</v>
      </c>
      <c r="B175" s="2">
        <v>45435</v>
      </c>
      <c r="C175" t="s">
        <v>33</v>
      </c>
      <c r="D175" t="s">
        <v>34</v>
      </c>
      <c r="E175" t="s">
        <v>22</v>
      </c>
      <c r="F175" t="s">
        <v>23</v>
      </c>
      <c r="G175" t="s">
        <v>24</v>
      </c>
      <c r="H175" t="s">
        <v>25</v>
      </c>
      <c r="I175">
        <v>2</v>
      </c>
      <c r="J175" s="3">
        <v>38738</v>
      </c>
      <c r="K175" s="4">
        <v>10</v>
      </c>
      <c r="L175" s="3">
        <v>77476</v>
      </c>
      <c r="M175" s="3">
        <v>7747.6</v>
      </c>
      <c r="N175" s="3">
        <v>69728.399999999994</v>
      </c>
      <c r="O175" s="3">
        <v>42415.72</v>
      </c>
      <c r="P175" s="3">
        <v>27312.68</v>
      </c>
      <c r="Q175" t="s">
        <v>201</v>
      </c>
      <c r="R175">
        <v>2024</v>
      </c>
      <c r="S175">
        <v>5</v>
      </c>
    </row>
    <row r="176" spans="1:19" x14ac:dyDescent="0.3">
      <c r="A176" t="s">
        <v>225</v>
      </c>
      <c r="B176" s="2">
        <v>45435</v>
      </c>
      <c r="C176" t="s">
        <v>28</v>
      </c>
      <c r="D176" t="s">
        <v>29</v>
      </c>
      <c r="E176" t="s">
        <v>56</v>
      </c>
      <c r="F176" t="s">
        <v>23</v>
      </c>
      <c r="G176" t="s">
        <v>31</v>
      </c>
      <c r="H176" t="s">
        <v>25</v>
      </c>
      <c r="I176">
        <v>1</v>
      </c>
      <c r="J176" s="3">
        <v>68141</v>
      </c>
      <c r="K176" s="4">
        <v>0</v>
      </c>
      <c r="L176" s="3">
        <v>68141</v>
      </c>
      <c r="M176" s="3">
        <v>0</v>
      </c>
      <c r="N176" s="3">
        <v>68141</v>
      </c>
      <c r="O176" s="3">
        <v>40030.660000000003</v>
      </c>
      <c r="P176" s="3">
        <v>28110.34</v>
      </c>
      <c r="Q176" t="s">
        <v>201</v>
      </c>
      <c r="R176">
        <v>2024</v>
      </c>
      <c r="S176">
        <v>5</v>
      </c>
    </row>
    <row r="177" spans="1:19" x14ac:dyDescent="0.3">
      <c r="A177" t="s">
        <v>226</v>
      </c>
      <c r="B177" s="2">
        <v>45435</v>
      </c>
      <c r="C177" t="s">
        <v>48</v>
      </c>
      <c r="D177" t="s">
        <v>34</v>
      </c>
      <c r="E177" t="s">
        <v>22</v>
      </c>
      <c r="F177" t="s">
        <v>40</v>
      </c>
      <c r="G177" t="s">
        <v>31</v>
      </c>
      <c r="H177" t="s">
        <v>25</v>
      </c>
      <c r="I177">
        <v>4</v>
      </c>
      <c r="J177" s="3">
        <v>26359</v>
      </c>
      <c r="K177" s="4">
        <v>10</v>
      </c>
      <c r="L177" s="3">
        <v>105436</v>
      </c>
      <c r="M177" s="3">
        <v>10543.6</v>
      </c>
      <c r="N177" s="3">
        <v>94892.4</v>
      </c>
      <c r="O177" s="3">
        <v>55431.8</v>
      </c>
      <c r="P177" s="3">
        <v>39460.6</v>
      </c>
      <c r="Q177" t="s">
        <v>201</v>
      </c>
      <c r="R177">
        <v>2024</v>
      </c>
      <c r="S177">
        <v>5</v>
      </c>
    </row>
    <row r="178" spans="1:19" x14ac:dyDescent="0.3">
      <c r="A178" t="s">
        <v>227</v>
      </c>
      <c r="B178" s="2">
        <v>45436</v>
      </c>
      <c r="C178" t="s">
        <v>50</v>
      </c>
      <c r="D178" t="s">
        <v>34</v>
      </c>
      <c r="E178" t="s">
        <v>44</v>
      </c>
      <c r="F178" t="s">
        <v>23</v>
      </c>
      <c r="G178" t="s">
        <v>24</v>
      </c>
      <c r="H178" t="s">
        <v>25</v>
      </c>
      <c r="I178">
        <v>3</v>
      </c>
      <c r="J178" s="3">
        <v>18880</v>
      </c>
      <c r="K178" s="4">
        <v>0</v>
      </c>
      <c r="L178" s="3">
        <v>56640</v>
      </c>
      <c r="M178" s="3">
        <v>0</v>
      </c>
      <c r="N178" s="3">
        <v>56640</v>
      </c>
      <c r="O178" s="3">
        <v>30538.28</v>
      </c>
      <c r="P178" s="3">
        <v>26101.72</v>
      </c>
      <c r="Q178" t="s">
        <v>201</v>
      </c>
      <c r="R178">
        <v>2024</v>
      </c>
      <c r="S178">
        <v>5</v>
      </c>
    </row>
    <row r="179" spans="1:19" x14ac:dyDescent="0.3">
      <c r="A179" t="s">
        <v>228</v>
      </c>
      <c r="B179" s="2">
        <v>45436</v>
      </c>
      <c r="C179" t="s">
        <v>33</v>
      </c>
      <c r="D179" t="s">
        <v>34</v>
      </c>
      <c r="E179" t="s">
        <v>44</v>
      </c>
      <c r="F179" t="s">
        <v>40</v>
      </c>
      <c r="G179" t="s">
        <v>31</v>
      </c>
      <c r="H179" t="s">
        <v>25</v>
      </c>
      <c r="I179">
        <v>2</v>
      </c>
      <c r="J179" s="3">
        <v>40090</v>
      </c>
      <c r="K179" s="4">
        <v>0</v>
      </c>
      <c r="L179" s="3">
        <v>80180</v>
      </c>
      <c r="M179" s="3">
        <v>0</v>
      </c>
      <c r="N179" s="3">
        <v>80180</v>
      </c>
      <c r="O179" s="3">
        <v>43500.58</v>
      </c>
      <c r="P179" s="3">
        <v>36679.42</v>
      </c>
      <c r="Q179" t="s">
        <v>201</v>
      </c>
      <c r="R179">
        <v>2024</v>
      </c>
      <c r="S179">
        <v>5</v>
      </c>
    </row>
    <row r="180" spans="1:19" x14ac:dyDescent="0.3">
      <c r="A180" t="s">
        <v>229</v>
      </c>
      <c r="B180" s="2">
        <v>45437</v>
      </c>
      <c r="C180" t="s">
        <v>20</v>
      </c>
      <c r="D180" t="s">
        <v>21</v>
      </c>
      <c r="E180" t="s">
        <v>42</v>
      </c>
      <c r="F180" t="s">
        <v>40</v>
      </c>
      <c r="G180" t="s">
        <v>31</v>
      </c>
      <c r="H180" t="s">
        <v>25</v>
      </c>
      <c r="I180">
        <v>4</v>
      </c>
      <c r="J180" s="3">
        <v>14132</v>
      </c>
      <c r="K180" s="4">
        <v>0</v>
      </c>
      <c r="L180" s="3">
        <v>56528</v>
      </c>
      <c r="M180" s="3">
        <v>0</v>
      </c>
      <c r="N180" s="3">
        <v>56528</v>
      </c>
      <c r="O180" s="3">
        <v>35047.25</v>
      </c>
      <c r="P180" s="3">
        <v>21480.75</v>
      </c>
      <c r="Q180" t="s">
        <v>201</v>
      </c>
      <c r="R180">
        <v>2024</v>
      </c>
      <c r="S180">
        <v>5</v>
      </c>
    </row>
    <row r="181" spans="1:19" x14ac:dyDescent="0.3">
      <c r="A181" t="s">
        <v>230</v>
      </c>
      <c r="B181" s="2">
        <v>45437</v>
      </c>
      <c r="C181" t="s">
        <v>46</v>
      </c>
      <c r="D181" t="s">
        <v>21</v>
      </c>
      <c r="E181" t="s">
        <v>44</v>
      </c>
      <c r="F181" t="s">
        <v>35</v>
      </c>
      <c r="G181" t="s">
        <v>31</v>
      </c>
      <c r="H181" t="s">
        <v>25</v>
      </c>
      <c r="I181">
        <v>1</v>
      </c>
      <c r="J181" s="3">
        <v>11102</v>
      </c>
      <c r="K181" s="4">
        <v>15</v>
      </c>
      <c r="L181" s="3">
        <v>11102</v>
      </c>
      <c r="M181" s="3">
        <v>1665.3</v>
      </c>
      <c r="N181" s="3">
        <v>9436.7000000000007</v>
      </c>
      <c r="O181" s="3">
        <v>6935.04</v>
      </c>
      <c r="P181" s="3">
        <v>2501.66</v>
      </c>
      <c r="Q181" t="s">
        <v>201</v>
      </c>
      <c r="R181">
        <v>2024</v>
      </c>
      <c r="S181">
        <v>5</v>
      </c>
    </row>
    <row r="182" spans="1:19" x14ac:dyDescent="0.3">
      <c r="A182" t="s">
        <v>231</v>
      </c>
      <c r="B182" s="2">
        <v>45438</v>
      </c>
      <c r="C182" t="s">
        <v>33</v>
      </c>
      <c r="D182" t="s">
        <v>34</v>
      </c>
      <c r="E182" t="s">
        <v>44</v>
      </c>
      <c r="F182" t="s">
        <v>23</v>
      </c>
      <c r="G182" t="s">
        <v>31</v>
      </c>
      <c r="H182" t="s">
        <v>25</v>
      </c>
      <c r="I182">
        <v>2</v>
      </c>
      <c r="J182" s="3">
        <v>41271</v>
      </c>
      <c r="K182" s="4">
        <v>0</v>
      </c>
      <c r="L182" s="3">
        <v>82542</v>
      </c>
      <c r="M182" s="3">
        <v>0</v>
      </c>
      <c r="N182" s="3">
        <v>82542</v>
      </c>
      <c r="O182" s="3">
        <v>41693.82</v>
      </c>
      <c r="P182" s="3">
        <v>40848.18</v>
      </c>
      <c r="Q182" t="s">
        <v>201</v>
      </c>
      <c r="R182">
        <v>2024</v>
      </c>
      <c r="S182">
        <v>5</v>
      </c>
    </row>
    <row r="183" spans="1:19" x14ac:dyDescent="0.3">
      <c r="A183" t="s">
        <v>232</v>
      </c>
      <c r="B183" s="2">
        <v>45438</v>
      </c>
      <c r="C183" t="s">
        <v>20</v>
      </c>
      <c r="D183" t="s">
        <v>21</v>
      </c>
      <c r="E183" t="s">
        <v>44</v>
      </c>
      <c r="F183" t="s">
        <v>40</v>
      </c>
      <c r="G183" t="s">
        <v>24</v>
      </c>
      <c r="H183" t="s">
        <v>25</v>
      </c>
      <c r="I183">
        <v>3</v>
      </c>
      <c r="J183" s="3">
        <v>14609</v>
      </c>
      <c r="K183" s="4">
        <v>0</v>
      </c>
      <c r="L183" s="3">
        <v>43827</v>
      </c>
      <c r="M183" s="3">
        <v>0</v>
      </c>
      <c r="N183" s="3">
        <v>43827</v>
      </c>
      <c r="O183" s="3">
        <v>25759.87</v>
      </c>
      <c r="P183" s="3">
        <v>18067.13</v>
      </c>
      <c r="Q183" t="s">
        <v>201</v>
      </c>
      <c r="R183">
        <v>2024</v>
      </c>
      <c r="S183">
        <v>5</v>
      </c>
    </row>
    <row r="184" spans="1:19" x14ac:dyDescent="0.3">
      <c r="A184" t="s">
        <v>233</v>
      </c>
      <c r="B184" s="2">
        <v>45439</v>
      </c>
      <c r="C184" t="s">
        <v>64</v>
      </c>
      <c r="D184" t="s">
        <v>29</v>
      </c>
      <c r="E184" t="s">
        <v>42</v>
      </c>
      <c r="F184" t="s">
        <v>40</v>
      </c>
      <c r="G184" t="s">
        <v>31</v>
      </c>
      <c r="H184" t="s">
        <v>25</v>
      </c>
      <c r="I184">
        <v>1</v>
      </c>
      <c r="J184" s="3">
        <v>29512</v>
      </c>
      <c r="K184" s="4">
        <v>0</v>
      </c>
      <c r="L184" s="3">
        <v>29512</v>
      </c>
      <c r="M184" s="3">
        <v>0</v>
      </c>
      <c r="N184" s="3">
        <v>0</v>
      </c>
      <c r="O184" s="3">
        <v>18725.349999999999</v>
      </c>
      <c r="P184" s="3">
        <v>0</v>
      </c>
      <c r="Q184" t="s">
        <v>201</v>
      </c>
      <c r="R184">
        <v>2024</v>
      </c>
      <c r="S184">
        <v>5</v>
      </c>
    </row>
    <row r="185" spans="1:19" x14ac:dyDescent="0.3">
      <c r="A185" t="s">
        <v>234</v>
      </c>
      <c r="B185" s="2">
        <v>45440</v>
      </c>
      <c r="C185" t="s">
        <v>46</v>
      </c>
      <c r="D185" t="s">
        <v>21</v>
      </c>
      <c r="E185" t="s">
        <v>56</v>
      </c>
      <c r="F185" t="s">
        <v>23</v>
      </c>
      <c r="G185" t="s">
        <v>31</v>
      </c>
      <c r="H185" t="s">
        <v>25</v>
      </c>
      <c r="I185">
        <v>1</v>
      </c>
      <c r="J185" s="3">
        <v>11824</v>
      </c>
      <c r="K185" s="4">
        <v>0</v>
      </c>
      <c r="L185" s="3">
        <v>11824</v>
      </c>
      <c r="M185" s="3">
        <v>0</v>
      </c>
      <c r="N185" s="3">
        <v>11824</v>
      </c>
      <c r="O185" s="3">
        <v>7481.39</v>
      </c>
      <c r="P185" s="3">
        <v>4342.6099999999997</v>
      </c>
      <c r="Q185" t="s">
        <v>201</v>
      </c>
      <c r="R185">
        <v>2024</v>
      </c>
      <c r="S185">
        <v>5</v>
      </c>
    </row>
    <row r="186" spans="1:19" x14ac:dyDescent="0.3">
      <c r="A186" t="s">
        <v>235</v>
      </c>
      <c r="B186" s="2">
        <v>45441</v>
      </c>
      <c r="C186" t="s">
        <v>71</v>
      </c>
      <c r="D186" t="s">
        <v>34</v>
      </c>
      <c r="E186" t="s">
        <v>42</v>
      </c>
      <c r="F186" t="s">
        <v>23</v>
      </c>
      <c r="G186" t="s">
        <v>31</v>
      </c>
      <c r="H186" t="s">
        <v>25</v>
      </c>
      <c r="I186">
        <v>1</v>
      </c>
      <c r="J186" s="3">
        <v>51851</v>
      </c>
      <c r="K186" s="4">
        <v>0</v>
      </c>
      <c r="L186" s="3">
        <v>51851</v>
      </c>
      <c r="M186" s="3">
        <v>0</v>
      </c>
      <c r="N186" s="3">
        <v>51851</v>
      </c>
      <c r="O186" s="3">
        <v>27174.55</v>
      </c>
      <c r="P186" s="3">
        <v>24676.45</v>
      </c>
      <c r="Q186" t="s">
        <v>201</v>
      </c>
      <c r="R186">
        <v>2024</v>
      </c>
      <c r="S186">
        <v>5</v>
      </c>
    </row>
    <row r="187" spans="1:19" x14ac:dyDescent="0.3">
      <c r="A187" t="s">
        <v>236</v>
      </c>
      <c r="B187" s="2">
        <v>45442</v>
      </c>
      <c r="C187" t="s">
        <v>71</v>
      </c>
      <c r="D187" t="s">
        <v>34</v>
      </c>
      <c r="E187" t="s">
        <v>44</v>
      </c>
      <c r="F187" t="s">
        <v>40</v>
      </c>
      <c r="G187" t="s">
        <v>24</v>
      </c>
      <c r="H187" t="s">
        <v>25</v>
      </c>
      <c r="I187">
        <v>5</v>
      </c>
      <c r="J187" s="3">
        <v>50101</v>
      </c>
      <c r="K187" s="4">
        <v>0</v>
      </c>
      <c r="L187" s="3">
        <v>250505</v>
      </c>
      <c r="M187" s="3">
        <v>0</v>
      </c>
      <c r="N187" s="3">
        <v>250505</v>
      </c>
      <c r="O187" s="3">
        <v>152078.76</v>
      </c>
      <c r="P187" s="3">
        <v>98426.240000000005</v>
      </c>
      <c r="Q187" t="s">
        <v>201</v>
      </c>
      <c r="R187">
        <v>2024</v>
      </c>
      <c r="S187">
        <v>5</v>
      </c>
    </row>
    <row r="188" spans="1:19" x14ac:dyDescent="0.3">
      <c r="A188" t="s">
        <v>237</v>
      </c>
      <c r="B188" s="2">
        <v>45442</v>
      </c>
      <c r="C188" t="s">
        <v>75</v>
      </c>
      <c r="D188" t="s">
        <v>34</v>
      </c>
      <c r="E188" t="s">
        <v>22</v>
      </c>
      <c r="F188" t="s">
        <v>40</v>
      </c>
      <c r="G188" t="s">
        <v>31</v>
      </c>
      <c r="H188" t="s">
        <v>25</v>
      </c>
      <c r="I188">
        <v>2</v>
      </c>
      <c r="J188" s="3">
        <v>38235</v>
      </c>
      <c r="K188" s="4">
        <v>0</v>
      </c>
      <c r="L188" s="3">
        <v>76470</v>
      </c>
      <c r="M188" s="3">
        <v>0</v>
      </c>
      <c r="N188" s="3">
        <v>76470</v>
      </c>
      <c r="O188" s="3">
        <v>42306.89</v>
      </c>
      <c r="P188" s="3">
        <v>34163.11</v>
      </c>
      <c r="Q188" t="s">
        <v>201</v>
      </c>
      <c r="R188">
        <v>2024</v>
      </c>
      <c r="S188">
        <v>5</v>
      </c>
    </row>
    <row r="189" spans="1:19" x14ac:dyDescent="0.3">
      <c r="A189" t="s">
        <v>238</v>
      </c>
      <c r="B189" s="2">
        <v>45443</v>
      </c>
      <c r="C189" t="s">
        <v>28</v>
      </c>
      <c r="D189" t="s">
        <v>29</v>
      </c>
      <c r="E189" t="s">
        <v>22</v>
      </c>
      <c r="F189" t="s">
        <v>23</v>
      </c>
      <c r="G189" t="s">
        <v>31</v>
      </c>
      <c r="H189" t="s">
        <v>25</v>
      </c>
      <c r="I189">
        <v>3</v>
      </c>
      <c r="J189" s="3">
        <v>63924</v>
      </c>
      <c r="K189" s="4">
        <v>0</v>
      </c>
      <c r="L189" s="3">
        <v>191772</v>
      </c>
      <c r="M189" s="3">
        <v>0</v>
      </c>
      <c r="N189" s="3">
        <v>191772</v>
      </c>
      <c r="O189" s="3">
        <v>125238.46</v>
      </c>
      <c r="P189" s="3">
        <v>66533.539999999994</v>
      </c>
      <c r="Q189" t="s">
        <v>201</v>
      </c>
      <c r="R189">
        <v>2024</v>
      </c>
      <c r="S189">
        <v>5</v>
      </c>
    </row>
    <row r="190" spans="1:19" x14ac:dyDescent="0.3">
      <c r="A190" t="s">
        <v>239</v>
      </c>
      <c r="B190" s="2">
        <v>45444</v>
      </c>
      <c r="C190" t="s">
        <v>33</v>
      </c>
      <c r="D190" t="s">
        <v>34</v>
      </c>
      <c r="E190" t="s">
        <v>22</v>
      </c>
      <c r="F190" t="s">
        <v>35</v>
      </c>
      <c r="G190" t="s">
        <v>31</v>
      </c>
      <c r="H190" t="s">
        <v>240</v>
      </c>
      <c r="I190">
        <v>5</v>
      </c>
      <c r="J190" s="3">
        <v>43182</v>
      </c>
      <c r="K190" s="4">
        <v>10</v>
      </c>
      <c r="L190" s="3">
        <v>215910</v>
      </c>
      <c r="M190" s="3">
        <v>21591</v>
      </c>
      <c r="N190" s="3">
        <v>194319</v>
      </c>
      <c r="O190" s="3">
        <v>129978.14</v>
      </c>
      <c r="P190" s="3">
        <v>64340.86</v>
      </c>
      <c r="Q190" t="s">
        <v>241</v>
      </c>
      <c r="R190">
        <v>2024</v>
      </c>
      <c r="S190">
        <v>6</v>
      </c>
    </row>
    <row r="191" spans="1:19" x14ac:dyDescent="0.3">
      <c r="A191" t="s">
        <v>242</v>
      </c>
      <c r="B191" s="2">
        <v>45445</v>
      </c>
      <c r="C191" t="s">
        <v>28</v>
      </c>
      <c r="D191" t="s">
        <v>29</v>
      </c>
      <c r="E191" t="s">
        <v>22</v>
      </c>
      <c r="F191" t="s">
        <v>40</v>
      </c>
      <c r="G191" t="s">
        <v>24</v>
      </c>
      <c r="H191" t="s">
        <v>240</v>
      </c>
      <c r="I191">
        <v>1</v>
      </c>
      <c r="J191" s="3">
        <v>66637</v>
      </c>
      <c r="K191" s="4">
        <v>10</v>
      </c>
      <c r="L191" s="3">
        <v>66637</v>
      </c>
      <c r="M191" s="3">
        <v>6663.7</v>
      </c>
      <c r="N191" s="3">
        <v>59973.3</v>
      </c>
      <c r="O191" s="3">
        <v>37193.01</v>
      </c>
      <c r="P191" s="3">
        <v>22780.29</v>
      </c>
      <c r="Q191" t="s">
        <v>241</v>
      </c>
      <c r="R191">
        <v>2024</v>
      </c>
      <c r="S191">
        <v>6</v>
      </c>
    </row>
    <row r="192" spans="1:19" x14ac:dyDescent="0.3">
      <c r="A192" t="s">
        <v>243</v>
      </c>
      <c r="B192" s="2">
        <v>45445</v>
      </c>
      <c r="C192" t="s">
        <v>20</v>
      </c>
      <c r="D192" t="s">
        <v>21</v>
      </c>
      <c r="E192" t="s">
        <v>44</v>
      </c>
      <c r="F192" t="s">
        <v>37</v>
      </c>
      <c r="G192" t="s">
        <v>31</v>
      </c>
      <c r="H192" t="s">
        <v>25</v>
      </c>
      <c r="I192">
        <v>1</v>
      </c>
      <c r="J192" s="3">
        <v>14157</v>
      </c>
      <c r="K192" s="4">
        <v>0</v>
      </c>
      <c r="L192" s="3">
        <v>14157</v>
      </c>
      <c r="M192" s="3">
        <v>0</v>
      </c>
      <c r="N192" s="3">
        <v>14157</v>
      </c>
      <c r="O192" s="3">
        <v>8544.9699999999993</v>
      </c>
      <c r="P192" s="3">
        <v>5612.03</v>
      </c>
      <c r="Q192" t="s">
        <v>241</v>
      </c>
      <c r="R192">
        <v>2024</v>
      </c>
      <c r="S192">
        <v>6</v>
      </c>
    </row>
    <row r="193" spans="1:19" x14ac:dyDescent="0.3">
      <c r="A193" t="s">
        <v>244</v>
      </c>
      <c r="B193" s="2">
        <v>45445</v>
      </c>
      <c r="C193" t="s">
        <v>71</v>
      </c>
      <c r="D193" t="s">
        <v>34</v>
      </c>
      <c r="E193" t="s">
        <v>22</v>
      </c>
      <c r="F193" t="s">
        <v>35</v>
      </c>
      <c r="G193" t="s">
        <v>24</v>
      </c>
      <c r="H193" t="s">
        <v>240</v>
      </c>
      <c r="I193">
        <v>1</v>
      </c>
      <c r="J193" s="3">
        <v>51810</v>
      </c>
      <c r="K193" s="4">
        <v>20</v>
      </c>
      <c r="L193" s="3">
        <v>51810</v>
      </c>
      <c r="M193" s="3">
        <v>10362</v>
      </c>
      <c r="N193" s="3">
        <v>41448</v>
      </c>
      <c r="O193" s="3">
        <v>29522.2</v>
      </c>
      <c r="P193" s="3">
        <v>11925.8</v>
      </c>
      <c r="Q193" t="s">
        <v>241</v>
      </c>
      <c r="R193">
        <v>2024</v>
      </c>
      <c r="S193">
        <v>6</v>
      </c>
    </row>
    <row r="194" spans="1:19" x14ac:dyDescent="0.3">
      <c r="A194" t="s">
        <v>245</v>
      </c>
      <c r="B194" s="2">
        <v>45446</v>
      </c>
      <c r="C194" t="s">
        <v>64</v>
      </c>
      <c r="D194" t="s">
        <v>29</v>
      </c>
      <c r="E194" t="s">
        <v>42</v>
      </c>
      <c r="F194" t="s">
        <v>37</v>
      </c>
      <c r="G194" t="s">
        <v>31</v>
      </c>
      <c r="H194" t="s">
        <v>240</v>
      </c>
      <c r="I194">
        <v>1</v>
      </c>
      <c r="J194" s="3">
        <v>32134</v>
      </c>
      <c r="K194" s="4">
        <v>20</v>
      </c>
      <c r="L194" s="3">
        <v>32134</v>
      </c>
      <c r="M194" s="3">
        <v>6426.8</v>
      </c>
      <c r="N194" s="3">
        <v>25707.200000000001</v>
      </c>
      <c r="O194" s="3">
        <v>21366.04</v>
      </c>
      <c r="P194" s="3">
        <v>4341.16</v>
      </c>
      <c r="Q194" t="s">
        <v>241</v>
      </c>
      <c r="R194">
        <v>2024</v>
      </c>
      <c r="S194">
        <v>6</v>
      </c>
    </row>
    <row r="195" spans="1:19" x14ac:dyDescent="0.3">
      <c r="A195" t="s">
        <v>246</v>
      </c>
      <c r="B195" s="2">
        <v>45447</v>
      </c>
      <c r="C195" t="s">
        <v>28</v>
      </c>
      <c r="D195" t="s">
        <v>29</v>
      </c>
      <c r="E195" t="s">
        <v>42</v>
      </c>
      <c r="F195" t="s">
        <v>40</v>
      </c>
      <c r="G195" t="s">
        <v>31</v>
      </c>
      <c r="H195" t="s">
        <v>25</v>
      </c>
      <c r="I195">
        <v>1</v>
      </c>
      <c r="J195" s="3">
        <v>67426</v>
      </c>
      <c r="K195" s="4">
        <v>0</v>
      </c>
      <c r="L195" s="3">
        <v>67426</v>
      </c>
      <c r="M195" s="3">
        <v>0</v>
      </c>
      <c r="N195" s="3">
        <v>67426</v>
      </c>
      <c r="O195" s="3">
        <v>41066.18</v>
      </c>
      <c r="P195" s="3">
        <v>26359.82</v>
      </c>
      <c r="Q195" t="s">
        <v>241</v>
      </c>
      <c r="R195">
        <v>2024</v>
      </c>
      <c r="S195">
        <v>6</v>
      </c>
    </row>
    <row r="196" spans="1:19" x14ac:dyDescent="0.3">
      <c r="A196" t="s">
        <v>247</v>
      </c>
      <c r="B196" s="2">
        <v>45448</v>
      </c>
      <c r="C196" t="s">
        <v>64</v>
      </c>
      <c r="D196" t="s">
        <v>29</v>
      </c>
      <c r="E196" t="s">
        <v>42</v>
      </c>
      <c r="F196" t="s">
        <v>23</v>
      </c>
      <c r="G196" t="s">
        <v>24</v>
      </c>
      <c r="H196" t="s">
        <v>240</v>
      </c>
      <c r="I196">
        <v>2</v>
      </c>
      <c r="J196" s="3">
        <v>31867</v>
      </c>
      <c r="K196" s="4">
        <v>10</v>
      </c>
      <c r="L196" s="3">
        <v>63734</v>
      </c>
      <c r="M196" s="3">
        <v>6373.4</v>
      </c>
      <c r="N196" s="3">
        <v>57360.6</v>
      </c>
      <c r="O196" s="3">
        <v>37289.9</v>
      </c>
      <c r="P196" s="3">
        <v>20070.7</v>
      </c>
      <c r="Q196" t="s">
        <v>241</v>
      </c>
      <c r="R196">
        <v>2024</v>
      </c>
      <c r="S196">
        <v>6</v>
      </c>
    </row>
    <row r="197" spans="1:19" x14ac:dyDescent="0.3">
      <c r="A197" t="s">
        <v>248</v>
      </c>
      <c r="B197" s="2">
        <v>45449</v>
      </c>
      <c r="C197" t="s">
        <v>50</v>
      </c>
      <c r="D197" t="s">
        <v>34</v>
      </c>
      <c r="E197" t="s">
        <v>22</v>
      </c>
      <c r="F197" t="s">
        <v>40</v>
      </c>
      <c r="G197" t="s">
        <v>31</v>
      </c>
      <c r="H197" t="s">
        <v>25</v>
      </c>
      <c r="I197">
        <v>1</v>
      </c>
      <c r="J197" s="3">
        <v>18883</v>
      </c>
      <c r="K197" s="4">
        <v>0</v>
      </c>
      <c r="L197" s="3">
        <v>18883</v>
      </c>
      <c r="M197" s="3">
        <v>0</v>
      </c>
      <c r="N197" s="3">
        <v>18883</v>
      </c>
      <c r="O197" s="3">
        <v>12831.48</v>
      </c>
      <c r="P197" s="3">
        <v>6051.52</v>
      </c>
      <c r="Q197" t="s">
        <v>241</v>
      </c>
      <c r="R197">
        <v>2024</v>
      </c>
      <c r="S197">
        <v>6</v>
      </c>
    </row>
    <row r="198" spans="1:19" x14ac:dyDescent="0.3">
      <c r="A198" t="s">
        <v>249</v>
      </c>
      <c r="B198" s="2">
        <v>45451</v>
      </c>
      <c r="C198" t="s">
        <v>75</v>
      </c>
      <c r="D198" t="s">
        <v>34</v>
      </c>
      <c r="E198" t="s">
        <v>56</v>
      </c>
      <c r="F198" t="s">
        <v>40</v>
      </c>
      <c r="G198" t="s">
        <v>31</v>
      </c>
      <c r="H198" t="s">
        <v>25</v>
      </c>
      <c r="I198">
        <v>1</v>
      </c>
      <c r="J198" s="3">
        <v>36887</v>
      </c>
      <c r="K198" s="4">
        <v>0</v>
      </c>
      <c r="L198" s="3">
        <v>36887</v>
      </c>
      <c r="M198" s="3">
        <v>0</v>
      </c>
      <c r="N198" s="3">
        <v>36887</v>
      </c>
      <c r="O198" s="3">
        <v>24164.59</v>
      </c>
      <c r="P198" s="3">
        <v>12722.41</v>
      </c>
      <c r="Q198" t="s">
        <v>241</v>
      </c>
      <c r="R198">
        <v>2024</v>
      </c>
      <c r="S198">
        <v>6</v>
      </c>
    </row>
    <row r="199" spans="1:19" x14ac:dyDescent="0.3">
      <c r="A199" t="s">
        <v>250</v>
      </c>
      <c r="B199" s="2">
        <v>45451</v>
      </c>
      <c r="C199" t="s">
        <v>75</v>
      </c>
      <c r="D199" t="s">
        <v>34</v>
      </c>
      <c r="E199" t="s">
        <v>56</v>
      </c>
      <c r="F199" t="s">
        <v>40</v>
      </c>
      <c r="G199" t="s">
        <v>31</v>
      </c>
      <c r="H199" t="s">
        <v>25</v>
      </c>
      <c r="I199">
        <v>2</v>
      </c>
      <c r="J199" s="3">
        <v>39594</v>
      </c>
      <c r="K199" s="4">
        <v>0</v>
      </c>
      <c r="L199" s="3">
        <v>79188</v>
      </c>
      <c r="M199" s="3">
        <v>0</v>
      </c>
      <c r="N199" s="3">
        <v>0</v>
      </c>
      <c r="O199" s="3">
        <v>52833.81</v>
      </c>
      <c r="P199" s="3">
        <v>0</v>
      </c>
      <c r="Q199" t="s">
        <v>241</v>
      </c>
      <c r="R199">
        <v>2024</v>
      </c>
      <c r="S199">
        <v>6</v>
      </c>
    </row>
    <row r="200" spans="1:19" x14ac:dyDescent="0.3">
      <c r="A200" t="s">
        <v>251</v>
      </c>
      <c r="B200" s="2">
        <v>45452</v>
      </c>
      <c r="C200" t="s">
        <v>50</v>
      </c>
      <c r="D200" t="s">
        <v>34</v>
      </c>
      <c r="E200" t="s">
        <v>42</v>
      </c>
      <c r="F200" t="s">
        <v>40</v>
      </c>
      <c r="G200" t="s">
        <v>31</v>
      </c>
      <c r="H200" t="s">
        <v>240</v>
      </c>
      <c r="I200">
        <v>2</v>
      </c>
      <c r="J200" s="3">
        <v>18307</v>
      </c>
      <c r="K200" s="4">
        <v>15</v>
      </c>
      <c r="L200" s="3">
        <v>36614</v>
      </c>
      <c r="M200" s="3">
        <v>5492.1</v>
      </c>
      <c r="N200" s="3">
        <v>31121.9</v>
      </c>
      <c r="O200" s="3">
        <v>18168.96</v>
      </c>
      <c r="P200" s="3">
        <v>12952.94</v>
      </c>
      <c r="Q200" t="s">
        <v>241</v>
      </c>
      <c r="R200">
        <v>2024</v>
      </c>
      <c r="S200">
        <v>6</v>
      </c>
    </row>
    <row r="201" spans="1:19" x14ac:dyDescent="0.3">
      <c r="A201" t="s">
        <v>252</v>
      </c>
      <c r="B201" s="2">
        <v>45453</v>
      </c>
      <c r="C201" t="s">
        <v>82</v>
      </c>
      <c r="D201" t="s">
        <v>21</v>
      </c>
      <c r="E201" t="s">
        <v>42</v>
      </c>
      <c r="F201" t="s">
        <v>40</v>
      </c>
      <c r="G201" t="s">
        <v>31</v>
      </c>
      <c r="H201" t="s">
        <v>25</v>
      </c>
      <c r="I201">
        <v>2</v>
      </c>
      <c r="J201" s="3">
        <v>44258</v>
      </c>
      <c r="K201" s="4">
        <v>0</v>
      </c>
      <c r="L201" s="3">
        <v>88516</v>
      </c>
      <c r="M201" s="3">
        <v>0</v>
      </c>
      <c r="N201" s="3">
        <v>88516</v>
      </c>
      <c r="O201" s="3">
        <v>53120.12</v>
      </c>
      <c r="P201" s="3">
        <v>35395.879999999997</v>
      </c>
      <c r="Q201" t="s">
        <v>241</v>
      </c>
      <c r="R201">
        <v>2024</v>
      </c>
      <c r="S201">
        <v>6</v>
      </c>
    </row>
    <row r="202" spans="1:19" x14ac:dyDescent="0.3">
      <c r="A202" t="s">
        <v>253</v>
      </c>
      <c r="B202" s="2">
        <v>45453</v>
      </c>
      <c r="C202" t="s">
        <v>20</v>
      </c>
      <c r="D202" t="s">
        <v>21</v>
      </c>
      <c r="E202" t="s">
        <v>22</v>
      </c>
      <c r="F202" t="s">
        <v>40</v>
      </c>
      <c r="G202" t="s">
        <v>31</v>
      </c>
      <c r="H202" t="s">
        <v>240</v>
      </c>
      <c r="I202">
        <v>2</v>
      </c>
      <c r="J202" s="3">
        <v>14280</v>
      </c>
      <c r="K202" s="4">
        <v>10</v>
      </c>
      <c r="L202" s="3">
        <v>28560</v>
      </c>
      <c r="M202" s="3">
        <v>2856</v>
      </c>
      <c r="N202" s="3">
        <v>25704</v>
      </c>
      <c r="O202" s="3">
        <v>18288.38</v>
      </c>
      <c r="P202" s="3">
        <v>7415.62</v>
      </c>
      <c r="Q202" t="s">
        <v>241</v>
      </c>
      <c r="R202">
        <v>2024</v>
      </c>
      <c r="S202">
        <v>6</v>
      </c>
    </row>
    <row r="203" spans="1:19" x14ac:dyDescent="0.3">
      <c r="A203" t="s">
        <v>254</v>
      </c>
      <c r="B203" s="2">
        <v>45456</v>
      </c>
      <c r="C203" t="s">
        <v>75</v>
      </c>
      <c r="D203" t="s">
        <v>34</v>
      </c>
      <c r="E203" t="s">
        <v>22</v>
      </c>
      <c r="F203" t="s">
        <v>37</v>
      </c>
      <c r="G203" t="s">
        <v>31</v>
      </c>
      <c r="H203" t="s">
        <v>25</v>
      </c>
      <c r="I203">
        <v>2</v>
      </c>
      <c r="J203" s="3">
        <v>36529</v>
      </c>
      <c r="K203" s="4">
        <v>0</v>
      </c>
      <c r="L203" s="3">
        <v>73058</v>
      </c>
      <c r="M203" s="3">
        <v>0</v>
      </c>
      <c r="N203" s="3">
        <v>0</v>
      </c>
      <c r="O203" s="3">
        <v>43589.25</v>
      </c>
      <c r="P203" s="3">
        <v>0</v>
      </c>
      <c r="Q203" t="s">
        <v>241</v>
      </c>
      <c r="R203">
        <v>2024</v>
      </c>
      <c r="S203">
        <v>6</v>
      </c>
    </row>
    <row r="204" spans="1:19" x14ac:dyDescent="0.3">
      <c r="A204" t="s">
        <v>255</v>
      </c>
      <c r="B204" s="2">
        <v>45457</v>
      </c>
      <c r="C204" t="s">
        <v>46</v>
      </c>
      <c r="D204" t="s">
        <v>21</v>
      </c>
      <c r="E204" t="s">
        <v>22</v>
      </c>
      <c r="F204" t="s">
        <v>40</v>
      </c>
      <c r="G204" t="s">
        <v>24</v>
      </c>
      <c r="H204" t="s">
        <v>240</v>
      </c>
      <c r="I204">
        <v>1</v>
      </c>
      <c r="J204" s="3">
        <v>11933</v>
      </c>
      <c r="K204" s="4">
        <v>20</v>
      </c>
      <c r="L204" s="3">
        <v>11933</v>
      </c>
      <c r="M204" s="3">
        <v>2386.6</v>
      </c>
      <c r="N204" s="3">
        <v>9546.4</v>
      </c>
      <c r="O204" s="3">
        <v>7155.47</v>
      </c>
      <c r="P204" s="3">
        <v>2390.9299999999998</v>
      </c>
      <c r="Q204" t="s">
        <v>241</v>
      </c>
      <c r="R204">
        <v>2024</v>
      </c>
      <c r="S204">
        <v>6</v>
      </c>
    </row>
    <row r="205" spans="1:19" x14ac:dyDescent="0.3">
      <c r="A205" t="s">
        <v>256</v>
      </c>
      <c r="B205" s="2">
        <v>45458</v>
      </c>
      <c r="C205" t="s">
        <v>46</v>
      </c>
      <c r="D205" t="s">
        <v>21</v>
      </c>
      <c r="E205" t="s">
        <v>22</v>
      </c>
      <c r="F205" t="s">
        <v>35</v>
      </c>
      <c r="G205" t="s">
        <v>31</v>
      </c>
      <c r="H205" t="s">
        <v>25</v>
      </c>
      <c r="I205">
        <v>2</v>
      </c>
      <c r="J205" s="3">
        <v>11244</v>
      </c>
      <c r="K205" s="4">
        <v>0</v>
      </c>
      <c r="L205" s="3">
        <v>22488</v>
      </c>
      <c r="M205" s="3">
        <v>0</v>
      </c>
      <c r="N205" s="3">
        <v>22488</v>
      </c>
      <c r="O205" s="3">
        <v>15289.2</v>
      </c>
      <c r="P205" s="3">
        <v>7198.8</v>
      </c>
      <c r="Q205" t="s">
        <v>241</v>
      </c>
      <c r="R205">
        <v>2024</v>
      </c>
      <c r="S205">
        <v>6</v>
      </c>
    </row>
    <row r="206" spans="1:19" x14ac:dyDescent="0.3">
      <c r="A206" t="s">
        <v>257</v>
      </c>
      <c r="B206" s="2">
        <v>45458</v>
      </c>
      <c r="C206" t="s">
        <v>20</v>
      </c>
      <c r="D206" t="s">
        <v>21</v>
      </c>
      <c r="E206" t="s">
        <v>22</v>
      </c>
      <c r="F206" t="s">
        <v>23</v>
      </c>
      <c r="G206" t="s">
        <v>24</v>
      </c>
      <c r="H206" t="s">
        <v>25</v>
      </c>
      <c r="I206">
        <v>1</v>
      </c>
      <c r="J206" s="3">
        <v>14550</v>
      </c>
      <c r="K206" s="4">
        <v>0</v>
      </c>
      <c r="L206" s="3">
        <v>14550</v>
      </c>
      <c r="M206" s="3">
        <v>0</v>
      </c>
      <c r="N206" s="3">
        <v>14550</v>
      </c>
      <c r="O206" s="3">
        <v>9025.5499999999993</v>
      </c>
      <c r="P206" s="3">
        <v>5524.45</v>
      </c>
      <c r="Q206" t="s">
        <v>241</v>
      </c>
      <c r="R206">
        <v>2024</v>
      </c>
      <c r="S206">
        <v>6</v>
      </c>
    </row>
    <row r="207" spans="1:19" x14ac:dyDescent="0.3">
      <c r="A207" t="s">
        <v>258</v>
      </c>
      <c r="B207" s="2">
        <v>45459</v>
      </c>
      <c r="C207" t="s">
        <v>64</v>
      </c>
      <c r="D207" t="s">
        <v>29</v>
      </c>
      <c r="E207" t="s">
        <v>22</v>
      </c>
      <c r="F207" t="s">
        <v>23</v>
      </c>
      <c r="G207" t="s">
        <v>31</v>
      </c>
      <c r="H207" t="s">
        <v>25</v>
      </c>
      <c r="I207">
        <v>4</v>
      </c>
      <c r="J207" s="3">
        <v>32136</v>
      </c>
      <c r="K207" s="4">
        <v>0</v>
      </c>
      <c r="L207" s="3">
        <v>128544</v>
      </c>
      <c r="M207" s="3">
        <v>0</v>
      </c>
      <c r="N207" s="3">
        <v>128544</v>
      </c>
      <c r="O207" s="3">
        <v>63607.66</v>
      </c>
      <c r="P207" s="3">
        <v>64936.34</v>
      </c>
      <c r="Q207" t="s">
        <v>241</v>
      </c>
      <c r="R207">
        <v>2024</v>
      </c>
      <c r="S207">
        <v>6</v>
      </c>
    </row>
    <row r="208" spans="1:19" x14ac:dyDescent="0.3">
      <c r="A208" t="s">
        <v>259</v>
      </c>
      <c r="B208" s="2">
        <v>45461</v>
      </c>
      <c r="C208" t="s">
        <v>33</v>
      </c>
      <c r="D208" t="s">
        <v>34</v>
      </c>
      <c r="E208" t="s">
        <v>22</v>
      </c>
      <c r="F208" t="s">
        <v>30</v>
      </c>
      <c r="G208" t="s">
        <v>31</v>
      </c>
      <c r="H208" t="s">
        <v>25</v>
      </c>
      <c r="I208">
        <v>2</v>
      </c>
      <c r="J208" s="3">
        <v>39776</v>
      </c>
      <c r="K208" s="4">
        <v>0</v>
      </c>
      <c r="L208" s="3">
        <v>79552</v>
      </c>
      <c r="M208" s="3">
        <v>0</v>
      </c>
      <c r="N208" s="3">
        <v>79552</v>
      </c>
      <c r="O208" s="3">
        <v>51761.58</v>
      </c>
      <c r="P208" s="3">
        <v>27790.42</v>
      </c>
      <c r="Q208" t="s">
        <v>241</v>
      </c>
      <c r="R208">
        <v>2024</v>
      </c>
      <c r="S208">
        <v>6</v>
      </c>
    </row>
    <row r="209" spans="1:19" x14ac:dyDescent="0.3">
      <c r="A209" t="s">
        <v>260</v>
      </c>
      <c r="B209" s="2">
        <v>45461</v>
      </c>
      <c r="C209" t="s">
        <v>20</v>
      </c>
      <c r="D209" t="s">
        <v>21</v>
      </c>
      <c r="E209" t="s">
        <v>22</v>
      </c>
      <c r="F209" t="s">
        <v>23</v>
      </c>
      <c r="G209" t="s">
        <v>31</v>
      </c>
      <c r="H209" t="s">
        <v>25</v>
      </c>
      <c r="I209">
        <v>1</v>
      </c>
      <c r="J209" s="3">
        <v>16165</v>
      </c>
      <c r="K209" s="4">
        <v>0</v>
      </c>
      <c r="L209" s="3">
        <v>16165</v>
      </c>
      <c r="M209" s="3">
        <v>0</v>
      </c>
      <c r="N209" s="3">
        <v>16165</v>
      </c>
      <c r="O209" s="3">
        <v>10851.77</v>
      </c>
      <c r="P209" s="3">
        <v>5313.23</v>
      </c>
      <c r="Q209" t="s">
        <v>241</v>
      </c>
      <c r="R209">
        <v>2024</v>
      </c>
      <c r="S209">
        <v>6</v>
      </c>
    </row>
    <row r="210" spans="1:19" x14ac:dyDescent="0.3">
      <c r="A210" t="s">
        <v>261</v>
      </c>
      <c r="B210" s="2">
        <v>45463</v>
      </c>
      <c r="C210" t="s">
        <v>64</v>
      </c>
      <c r="D210" t="s">
        <v>29</v>
      </c>
      <c r="E210" t="s">
        <v>56</v>
      </c>
      <c r="F210" t="s">
        <v>40</v>
      </c>
      <c r="G210" t="s">
        <v>31</v>
      </c>
      <c r="H210" t="s">
        <v>25</v>
      </c>
      <c r="I210">
        <v>1</v>
      </c>
      <c r="J210" s="3">
        <v>30973</v>
      </c>
      <c r="K210" s="4">
        <v>5</v>
      </c>
      <c r="L210" s="3">
        <v>30973</v>
      </c>
      <c r="M210" s="3">
        <v>1548.65</v>
      </c>
      <c r="N210" s="3">
        <v>29424.35</v>
      </c>
      <c r="O210" s="3">
        <v>18764.169999999998</v>
      </c>
      <c r="P210" s="3">
        <v>10660.18</v>
      </c>
      <c r="Q210" t="s">
        <v>241</v>
      </c>
      <c r="R210">
        <v>2024</v>
      </c>
      <c r="S210">
        <v>6</v>
      </c>
    </row>
    <row r="211" spans="1:19" x14ac:dyDescent="0.3">
      <c r="A211" t="s">
        <v>262</v>
      </c>
      <c r="B211" s="2">
        <v>45463</v>
      </c>
      <c r="C211" t="s">
        <v>75</v>
      </c>
      <c r="D211" t="s">
        <v>34</v>
      </c>
      <c r="E211" t="s">
        <v>42</v>
      </c>
      <c r="F211" t="s">
        <v>37</v>
      </c>
      <c r="G211" t="s">
        <v>24</v>
      </c>
      <c r="H211" t="s">
        <v>240</v>
      </c>
      <c r="I211">
        <v>1</v>
      </c>
      <c r="J211" s="3">
        <v>37646</v>
      </c>
      <c r="K211" s="4">
        <v>5</v>
      </c>
      <c r="L211" s="3">
        <v>37646</v>
      </c>
      <c r="M211" s="3">
        <v>1882.3</v>
      </c>
      <c r="N211" s="3">
        <v>35763.699999999997</v>
      </c>
      <c r="O211" s="3">
        <v>20937.84</v>
      </c>
      <c r="P211" s="3">
        <v>14825.86</v>
      </c>
      <c r="Q211" t="s">
        <v>241</v>
      </c>
      <c r="R211">
        <v>2024</v>
      </c>
      <c r="S211">
        <v>6</v>
      </c>
    </row>
    <row r="212" spans="1:19" x14ac:dyDescent="0.3">
      <c r="A212" t="s">
        <v>263</v>
      </c>
      <c r="B212" s="2">
        <v>45464</v>
      </c>
      <c r="C212" t="s">
        <v>33</v>
      </c>
      <c r="D212" t="s">
        <v>34</v>
      </c>
      <c r="E212" t="s">
        <v>42</v>
      </c>
      <c r="F212" t="s">
        <v>23</v>
      </c>
      <c r="G212" t="s">
        <v>31</v>
      </c>
      <c r="H212" t="s">
        <v>25</v>
      </c>
      <c r="I212">
        <v>5</v>
      </c>
      <c r="J212" s="3">
        <v>38915</v>
      </c>
      <c r="K212" s="4">
        <v>0</v>
      </c>
      <c r="L212" s="3">
        <v>194575</v>
      </c>
      <c r="M212" s="3">
        <v>0</v>
      </c>
      <c r="N212" s="3">
        <v>194575</v>
      </c>
      <c r="O212" s="3">
        <v>110946.14</v>
      </c>
      <c r="P212" s="3">
        <v>83628.86</v>
      </c>
      <c r="Q212" t="s">
        <v>241</v>
      </c>
      <c r="R212">
        <v>2024</v>
      </c>
      <c r="S212">
        <v>6</v>
      </c>
    </row>
    <row r="213" spans="1:19" x14ac:dyDescent="0.3">
      <c r="A213" t="s">
        <v>264</v>
      </c>
      <c r="B213" s="2">
        <v>45464</v>
      </c>
      <c r="C213" t="s">
        <v>82</v>
      </c>
      <c r="D213" t="s">
        <v>21</v>
      </c>
      <c r="E213" t="s">
        <v>56</v>
      </c>
      <c r="F213" t="s">
        <v>30</v>
      </c>
      <c r="G213" t="s">
        <v>31</v>
      </c>
      <c r="H213" t="s">
        <v>25</v>
      </c>
      <c r="I213">
        <v>1</v>
      </c>
      <c r="J213" s="3">
        <v>45388</v>
      </c>
      <c r="K213" s="4">
        <v>0</v>
      </c>
      <c r="L213" s="3">
        <v>45388</v>
      </c>
      <c r="M213" s="3">
        <v>0</v>
      </c>
      <c r="N213" s="3">
        <v>45388</v>
      </c>
      <c r="O213" s="3">
        <v>25917.23</v>
      </c>
      <c r="P213" s="3">
        <v>19470.77</v>
      </c>
      <c r="Q213" t="s">
        <v>241</v>
      </c>
      <c r="R213">
        <v>2024</v>
      </c>
      <c r="S213">
        <v>6</v>
      </c>
    </row>
    <row r="214" spans="1:19" x14ac:dyDescent="0.3">
      <c r="A214" t="s">
        <v>265</v>
      </c>
      <c r="B214" s="2">
        <v>45464</v>
      </c>
      <c r="C214" t="s">
        <v>50</v>
      </c>
      <c r="D214" t="s">
        <v>34</v>
      </c>
      <c r="E214" t="s">
        <v>22</v>
      </c>
      <c r="F214" t="s">
        <v>40</v>
      </c>
      <c r="G214" t="s">
        <v>31</v>
      </c>
      <c r="H214" t="s">
        <v>240</v>
      </c>
      <c r="I214">
        <v>5</v>
      </c>
      <c r="J214" s="3">
        <v>17409</v>
      </c>
      <c r="K214" s="4">
        <v>10</v>
      </c>
      <c r="L214" s="3">
        <v>87045</v>
      </c>
      <c r="M214" s="3">
        <v>8704.5</v>
      </c>
      <c r="N214" s="3">
        <v>78340.5</v>
      </c>
      <c r="O214" s="3">
        <v>51610.62</v>
      </c>
      <c r="P214" s="3">
        <v>26729.88</v>
      </c>
      <c r="Q214" t="s">
        <v>241</v>
      </c>
      <c r="R214">
        <v>2024</v>
      </c>
      <c r="S214">
        <v>6</v>
      </c>
    </row>
    <row r="215" spans="1:19" x14ac:dyDescent="0.3">
      <c r="A215" t="s">
        <v>266</v>
      </c>
      <c r="B215" s="2">
        <v>45468</v>
      </c>
      <c r="C215" t="s">
        <v>75</v>
      </c>
      <c r="D215" t="s">
        <v>34</v>
      </c>
      <c r="E215" t="s">
        <v>42</v>
      </c>
      <c r="F215" t="s">
        <v>37</v>
      </c>
      <c r="G215" t="s">
        <v>24</v>
      </c>
      <c r="H215" t="s">
        <v>240</v>
      </c>
      <c r="I215">
        <v>1</v>
      </c>
      <c r="J215" s="3">
        <v>37069</v>
      </c>
      <c r="K215" s="4">
        <v>10</v>
      </c>
      <c r="L215" s="3">
        <v>37069</v>
      </c>
      <c r="M215" s="3">
        <v>3706.9</v>
      </c>
      <c r="N215" s="3">
        <v>33362.1</v>
      </c>
      <c r="O215" s="3">
        <v>24633.43</v>
      </c>
      <c r="P215" s="3">
        <v>8728.67</v>
      </c>
      <c r="Q215" t="s">
        <v>241</v>
      </c>
      <c r="R215">
        <v>2024</v>
      </c>
      <c r="S215">
        <v>6</v>
      </c>
    </row>
    <row r="216" spans="1:19" x14ac:dyDescent="0.3">
      <c r="A216" t="s">
        <v>267</v>
      </c>
      <c r="B216" s="2">
        <v>45468</v>
      </c>
      <c r="C216" t="s">
        <v>75</v>
      </c>
      <c r="D216" t="s">
        <v>34</v>
      </c>
      <c r="E216" t="s">
        <v>42</v>
      </c>
      <c r="F216" t="s">
        <v>40</v>
      </c>
      <c r="G216" t="s">
        <v>31</v>
      </c>
      <c r="H216" t="s">
        <v>25</v>
      </c>
      <c r="I216">
        <v>2</v>
      </c>
      <c r="J216" s="3">
        <v>37560</v>
      </c>
      <c r="K216" s="4">
        <v>0</v>
      </c>
      <c r="L216" s="3">
        <v>75120</v>
      </c>
      <c r="M216" s="3">
        <v>0</v>
      </c>
      <c r="N216" s="3">
        <v>75120</v>
      </c>
      <c r="O216" s="3">
        <v>39283.78</v>
      </c>
      <c r="P216" s="3">
        <v>35836.22</v>
      </c>
      <c r="Q216" t="s">
        <v>241</v>
      </c>
      <c r="R216">
        <v>2024</v>
      </c>
      <c r="S216">
        <v>6</v>
      </c>
    </row>
    <row r="217" spans="1:19" x14ac:dyDescent="0.3">
      <c r="A217" t="s">
        <v>268</v>
      </c>
      <c r="B217" s="2">
        <v>45468</v>
      </c>
      <c r="C217" t="s">
        <v>46</v>
      </c>
      <c r="D217" t="s">
        <v>21</v>
      </c>
      <c r="E217" t="s">
        <v>44</v>
      </c>
      <c r="F217" t="s">
        <v>40</v>
      </c>
      <c r="G217" t="s">
        <v>31</v>
      </c>
      <c r="H217" t="s">
        <v>240</v>
      </c>
      <c r="I217">
        <v>2</v>
      </c>
      <c r="J217" s="3">
        <v>12645</v>
      </c>
      <c r="K217" s="4">
        <v>5</v>
      </c>
      <c r="L217" s="3">
        <v>25290</v>
      </c>
      <c r="M217" s="3">
        <v>1264.5</v>
      </c>
      <c r="N217" s="3">
        <v>24025.5</v>
      </c>
      <c r="O217" s="3">
        <v>14804.8</v>
      </c>
      <c r="P217" s="3">
        <v>9220.7000000000007</v>
      </c>
      <c r="Q217" t="s">
        <v>241</v>
      </c>
      <c r="R217">
        <v>2024</v>
      </c>
      <c r="S217">
        <v>6</v>
      </c>
    </row>
    <row r="218" spans="1:19" x14ac:dyDescent="0.3">
      <c r="A218" t="s">
        <v>269</v>
      </c>
      <c r="B218" s="2">
        <v>45472</v>
      </c>
      <c r="C218" t="s">
        <v>75</v>
      </c>
      <c r="D218" t="s">
        <v>34</v>
      </c>
      <c r="E218" t="s">
        <v>42</v>
      </c>
      <c r="F218" t="s">
        <v>23</v>
      </c>
      <c r="G218" t="s">
        <v>31</v>
      </c>
      <c r="H218" t="s">
        <v>25</v>
      </c>
      <c r="I218">
        <v>3</v>
      </c>
      <c r="J218" s="3">
        <v>35474</v>
      </c>
      <c r="K218" s="4">
        <v>10</v>
      </c>
      <c r="L218" s="3">
        <v>106422</v>
      </c>
      <c r="M218" s="3">
        <v>10642.2</v>
      </c>
      <c r="N218" s="3">
        <v>95779.8</v>
      </c>
      <c r="O218" s="3">
        <v>69833.539999999994</v>
      </c>
      <c r="P218" s="3">
        <v>25946.26</v>
      </c>
      <c r="Q218" t="s">
        <v>241</v>
      </c>
      <c r="R218">
        <v>2024</v>
      </c>
      <c r="S218">
        <v>6</v>
      </c>
    </row>
    <row r="219" spans="1:19" x14ac:dyDescent="0.3">
      <c r="A219" t="s">
        <v>270</v>
      </c>
      <c r="B219" s="2">
        <v>45473</v>
      </c>
      <c r="C219" t="s">
        <v>20</v>
      </c>
      <c r="D219" t="s">
        <v>21</v>
      </c>
      <c r="E219" t="s">
        <v>22</v>
      </c>
      <c r="F219" t="s">
        <v>37</v>
      </c>
      <c r="G219" t="s">
        <v>31</v>
      </c>
      <c r="H219" t="s">
        <v>25</v>
      </c>
      <c r="I219">
        <v>3</v>
      </c>
      <c r="J219" s="3">
        <v>15764</v>
      </c>
      <c r="K219" s="4">
        <v>0</v>
      </c>
      <c r="L219" s="3">
        <v>47292</v>
      </c>
      <c r="M219" s="3">
        <v>0</v>
      </c>
      <c r="N219" s="3">
        <v>47292</v>
      </c>
      <c r="O219" s="3">
        <v>24517.81</v>
      </c>
      <c r="P219" s="3">
        <v>22774.19</v>
      </c>
      <c r="Q219" t="s">
        <v>241</v>
      </c>
      <c r="R219">
        <v>2024</v>
      </c>
      <c r="S219">
        <v>6</v>
      </c>
    </row>
    <row r="220" spans="1:19" x14ac:dyDescent="0.3">
      <c r="A220" t="s">
        <v>271</v>
      </c>
      <c r="B220" s="2">
        <v>45474</v>
      </c>
      <c r="C220" t="s">
        <v>20</v>
      </c>
      <c r="D220" t="s">
        <v>21</v>
      </c>
      <c r="E220" t="s">
        <v>22</v>
      </c>
      <c r="F220" t="s">
        <v>30</v>
      </c>
      <c r="G220" t="s">
        <v>31</v>
      </c>
      <c r="H220" t="s">
        <v>240</v>
      </c>
      <c r="I220">
        <v>1</v>
      </c>
      <c r="J220" s="3">
        <v>14640</v>
      </c>
      <c r="K220" s="4">
        <v>15</v>
      </c>
      <c r="L220" s="3">
        <v>14640</v>
      </c>
      <c r="M220" s="3">
        <v>2196</v>
      </c>
      <c r="N220" s="3">
        <v>12444</v>
      </c>
      <c r="O220" s="3">
        <v>8060.33</v>
      </c>
      <c r="P220" s="3">
        <v>4383.67</v>
      </c>
      <c r="Q220" t="s">
        <v>272</v>
      </c>
      <c r="R220">
        <v>2024</v>
      </c>
      <c r="S220">
        <v>7</v>
      </c>
    </row>
    <row r="221" spans="1:19" x14ac:dyDescent="0.3">
      <c r="A221" t="s">
        <v>273</v>
      </c>
      <c r="B221" s="2">
        <v>45475</v>
      </c>
      <c r="C221" t="s">
        <v>46</v>
      </c>
      <c r="D221" t="s">
        <v>21</v>
      </c>
      <c r="E221" t="s">
        <v>56</v>
      </c>
      <c r="F221" t="s">
        <v>23</v>
      </c>
      <c r="G221" t="s">
        <v>31</v>
      </c>
      <c r="H221" t="s">
        <v>25</v>
      </c>
      <c r="I221">
        <v>2</v>
      </c>
      <c r="J221" s="3">
        <v>11869</v>
      </c>
      <c r="K221" s="4">
        <v>0</v>
      </c>
      <c r="L221" s="3">
        <v>23738</v>
      </c>
      <c r="M221" s="3">
        <v>0</v>
      </c>
      <c r="N221" s="3">
        <v>23738</v>
      </c>
      <c r="O221" s="3">
        <v>14669.25</v>
      </c>
      <c r="P221" s="3">
        <v>9068.75</v>
      </c>
      <c r="Q221" t="s">
        <v>272</v>
      </c>
      <c r="R221">
        <v>2024</v>
      </c>
      <c r="S221">
        <v>7</v>
      </c>
    </row>
    <row r="222" spans="1:19" x14ac:dyDescent="0.3">
      <c r="A222" t="s">
        <v>274</v>
      </c>
      <c r="B222" s="2">
        <v>45478</v>
      </c>
      <c r="C222" t="s">
        <v>46</v>
      </c>
      <c r="D222" t="s">
        <v>21</v>
      </c>
      <c r="E222" t="s">
        <v>44</v>
      </c>
      <c r="F222" t="s">
        <v>37</v>
      </c>
      <c r="G222" t="s">
        <v>24</v>
      </c>
      <c r="H222" t="s">
        <v>240</v>
      </c>
      <c r="I222">
        <v>3</v>
      </c>
      <c r="J222" s="3">
        <v>12040</v>
      </c>
      <c r="K222" s="4">
        <v>15</v>
      </c>
      <c r="L222" s="3">
        <v>36120</v>
      </c>
      <c r="M222" s="3">
        <v>5418</v>
      </c>
      <c r="N222" s="3">
        <v>30702</v>
      </c>
      <c r="O222" s="3">
        <v>18244.57</v>
      </c>
      <c r="P222" s="3">
        <v>12457.43</v>
      </c>
      <c r="Q222" t="s">
        <v>272</v>
      </c>
      <c r="R222">
        <v>2024</v>
      </c>
      <c r="S222">
        <v>7</v>
      </c>
    </row>
    <row r="223" spans="1:19" x14ac:dyDescent="0.3">
      <c r="A223" t="s">
        <v>275</v>
      </c>
      <c r="B223" s="2">
        <v>45478</v>
      </c>
      <c r="C223" t="s">
        <v>75</v>
      </c>
      <c r="D223" t="s">
        <v>34</v>
      </c>
      <c r="E223" t="s">
        <v>22</v>
      </c>
      <c r="F223" t="s">
        <v>40</v>
      </c>
      <c r="G223" t="s">
        <v>31</v>
      </c>
      <c r="H223" t="s">
        <v>240</v>
      </c>
      <c r="I223">
        <v>1</v>
      </c>
      <c r="J223" s="3">
        <v>40420</v>
      </c>
      <c r="K223" s="4">
        <v>10</v>
      </c>
      <c r="L223" s="3">
        <v>40420</v>
      </c>
      <c r="M223" s="3">
        <v>4042</v>
      </c>
      <c r="N223" s="3">
        <v>36378</v>
      </c>
      <c r="O223" s="3">
        <v>23819.64</v>
      </c>
      <c r="P223" s="3">
        <v>12558.36</v>
      </c>
      <c r="Q223" t="s">
        <v>272</v>
      </c>
      <c r="R223">
        <v>2024</v>
      </c>
      <c r="S223">
        <v>7</v>
      </c>
    </row>
    <row r="224" spans="1:19" x14ac:dyDescent="0.3">
      <c r="A224" t="s">
        <v>276</v>
      </c>
      <c r="B224" s="2">
        <v>45478</v>
      </c>
      <c r="C224" t="s">
        <v>28</v>
      </c>
      <c r="D224" t="s">
        <v>29</v>
      </c>
      <c r="E224" t="s">
        <v>42</v>
      </c>
      <c r="F224" t="s">
        <v>37</v>
      </c>
      <c r="G224" t="s">
        <v>31</v>
      </c>
      <c r="H224" t="s">
        <v>240</v>
      </c>
      <c r="I224">
        <v>5</v>
      </c>
      <c r="J224" s="3">
        <v>67053</v>
      </c>
      <c r="K224" s="4">
        <v>5</v>
      </c>
      <c r="L224" s="3">
        <v>335265</v>
      </c>
      <c r="M224" s="3">
        <v>16763.25</v>
      </c>
      <c r="N224" s="3">
        <v>318501.75</v>
      </c>
      <c r="O224" s="3">
        <v>162645.92000000001</v>
      </c>
      <c r="P224" s="3">
        <v>155855.82999999999</v>
      </c>
      <c r="Q224" t="s">
        <v>272</v>
      </c>
      <c r="R224">
        <v>2024</v>
      </c>
      <c r="S224">
        <v>7</v>
      </c>
    </row>
    <row r="225" spans="1:19" x14ac:dyDescent="0.3">
      <c r="A225" t="s">
        <v>277</v>
      </c>
      <c r="B225" s="2">
        <v>45479</v>
      </c>
      <c r="C225" t="s">
        <v>50</v>
      </c>
      <c r="D225" t="s">
        <v>34</v>
      </c>
      <c r="E225" t="s">
        <v>22</v>
      </c>
      <c r="F225" t="s">
        <v>37</v>
      </c>
      <c r="G225" t="s">
        <v>31</v>
      </c>
      <c r="H225" t="s">
        <v>25</v>
      </c>
      <c r="I225">
        <v>1</v>
      </c>
      <c r="J225" s="3">
        <v>17549</v>
      </c>
      <c r="K225" s="4">
        <v>0</v>
      </c>
      <c r="L225" s="3">
        <v>17549</v>
      </c>
      <c r="M225" s="3">
        <v>0</v>
      </c>
      <c r="N225" s="3">
        <v>17549</v>
      </c>
      <c r="O225" s="3">
        <v>11094.87</v>
      </c>
      <c r="P225" s="3">
        <v>6454.13</v>
      </c>
      <c r="Q225" t="s">
        <v>272</v>
      </c>
      <c r="R225">
        <v>2024</v>
      </c>
      <c r="S225">
        <v>7</v>
      </c>
    </row>
    <row r="226" spans="1:19" x14ac:dyDescent="0.3">
      <c r="A226" t="s">
        <v>278</v>
      </c>
      <c r="B226" s="2">
        <v>45479</v>
      </c>
      <c r="C226" t="s">
        <v>20</v>
      </c>
      <c r="D226" t="s">
        <v>21</v>
      </c>
      <c r="E226" t="s">
        <v>42</v>
      </c>
      <c r="F226" t="s">
        <v>40</v>
      </c>
      <c r="G226" t="s">
        <v>31</v>
      </c>
      <c r="H226" t="s">
        <v>240</v>
      </c>
      <c r="I226">
        <v>2</v>
      </c>
      <c r="J226" s="3">
        <v>16129</v>
      </c>
      <c r="K226" s="4">
        <v>20</v>
      </c>
      <c r="L226" s="3">
        <v>32258</v>
      </c>
      <c r="M226" s="3">
        <v>6451.6</v>
      </c>
      <c r="N226" s="3">
        <v>25806.400000000001</v>
      </c>
      <c r="O226" s="3">
        <v>20540.88</v>
      </c>
      <c r="P226" s="3">
        <v>5265.52</v>
      </c>
      <c r="Q226" t="s">
        <v>272</v>
      </c>
      <c r="R226">
        <v>2024</v>
      </c>
      <c r="S226">
        <v>7</v>
      </c>
    </row>
    <row r="227" spans="1:19" x14ac:dyDescent="0.3">
      <c r="A227" t="s">
        <v>279</v>
      </c>
      <c r="B227" s="2">
        <v>45481</v>
      </c>
      <c r="C227" t="s">
        <v>46</v>
      </c>
      <c r="D227" t="s">
        <v>21</v>
      </c>
      <c r="E227" t="s">
        <v>22</v>
      </c>
      <c r="F227" t="s">
        <v>35</v>
      </c>
      <c r="G227" t="s">
        <v>24</v>
      </c>
      <c r="H227" t="s">
        <v>25</v>
      </c>
      <c r="I227">
        <v>2</v>
      </c>
      <c r="J227" s="3">
        <v>11568</v>
      </c>
      <c r="K227" s="4">
        <v>0</v>
      </c>
      <c r="L227" s="3">
        <v>23136</v>
      </c>
      <c r="M227" s="3">
        <v>0</v>
      </c>
      <c r="N227" s="3">
        <v>23136</v>
      </c>
      <c r="O227" s="3">
        <v>14756.07</v>
      </c>
      <c r="P227" s="3">
        <v>8379.93</v>
      </c>
      <c r="Q227" t="s">
        <v>272</v>
      </c>
      <c r="R227">
        <v>2024</v>
      </c>
      <c r="S227">
        <v>7</v>
      </c>
    </row>
    <row r="228" spans="1:19" x14ac:dyDescent="0.3">
      <c r="A228" t="s">
        <v>280</v>
      </c>
      <c r="B228" s="2">
        <v>45481</v>
      </c>
      <c r="C228" t="s">
        <v>20</v>
      </c>
      <c r="D228" t="s">
        <v>21</v>
      </c>
      <c r="E228" t="s">
        <v>44</v>
      </c>
      <c r="F228" t="s">
        <v>37</v>
      </c>
      <c r="G228" t="s">
        <v>24</v>
      </c>
      <c r="H228" t="s">
        <v>25</v>
      </c>
      <c r="I228">
        <v>2</v>
      </c>
      <c r="J228" s="3">
        <v>14129</v>
      </c>
      <c r="K228" s="4">
        <v>0</v>
      </c>
      <c r="L228" s="3">
        <v>28258</v>
      </c>
      <c r="M228" s="3">
        <v>0</v>
      </c>
      <c r="N228" s="3">
        <v>28258</v>
      </c>
      <c r="O228" s="3">
        <v>15552.81</v>
      </c>
      <c r="P228" s="3">
        <v>12705.19</v>
      </c>
      <c r="Q228" t="s">
        <v>272</v>
      </c>
      <c r="R228">
        <v>2024</v>
      </c>
      <c r="S228">
        <v>7</v>
      </c>
    </row>
    <row r="229" spans="1:19" x14ac:dyDescent="0.3">
      <c r="A229" t="s">
        <v>281</v>
      </c>
      <c r="B229" s="2">
        <v>45481</v>
      </c>
      <c r="C229" t="s">
        <v>28</v>
      </c>
      <c r="D229" t="s">
        <v>29</v>
      </c>
      <c r="E229" t="s">
        <v>44</v>
      </c>
      <c r="F229" t="s">
        <v>37</v>
      </c>
      <c r="G229" t="s">
        <v>31</v>
      </c>
      <c r="H229" t="s">
        <v>25</v>
      </c>
      <c r="I229">
        <v>2</v>
      </c>
      <c r="J229" s="3">
        <v>63536</v>
      </c>
      <c r="K229" s="4">
        <v>0</v>
      </c>
      <c r="L229" s="3">
        <v>127072</v>
      </c>
      <c r="M229" s="3">
        <v>0</v>
      </c>
      <c r="N229" s="3">
        <v>127072</v>
      </c>
      <c r="O229" s="3">
        <v>65150.42</v>
      </c>
      <c r="P229" s="3">
        <v>61921.58</v>
      </c>
      <c r="Q229" t="s">
        <v>272</v>
      </c>
      <c r="R229">
        <v>2024</v>
      </c>
      <c r="S229">
        <v>7</v>
      </c>
    </row>
    <row r="230" spans="1:19" x14ac:dyDescent="0.3">
      <c r="A230" t="s">
        <v>282</v>
      </c>
      <c r="B230" s="2">
        <v>45482</v>
      </c>
      <c r="C230" t="s">
        <v>48</v>
      </c>
      <c r="D230" t="s">
        <v>34</v>
      </c>
      <c r="E230" t="s">
        <v>42</v>
      </c>
      <c r="F230" t="s">
        <v>40</v>
      </c>
      <c r="G230" t="s">
        <v>31</v>
      </c>
      <c r="H230" t="s">
        <v>240</v>
      </c>
      <c r="I230">
        <v>5</v>
      </c>
      <c r="J230" s="3">
        <v>26871</v>
      </c>
      <c r="K230" s="4">
        <v>15</v>
      </c>
      <c r="L230" s="3">
        <v>134355</v>
      </c>
      <c r="M230" s="3">
        <v>20153.25</v>
      </c>
      <c r="N230" s="3">
        <v>114201.75</v>
      </c>
      <c r="O230" s="3">
        <v>71970.44</v>
      </c>
      <c r="P230" s="3">
        <v>42231.31</v>
      </c>
      <c r="Q230" t="s">
        <v>272</v>
      </c>
      <c r="R230">
        <v>2024</v>
      </c>
      <c r="S230">
        <v>7</v>
      </c>
    </row>
    <row r="231" spans="1:19" x14ac:dyDescent="0.3">
      <c r="A231" t="s">
        <v>283</v>
      </c>
      <c r="B231" s="2">
        <v>45483</v>
      </c>
      <c r="C231" t="s">
        <v>20</v>
      </c>
      <c r="D231" t="s">
        <v>21</v>
      </c>
      <c r="E231" t="s">
        <v>42</v>
      </c>
      <c r="F231" t="s">
        <v>37</v>
      </c>
      <c r="G231" t="s">
        <v>31</v>
      </c>
      <c r="H231" t="s">
        <v>25</v>
      </c>
      <c r="I231">
        <v>2</v>
      </c>
      <c r="J231" s="3">
        <v>15749</v>
      </c>
      <c r="K231" s="4">
        <v>0</v>
      </c>
      <c r="L231" s="3">
        <v>31498</v>
      </c>
      <c r="M231" s="3">
        <v>0</v>
      </c>
      <c r="N231" s="3">
        <v>31498</v>
      </c>
      <c r="O231" s="3">
        <v>15821.37</v>
      </c>
      <c r="P231" s="3">
        <v>15676.63</v>
      </c>
      <c r="Q231" t="s">
        <v>272</v>
      </c>
      <c r="R231">
        <v>2024</v>
      </c>
      <c r="S231">
        <v>7</v>
      </c>
    </row>
    <row r="232" spans="1:19" x14ac:dyDescent="0.3">
      <c r="A232" t="s">
        <v>284</v>
      </c>
      <c r="B232" s="2">
        <v>45485</v>
      </c>
      <c r="C232" t="s">
        <v>33</v>
      </c>
      <c r="D232" t="s">
        <v>34</v>
      </c>
      <c r="E232" t="s">
        <v>56</v>
      </c>
      <c r="F232" t="s">
        <v>30</v>
      </c>
      <c r="G232" t="s">
        <v>31</v>
      </c>
      <c r="H232" t="s">
        <v>25</v>
      </c>
      <c r="I232">
        <v>3</v>
      </c>
      <c r="J232" s="3">
        <v>39325</v>
      </c>
      <c r="K232" s="4">
        <v>10</v>
      </c>
      <c r="L232" s="3">
        <v>117975</v>
      </c>
      <c r="M232" s="3">
        <v>11797.5</v>
      </c>
      <c r="N232" s="3">
        <v>106177.5</v>
      </c>
      <c r="O232" s="3">
        <v>58101.45</v>
      </c>
      <c r="P232" s="3">
        <v>48076.05</v>
      </c>
      <c r="Q232" t="s">
        <v>272</v>
      </c>
      <c r="R232">
        <v>2024</v>
      </c>
      <c r="S232">
        <v>7</v>
      </c>
    </row>
    <row r="233" spans="1:19" x14ac:dyDescent="0.3">
      <c r="A233" t="s">
        <v>285</v>
      </c>
      <c r="B233" s="2">
        <v>45485</v>
      </c>
      <c r="C233" t="s">
        <v>50</v>
      </c>
      <c r="D233" t="s">
        <v>34</v>
      </c>
      <c r="E233" t="s">
        <v>42</v>
      </c>
      <c r="F233" t="s">
        <v>40</v>
      </c>
      <c r="G233" t="s">
        <v>31</v>
      </c>
      <c r="H233" t="s">
        <v>240</v>
      </c>
      <c r="I233">
        <v>1</v>
      </c>
      <c r="J233" s="3">
        <v>18210</v>
      </c>
      <c r="K233" s="4">
        <v>10</v>
      </c>
      <c r="L233" s="3">
        <v>18210</v>
      </c>
      <c r="M233" s="3">
        <v>1821</v>
      </c>
      <c r="N233" s="3">
        <v>16389</v>
      </c>
      <c r="O233" s="3">
        <v>11091.15</v>
      </c>
      <c r="P233" s="3">
        <v>5297.85</v>
      </c>
      <c r="Q233" t="s">
        <v>272</v>
      </c>
      <c r="R233">
        <v>2024</v>
      </c>
      <c r="S233">
        <v>7</v>
      </c>
    </row>
    <row r="234" spans="1:19" x14ac:dyDescent="0.3">
      <c r="A234" t="s">
        <v>286</v>
      </c>
      <c r="B234" s="2">
        <v>45487</v>
      </c>
      <c r="C234" t="s">
        <v>46</v>
      </c>
      <c r="D234" t="s">
        <v>21</v>
      </c>
      <c r="E234" t="s">
        <v>42</v>
      </c>
      <c r="F234" t="s">
        <v>35</v>
      </c>
      <c r="G234" t="s">
        <v>31</v>
      </c>
      <c r="H234" t="s">
        <v>240</v>
      </c>
      <c r="I234">
        <v>1</v>
      </c>
      <c r="J234" s="3">
        <v>12782</v>
      </c>
      <c r="K234" s="4">
        <v>10</v>
      </c>
      <c r="L234" s="3">
        <v>12782</v>
      </c>
      <c r="M234" s="3">
        <v>1278.2</v>
      </c>
      <c r="N234" s="3">
        <v>11503.8</v>
      </c>
      <c r="O234" s="3">
        <v>7389.14</v>
      </c>
      <c r="P234" s="3">
        <v>4114.66</v>
      </c>
      <c r="Q234" t="s">
        <v>272</v>
      </c>
      <c r="R234">
        <v>2024</v>
      </c>
      <c r="S234">
        <v>7</v>
      </c>
    </row>
    <row r="235" spans="1:19" x14ac:dyDescent="0.3">
      <c r="A235" t="s">
        <v>287</v>
      </c>
      <c r="B235" s="2">
        <v>45489</v>
      </c>
      <c r="C235" t="s">
        <v>20</v>
      </c>
      <c r="D235" t="s">
        <v>21</v>
      </c>
      <c r="E235" t="s">
        <v>22</v>
      </c>
      <c r="F235" t="s">
        <v>35</v>
      </c>
      <c r="G235" t="s">
        <v>31</v>
      </c>
      <c r="H235" t="s">
        <v>240</v>
      </c>
      <c r="I235">
        <v>2</v>
      </c>
      <c r="J235" s="3">
        <v>15741</v>
      </c>
      <c r="K235" s="4">
        <v>10</v>
      </c>
      <c r="L235" s="3">
        <v>31482</v>
      </c>
      <c r="M235" s="3">
        <v>3148.2</v>
      </c>
      <c r="N235" s="3">
        <v>28333.8</v>
      </c>
      <c r="O235" s="3">
        <v>17988.97</v>
      </c>
      <c r="P235" s="3">
        <v>10344.83</v>
      </c>
      <c r="Q235" t="s">
        <v>272</v>
      </c>
      <c r="R235">
        <v>2024</v>
      </c>
      <c r="S235">
        <v>7</v>
      </c>
    </row>
    <row r="236" spans="1:19" x14ac:dyDescent="0.3">
      <c r="A236" t="s">
        <v>288</v>
      </c>
      <c r="B236" s="2">
        <v>45489</v>
      </c>
      <c r="C236" t="s">
        <v>46</v>
      </c>
      <c r="D236" t="s">
        <v>21</v>
      </c>
      <c r="E236" t="s">
        <v>56</v>
      </c>
      <c r="F236" t="s">
        <v>40</v>
      </c>
      <c r="G236" t="s">
        <v>24</v>
      </c>
      <c r="H236" t="s">
        <v>25</v>
      </c>
      <c r="I236">
        <v>1</v>
      </c>
      <c r="J236" s="3">
        <v>11397</v>
      </c>
      <c r="K236" s="4">
        <v>0</v>
      </c>
      <c r="L236" s="3">
        <v>11397</v>
      </c>
      <c r="M236" s="3">
        <v>0</v>
      </c>
      <c r="N236" s="3">
        <v>11397</v>
      </c>
      <c r="O236" s="3">
        <v>6418.33</v>
      </c>
      <c r="P236" s="3">
        <v>4978.67</v>
      </c>
      <c r="Q236" t="s">
        <v>272</v>
      </c>
      <c r="R236">
        <v>2024</v>
      </c>
      <c r="S236">
        <v>7</v>
      </c>
    </row>
    <row r="237" spans="1:19" x14ac:dyDescent="0.3">
      <c r="A237" t="s">
        <v>289</v>
      </c>
      <c r="B237" s="2">
        <v>45492</v>
      </c>
      <c r="C237" t="s">
        <v>46</v>
      </c>
      <c r="D237" t="s">
        <v>21</v>
      </c>
      <c r="E237" t="s">
        <v>42</v>
      </c>
      <c r="F237" t="s">
        <v>40</v>
      </c>
      <c r="G237" t="s">
        <v>24</v>
      </c>
      <c r="H237" t="s">
        <v>25</v>
      </c>
      <c r="I237">
        <v>1</v>
      </c>
      <c r="J237" s="3">
        <v>12635</v>
      </c>
      <c r="K237" s="4">
        <v>0</v>
      </c>
      <c r="L237" s="3">
        <v>12635</v>
      </c>
      <c r="M237" s="3">
        <v>0</v>
      </c>
      <c r="N237" s="3">
        <v>12635</v>
      </c>
      <c r="O237" s="3">
        <v>7062.43</v>
      </c>
      <c r="P237" s="3">
        <v>5572.57</v>
      </c>
      <c r="Q237" t="s">
        <v>272</v>
      </c>
      <c r="R237">
        <v>2024</v>
      </c>
      <c r="S237">
        <v>7</v>
      </c>
    </row>
    <row r="238" spans="1:19" x14ac:dyDescent="0.3">
      <c r="A238" t="s">
        <v>290</v>
      </c>
      <c r="B238" s="2">
        <v>45492</v>
      </c>
      <c r="C238" t="s">
        <v>64</v>
      </c>
      <c r="D238" t="s">
        <v>29</v>
      </c>
      <c r="E238" t="s">
        <v>22</v>
      </c>
      <c r="F238" t="s">
        <v>40</v>
      </c>
      <c r="G238" t="s">
        <v>24</v>
      </c>
      <c r="H238" t="s">
        <v>240</v>
      </c>
      <c r="I238">
        <v>2</v>
      </c>
      <c r="J238" s="3">
        <v>31641</v>
      </c>
      <c r="K238" s="4">
        <v>15</v>
      </c>
      <c r="L238" s="3">
        <v>63282</v>
      </c>
      <c r="M238" s="3">
        <v>9492.2999999999993</v>
      </c>
      <c r="N238" s="3">
        <v>53789.7</v>
      </c>
      <c r="O238" s="3">
        <v>40533.93</v>
      </c>
      <c r="P238" s="3">
        <v>13255.77</v>
      </c>
      <c r="Q238" t="s">
        <v>272</v>
      </c>
      <c r="R238">
        <v>2024</v>
      </c>
      <c r="S238">
        <v>7</v>
      </c>
    </row>
    <row r="239" spans="1:19" x14ac:dyDescent="0.3">
      <c r="A239" t="s">
        <v>291</v>
      </c>
      <c r="B239" s="2">
        <v>45493</v>
      </c>
      <c r="C239" t="s">
        <v>82</v>
      </c>
      <c r="D239" t="s">
        <v>21</v>
      </c>
      <c r="E239" t="s">
        <v>42</v>
      </c>
      <c r="F239" t="s">
        <v>23</v>
      </c>
      <c r="G239" t="s">
        <v>31</v>
      </c>
      <c r="H239" t="s">
        <v>25</v>
      </c>
      <c r="I239">
        <v>2</v>
      </c>
      <c r="J239" s="3">
        <v>44259</v>
      </c>
      <c r="K239" s="4">
        <v>0</v>
      </c>
      <c r="L239" s="3">
        <v>88518</v>
      </c>
      <c r="M239" s="3">
        <v>0</v>
      </c>
      <c r="N239" s="3">
        <v>88518</v>
      </c>
      <c r="O239" s="3">
        <v>53605.62</v>
      </c>
      <c r="P239" s="3">
        <v>34912.379999999997</v>
      </c>
      <c r="Q239" t="s">
        <v>272</v>
      </c>
      <c r="R239">
        <v>2024</v>
      </c>
      <c r="S239">
        <v>7</v>
      </c>
    </row>
    <row r="240" spans="1:19" x14ac:dyDescent="0.3">
      <c r="A240" t="s">
        <v>292</v>
      </c>
      <c r="B240" s="2">
        <v>45493</v>
      </c>
      <c r="C240" t="s">
        <v>64</v>
      </c>
      <c r="D240" t="s">
        <v>29</v>
      </c>
      <c r="E240" t="s">
        <v>44</v>
      </c>
      <c r="F240" t="s">
        <v>30</v>
      </c>
      <c r="G240" t="s">
        <v>31</v>
      </c>
      <c r="H240" t="s">
        <v>240</v>
      </c>
      <c r="I240">
        <v>2</v>
      </c>
      <c r="J240" s="3">
        <v>30024</v>
      </c>
      <c r="K240" s="4">
        <v>15</v>
      </c>
      <c r="L240" s="3">
        <v>60048</v>
      </c>
      <c r="M240" s="3">
        <v>9007.2000000000007</v>
      </c>
      <c r="N240" s="3">
        <v>51040.800000000003</v>
      </c>
      <c r="O240" s="3">
        <v>30491.89</v>
      </c>
      <c r="P240" s="3">
        <v>20548.91</v>
      </c>
      <c r="Q240" t="s">
        <v>272</v>
      </c>
      <c r="R240">
        <v>2024</v>
      </c>
      <c r="S240">
        <v>7</v>
      </c>
    </row>
    <row r="241" spans="1:19" x14ac:dyDescent="0.3">
      <c r="A241" t="s">
        <v>293</v>
      </c>
      <c r="B241" s="2">
        <v>45494</v>
      </c>
      <c r="C241" t="s">
        <v>46</v>
      </c>
      <c r="D241" t="s">
        <v>21</v>
      </c>
      <c r="E241" t="s">
        <v>56</v>
      </c>
      <c r="F241" t="s">
        <v>40</v>
      </c>
      <c r="G241" t="s">
        <v>31</v>
      </c>
      <c r="H241" t="s">
        <v>240</v>
      </c>
      <c r="I241">
        <v>1</v>
      </c>
      <c r="J241" s="3">
        <v>11370</v>
      </c>
      <c r="K241" s="4">
        <v>5</v>
      </c>
      <c r="L241" s="3">
        <v>11370</v>
      </c>
      <c r="M241" s="3">
        <v>568.5</v>
      </c>
      <c r="N241" s="3">
        <v>10801.5</v>
      </c>
      <c r="O241" s="3">
        <v>6618.52</v>
      </c>
      <c r="P241" s="3">
        <v>4182.9799999999996</v>
      </c>
      <c r="Q241" t="s">
        <v>272</v>
      </c>
      <c r="R241">
        <v>2024</v>
      </c>
      <c r="S241">
        <v>7</v>
      </c>
    </row>
    <row r="242" spans="1:19" x14ac:dyDescent="0.3">
      <c r="A242" t="s">
        <v>294</v>
      </c>
      <c r="B242" s="2">
        <v>45494</v>
      </c>
      <c r="C242" t="s">
        <v>82</v>
      </c>
      <c r="D242" t="s">
        <v>21</v>
      </c>
      <c r="E242" t="s">
        <v>44</v>
      </c>
      <c r="F242" t="s">
        <v>37</v>
      </c>
      <c r="G242" t="s">
        <v>24</v>
      </c>
      <c r="H242" t="s">
        <v>25</v>
      </c>
      <c r="I242">
        <v>2</v>
      </c>
      <c r="J242" s="3">
        <v>44734</v>
      </c>
      <c r="K242" s="4">
        <v>0</v>
      </c>
      <c r="L242" s="3">
        <v>89468</v>
      </c>
      <c r="M242" s="3">
        <v>0</v>
      </c>
      <c r="N242" s="3">
        <v>89468</v>
      </c>
      <c r="O242" s="3">
        <v>48369.87</v>
      </c>
      <c r="P242" s="3">
        <v>41098.129999999997</v>
      </c>
      <c r="Q242" t="s">
        <v>272</v>
      </c>
      <c r="R242">
        <v>2024</v>
      </c>
      <c r="S242">
        <v>7</v>
      </c>
    </row>
    <row r="243" spans="1:19" x14ac:dyDescent="0.3">
      <c r="A243" t="s">
        <v>295</v>
      </c>
      <c r="B243" s="2">
        <v>45496</v>
      </c>
      <c r="C243" t="s">
        <v>33</v>
      </c>
      <c r="D243" t="s">
        <v>34</v>
      </c>
      <c r="E243" t="s">
        <v>44</v>
      </c>
      <c r="F243" t="s">
        <v>35</v>
      </c>
      <c r="G243" t="s">
        <v>24</v>
      </c>
      <c r="H243" t="s">
        <v>25</v>
      </c>
      <c r="I243">
        <v>1</v>
      </c>
      <c r="J243" s="3">
        <v>44023</v>
      </c>
      <c r="K243" s="4">
        <v>0</v>
      </c>
      <c r="L243" s="3">
        <v>44023</v>
      </c>
      <c r="M243" s="3">
        <v>0</v>
      </c>
      <c r="N243" s="3">
        <v>44023</v>
      </c>
      <c r="O243" s="3">
        <v>29084.55</v>
      </c>
      <c r="P243" s="3">
        <v>14938.45</v>
      </c>
      <c r="Q243" t="s">
        <v>272</v>
      </c>
      <c r="R243">
        <v>2024</v>
      </c>
      <c r="S243">
        <v>7</v>
      </c>
    </row>
    <row r="244" spans="1:19" x14ac:dyDescent="0.3">
      <c r="A244" t="s">
        <v>296</v>
      </c>
      <c r="B244" s="2">
        <v>45497</v>
      </c>
      <c r="C244" t="s">
        <v>33</v>
      </c>
      <c r="D244" t="s">
        <v>34</v>
      </c>
      <c r="E244" t="s">
        <v>22</v>
      </c>
      <c r="F244" t="s">
        <v>35</v>
      </c>
      <c r="G244" t="s">
        <v>31</v>
      </c>
      <c r="H244" t="s">
        <v>240</v>
      </c>
      <c r="I244">
        <v>3</v>
      </c>
      <c r="J244" s="3">
        <v>40932</v>
      </c>
      <c r="K244" s="4">
        <v>5</v>
      </c>
      <c r="L244" s="3">
        <v>122796</v>
      </c>
      <c r="M244" s="3">
        <v>6139.8</v>
      </c>
      <c r="N244" s="3">
        <v>116656.2</v>
      </c>
      <c r="O244" s="3">
        <v>73756.67</v>
      </c>
      <c r="P244" s="3">
        <v>42899.53</v>
      </c>
      <c r="Q244" t="s">
        <v>272</v>
      </c>
      <c r="R244">
        <v>2024</v>
      </c>
      <c r="S244">
        <v>7</v>
      </c>
    </row>
    <row r="245" spans="1:19" x14ac:dyDescent="0.3">
      <c r="A245" t="s">
        <v>297</v>
      </c>
      <c r="B245" s="2">
        <v>45498</v>
      </c>
      <c r="C245" t="s">
        <v>48</v>
      </c>
      <c r="D245" t="s">
        <v>34</v>
      </c>
      <c r="E245" t="s">
        <v>56</v>
      </c>
      <c r="F245" t="s">
        <v>40</v>
      </c>
      <c r="G245" t="s">
        <v>24</v>
      </c>
      <c r="H245" t="s">
        <v>240</v>
      </c>
      <c r="I245">
        <v>2</v>
      </c>
      <c r="J245" s="3">
        <v>23290</v>
      </c>
      <c r="K245" s="4">
        <v>20</v>
      </c>
      <c r="L245" s="3">
        <v>46580</v>
      </c>
      <c r="M245" s="3">
        <v>9316</v>
      </c>
      <c r="N245" s="3">
        <v>37264</v>
      </c>
      <c r="O245" s="3">
        <v>25529.38</v>
      </c>
      <c r="P245" s="3">
        <v>11734.62</v>
      </c>
      <c r="Q245" t="s">
        <v>272</v>
      </c>
      <c r="R245">
        <v>2024</v>
      </c>
      <c r="S245">
        <v>7</v>
      </c>
    </row>
    <row r="246" spans="1:19" x14ac:dyDescent="0.3">
      <c r="A246" t="s">
        <v>298</v>
      </c>
      <c r="B246" s="2">
        <v>45499</v>
      </c>
      <c r="C246" t="s">
        <v>82</v>
      </c>
      <c r="D246" t="s">
        <v>21</v>
      </c>
      <c r="E246" t="s">
        <v>22</v>
      </c>
      <c r="F246" t="s">
        <v>40</v>
      </c>
      <c r="G246" t="s">
        <v>31</v>
      </c>
      <c r="H246" t="s">
        <v>25</v>
      </c>
      <c r="I246">
        <v>2</v>
      </c>
      <c r="J246" s="3">
        <v>41515</v>
      </c>
      <c r="K246" s="4">
        <v>0</v>
      </c>
      <c r="L246" s="3">
        <v>83030</v>
      </c>
      <c r="M246" s="3">
        <v>0</v>
      </c>
      <c r="N246" s="3">
        <v>83030</v>
      </c>
      <c r="O246" s="3">
        <v>41919.9</v>
      </c>
      <c r="P246" s="3">
        <v>41110.1</v>
      </c>
      <c r="Q246" t="s">
        <v>272</v>
      </c>
      <c r="R246">
        <v>2024</v>
      </c>
      <c r="S246">
        <v>7</v>
      </c>
    </row>
    <row r="247" spans="1:19" x14ac:dyDescent="0.3">
      <c r="A247" t="s">
        <v>299</v>
      </c>
      <c r="B247" s="2">
        <v>45505</v>
      </c>
      <c r="C247" t="s">
        <v>50</v>
      </c>
      <c r="D247" t="s">
        <v>34</v>
      </c>
      <c r="E247" t="s">
        <v>44</v>
      </c>
      <c r="F247" t="s">
        <v>40</v>
      </c>
      <c r="G247" t="s">
        <v>31</v>
      </c>
      <c r="H247" t="s">
        <v>25</v>
      </c>
      <c r="I247">
        <v>2</v>
      </c>
      <c r="J247" s="3">
        <v>18848</v>
      </c>
      <c r="K247" s="4">
        <v>0</v>
      </c>
      <c r="L247" s="3">
        <v>37696</v>
      </c>
      <c r="M247" s="3">
        <v>0</v>
      </c>
      <c r="N247" s="3">
        <v>37696</v>
      </c>
      <c r="O247" s="3">
        <v>19381.54</v>
      </c>
      <c r="P247" s="3">
        <v>18314.46</v>
      </c>
      <c r="Q247" t="s">
        <v>300</v>
      </c>
      <c r="R247">
        <v>2024</v>
      </c>
      <c r="S247">
        <v>8</v>
      </c>
    </row>
    <row r="248" spans="1:19" x14ac:dyDescent="0.3">
      <c r="A248" t="s">
        <v>301</v>
      </c>
      <c r="B248" s="2">
        <v>45506</v>
      </c>
      <c r="C248" t="s">
        <v>75</v>
      </c>
      <c r="D248" t="s">
        <v>34</v>
      </c>
      <c r="E248" t="s">
        <v>42</v>
      </c>
      <c r="F248" t="s">
        <v>40</v>
      </c>
      <c r="G248" t="s">
        <v>31</v>
      </c>
      <c r="H248" t="s">
        <v>25</v>
      </c>
      <c r="I248">
        <v>3</v>
      </c>
      <c r="J248" s="3">
        <v>38479</v>
      </c>
      <c r="K248" s="4">
        <v>15</v>
      </c>
      <c r="L248" s="3">
        <v>115437</v>
      </c>
      <c r="M248" s="3">
        <v>17315.55</v>
      </c>
      <c r="N248" s="3">
        <v>98121.45</v>
      </c>
      <c r="O248" s="3">
        <v>68748.179999999993</v>
      </c>
      <c r="P248" s="3">
        <v>29373.27</v>
      </c>
      <c r="Q248" t="s">
        <v>300</v>
      </c>
      <c r="R248">
        <v>2024</v>
      </c>
      <c r="S248">
        <v>8</v>
      </c>
    </row>
    <row r="249" spans="1:19" x14ac:dyDescent="0.3">
      <c r="A249" t="s">
        <v>302</v>
      </c>
      <c r="B249" s="2">
        <v>45507</v>
      </c>
      <c r="C249" t="s">
        <v>71</v>
      </c>
      <c r="D249" t="s">
        <v>34</v>
      </c>
      <c r="E249" t="s">
        <v>56</v>
      </c>
      <c r="F249" t="s">
        <v>37</v>
      </c>
      <c r="G249" t="s">
        <v>24</v>
      </c>
      <c r="H249" t="s">
        <v>25</v>
      </c>
      <c r="I249">
        <v>1</v>
      </c>
      <c r="J249" s="3">
        <v>46602</v>
      </c>
      <c r="K249" s="4">
        <v>0</v>
      </c>
      <c r="L249" s="3">
        <v>46602</v>
      </c>
      <c r="M249" s="3">
        <v>0</v>
      </c>
      <c r="N249" s="3">
        <v>46602</v>
      </c>
      <c r="O249" s="3">
        <v>24194.26</v>
      </c>
      <c r="P249" s="3">
        <v>22407.74</v>
      </c>
      <c r="Q249" t="s">
        <v>300</v>
      </c>
      <c r="R249">
        <v>2024</v>
      </c>
      <c r="S249">
        <v>8</v>
      </c>
    </row>
    <row r="250" spans="1:19" x14ac:dyDescent="0.3">
      <c r="A250" t="s">
        <v>303</v>
      </c>
      <c r="B250" s="2">
        <v>45507</v>
      </c>
      <c r="C250" t="s">
        <v>64</v>
      </c>
      <c r="D250" t="s">
        <v>29</v>
      </c>
      <c r="E250" t="s">
        <v>44</v>
      </c>
      <c r="F250" t="s">
        <v>35</v>
      </c>
      <c r="G250" t="s">
        <v>31</v>
      </c>
      <c r="H250" t="s">
        <v>25</v>
      </c>
      <c r="I250">
        <v>2</v>
      </c>
      <c r="J250" s="3">
        <v>32129</v>
      </c>
      <c r="K250" s="4">
        <v>10</v>
      </c>
      <c r="L250" s="3">
        <v>64258</v>
      </c>
      <c r="M250" s="3">
        <v>6425.8</v>
      </c>
      <c r="N250" s="3">
        <v>0</v>
      </c>
      <c r="O250" s="3">
        <v>37309.07</v>
      </c>
      <c r="P250" s="3">
        <v>0</v>
      </c>
      <c r="Q250" t="s">
        <v>300</v>
      </c>
      <c r="R250">
        <v>2024</v>
      </c>
      <c r="S250">
        <v>8</v>
      </c>
    </row>
    <row r="251" spans="1:19" x14ac:dyDescent="0.3">
      <c r="A251" t="s">
        <v>304</v>
      </c>
      <c r="B251" s="2">
        <v>45507</v>
      </c>
      <c r="C251" t="s">
        <v>33</v>
      </c>
      <c r="D251" t="s">
        <v>34</v>
      </c>
      <c r="E251" t="s">
        <v>42</v>
      </c>
      <c r="F251" t="s">
        <v>35</v>
      </c>
      <c r="G251" t="s">
        <v>31</v>
      </c>
      <c r="H251" t="s">
        <v>25</v>
      </c>
      <c r="I251">
        <v>2</v>
      </c>
      <c r="J251" s="3">
        <v>40236</v>
      </c>
      <c r="K251" s="4">
        <v>0</v>
      </c>
      <c r="L251" s="3">
        <v>80472</v>
      </c>
      <c r="M251" s="3">
        <v>0</v>
      </c>
      <c r="N251" s="3">
        <v>80472</v>
      </c>
      <c r="O251" s="3">
        <v>53415.75</v>
      </c>
      <c r="P251" s="3">
        <v>27056.25</v>
      </c>
      <c r="Q251" t="s">
        <v>300</v>
      </c>
      <c r="R251">
        <v>2024</v>
      </c>
      <c r="S251">
        <v>8</v>
      </c>
    </row>
    <row r="252" spans="1:19" x14ac:dyDescent="0.3">
      <c r="A252" t="s">
        <v>305</v>
      </c>
      <c r="B252" s="2">
        <v>45508</v>
      </c>
      <c r="C252" t="s">
        <v>75</v>
      </c>
      <c r="D252" t="s">
        <v>34</v>
      </c>
      <c r="E252" t="s">
        <v>56</v>
      </c>
      <c r="F252" t="s">
        <v>40</v>
      </c>
      <c r="G252" t="s">
        <v>24</v>
      </c>
      <c r="H252" t="s">
        <v>25</v>
      </c>
      <c r="I252">
        <v>2</v>
      </c>
      <c r="J252" s="3">
        <v>35007</v>
      </c>
      <c r="K252" s="4">
        <v>0</v>
      </c>
      <c r="L252" s="3">
        <v>70014</v>
      </c>
      <c r="M252" s="3">
        <v>0</v>
      </c>
      <c r="N252" s="3">
        <v>70014</v>
      </c>
      <c r="O252" s="3">
        <v>47420.31</v>
      </c>
      <c r="P252" s="3">
        <v>22593.69</v>
      </c>
      <c r="Q252" t="s">
        <v>300</v>
      </c>
      <c r="R252">
        <v>2024</v>
      </c>
      <c r="S252">
        <v>8</v>
      </c>
    </row>
    <row r="253" spans="1:19" x14ac:dyDescent="0.3">
      <c r="A253" t="s">
        <v>306</v>
      </c>
      <c r="B253" s="2">
        <v>45508</v>
      </c>
      <c r="C253" t="s">
        <v>48</v>
      </c>
      <c r="D253" t="s">
        <v>34</v>
      </c>
      <c r="E253" t="s">
        <v>42</v>
      </c>
      <c r="F253" t="s">
        <v>30</v>
      </c>
      <c r="G253" t="s">
        <v>31</v>
      </c>
      <c r="H253" t="s">
        <v>25</v>
      </c>
      <c r="I253">
        <v>2</v>
      </c>
      <c r="J253" s="3">
        <v>26580</v>
      </c>
      <c r="K253" s="4">
        <v>0</v>
      </c>
      <c r="L253" s="3">
        <v>53160</v>
      </c>
      <c r="M253" s="3">
        <v>0</v>
      </c>
      <c r="N253" s="3">
        <v>53160</v>
      </c>
      <c r="O253" s="3">
        <v>32044.14</v>
      </c>
      <c r="P253" s="3">
        <v>21115.86</v>
      </c>
      <c r="Q253" t="s">
        <v>300</v>
      </c>
      <c r="R253">
        <v>2024</v>
      </c>
      <c r="S253">
        <v>8</v>
      </c>
    </row>
    <row r="254" spans="1:19" x14ac:dyDescent="0.3">
      <c r="A254" t="s">
        <v>307</v>
      </c>
      <c r="B254" s="2">
        <v>45508</v>
      </c>
      <c r="C254" t="s">
        <v>50</v>
      </c>
      <c r="D254" t="s">
        <v>34</v>
      </c>
      <c r="E254" t="s">
        <v>44</v>
      </c>
      <c r="F254" t="s">
        <v>37</v>
      </c>
      <c r="G254" t="s">
        <v>24</v>
      </c>
      <c r="H254" t="s">
        <v>25</v>
      </c>
      <c r="I254">
        <v>1</v>
      </c>
      <c r="J254" s="3">
        <v>16915</v>
      </c>
      <c r="K254" s="4">
        <v>0</v>
      </c>
      <c r="L254" s="3">
        <v>16915</v>
      </c>
      <c r="M254" s="3">
        <v>0</v>
      </c>
      <c r="N254" s="3">
        <v>16915</v>
      </c>
      <c r="O254" s="3">
        <v>8122.39</v>
      </c>
      <c r="P254" s="3">
        <v>8792.61</v>
      </c>
      <c r="Q254" t="s">
        <v>300</v>
      </c>
      <c r="R254">
        <v>2024</v>
      </c>
      <c r="S254">
        <v>8</v>
      </c>
    </row>
    <row r="255" spans="1:19" x14ac:dyDescent="0.3">
      <c r="A255" t="s">
        <v>308</v>
      </c>
      <c r="B255" s="2">
        <v>45509</v>
      </c>
      <c r="C255" t="s">
        <v>64</v>
      </c>
      <c r="D255" t="s">
        <v>29</v>
      </c>
      <c r="E255" t="s">
        <v>44</v>
      </c>
      <c r="F255" t="s">
        <v>23</v>
      </c>
      <c r="G255" t="s">
        <v>31</v>
      </c>
      <c r="H255" t="s">
        <v>25</v>
      </c>
      <c r="I255">
        <v>1</v>
      </c>
      <c r="J255" s="3">
        <v>32285</v>
      </c>
      <c r="K255" s="4">
        <v>0</v>
      </c>
      <c r="L255" s="3">
        <v>32285</v>
      </c>
      <c r="M255" s="3">
        <v>0</v>
      </c>
      <c r="N255" s="3">
        <v>32285</v>
      </c>
      <c r="O255" s="3">
        <v>18442.009999999998</v>
      </c>
      <c r="P255" s="3">
        <v>13842.99</v>
      </c>
      <c r="Q255" t="s">
        <v>300</v>
      </c>
      <c r="R255">
        <v>2024</v>
      </c>
      <c r="S255">
        <v>8</v>
      </c>
    </row>
    <row r="256" spans="1:19" x14ac:dyDescent="0.3">
      <c r="A256" t="s">
        <v>309</v>
      </c>
      <c r="B256" s="2">
        <v>45509</v>
      </c>
      <c r="C256" t="s">
        <v>71</v>
      </c>
      <c r="D256" t="s">
        <v>34</v>
      </c>
      <c r="E256" t="s">
        <v>22</v>
      </c>
      <c r="F256" t="s">
        <v>23</v>
      </c>
      <c r="G256" t="s">
        <v>31</v>
      </c>
      <c r="H256" t="s">
        <v>25</v>
      </c>
      <c r="I256">
        <v>2</v>
      </c>
      <c r="J256" s="3">
        <v>46775</v>
      </c>
      <c r="K256" s="4">
        <v>0</v>
      </c>
      <c r="L256" s="3">
        <v>93550</v>
      </c>
      <c r="M256" s="3">
        <v>0</v>
      </c>
      <c r="N256" s="3">
        <v>93550</v>
      </c>
      <c r="O256" s="3">
        <v>59825.49</v>
      </c>
      <c r="P256" s="3">
        <v>33724.51</v>
      </c>
      <c r="Q256" t="s">
        <v>300</v>
      </c>
      <c r="R256">
        <v>2024</v>
      </c>
      <c r="S256">
        <v>8</v>
      </c>
    </row>
    <row r="257" spans="1:19" x14ac:dyDescent="0.3">
      <c r="A257" t="s">
        <v>310</v>
      </c>
      <c r="B257" s="2">
        <v>45509</v>
      </c>
      <c r="C257" t="s">
        <v>48</v>
      </c>
      <c r="D257" t="s">
        <v>34</v>
      </c>
      <c r="E257" t="s">
        <v>42</v>
      </c>
      <c r="F257" t="s">
        <v>23</v>
      </c>
      <c r="G257" t="s">
        <v>31</v>
      </c>
      <c r="H257" t="s">
        <v>25</v>
      </c>
      <c r="I257">
        <v>1</v>
      </c>
      <c r="J257" s="3">
        <v>24010</v>
      </c>
      <c r="K257" s="4">
        <v>0</v>
      </c>
      <c r="L257" s="3">
        <v>24010</v>
      </c>
      <c r="M257" s="3">
        <v>0</v>
      </c>
      <c r="N257" s="3">
        <v>24010</v>
      </c>
      <c r="O257" s="3">
        <v>14570.18</v>
      </c>
      <c r="P257" s="3">
        <v>9439.82</v>
      </c>
      <c r="Q257" t="s">
        <v>300</v>
      </c>
      <c r="R257">
        <v>2024</v>
      </c>
      <c r="S257">
        <v>8</v>
      </c>
    </row>
    <row r="258" spans="1:19" x14ac:dyDescent="0.3">
      <c r="A258" t="s">
        <v>311</v>
      </c>
      <c r="B258" s="2">
        <v>45511</v>
      </c>
      <c r="C258" t="s">
        <v>64</v>
      </c>
      <c r="D258" t="s">
        <v>29</v>
      </c>
      <c r="E258" t="s">
        <v>22</v>
      </c>
      <c r="F258" t="s">
        <v>23</v>
      </c>
      <c r="G258" t="s">
        <v>24</v>
      </c>
      <c r="H258" t="s">
        <v>25</v>
      </c>
      <c r="I258">
        <v>1</v>
      </c>
      <c r="J258" s="3">
        <v>29321</v>
      </c>
      <c r="K258" s="4">
        <v>0</v>
      </c>
      <c r="L258" s="3">
        <v>29321</v>
      </c>
      <c r="M258" s="3">
        <v>0</v>
      </c>
      <c r="N258" s="3">
        <v>29321</v>
      </c>
      <c r="O258" s="3">
        <v>15708.78</v>
      </c>
      <c r="P258" s="3">
        <v>13612.22</v>
      </c>
      <c r="Q258" t="s">
        <v>300</v>
      </c>
      <c r="R258">
        <v>2024</v>
      </c>
      <c r="S258">
        <v>8</v>
      </c>
    </row>
    <row r="259" spans="1:19" x14ac:dyDescent="0.3">
      <c r="A259" t="s">
        <v>312</v>
      </c>
      <c r="B259" s="2">
        <v>45515</v>
      </c>
      <c r="C259" t="s">
        <v>33</v>
      </c>
      <c r="D259" t="s">
        <v>34</v>
      </c>
      <c r="E259" t="s">
        <v>22</v>
      </c>
      <c r="F259" t="s">
        <v>37</v>
      </c>
      <c r="G259" t="s">
        <v>24</v>
      </c>
      <c r="H259" t="s">
        <v>25</v>
      </c>
      <c r="I259">
        <v>1</v>
      </c>
      <c r="J259" s="3">
        <v>44612</v>
      </c>
      <c r="K259" s="4">
        <v>0</v>
      </c>
      <c r="L259" s="3">
        <v>44612</v>
      </c>
      <c r="M259" s="3">
        <v>0</v>
      </c>
      <c r="N259" s="3">
        <v>44612</v>
      </c>
      <c r="O259" s="3">
        <v>25429.41</v>
      </c>
      <c r="P259" s="3">
        <v>19182.59</v>
      </c>
      <c r="Q259" t="s">
        <v>300</v>
      </c>
      <c r="R259">
        <v>2024</v>
      </c>
      <c r="S259">
        <v>8</v>
      </c>
    </row>
    <row r="260" spans="1:19" x14ac:dyDescent="0.3">
      <c r="A260" t="s">
        <v>313</v>
      </c>
      <c r="B260" s="2">
        <v>45516</v>
      </c>
      <c r="C260" t="s">
        <v>82</v>
      </c>
      <c r="D260" t="s">
        <v>21</v>
      </c>
      <c r="E260" t="s">
        <v>56</v>
      </c>
      <c r="F260" t="s">
        <v>37</v>
      </c>
      <c r="G260" t="s">
        <v>24</v>
      </c>
      <c r="H260" t="s">
        <v>25</v>
      </c>
      <c r="I260">
        <v>2</v>
      </c>
      <c r="J260" s="3">
        <v>48250</v>
      </c>
      <c r="K260" s="4">
        <v>0</v>
      </c>
      <c r="L260" s="3">
        <v>96500</v>
      </c>
      <c r="M260" s="3">
        <v>0</v>
      </c>
      <c r="N260" s="3">
        <v>96500</v>
      </c>
      <c r="O260" s="3">
        <v>61329.23</v>
      </c>
      <c r="P260" s="3">
        <v>35170.769999999997</v>
      </c>
      <c r="Q260" t="s">
        <v>300</v>
      </c>
      <c r="R260">
        <v>2024</v>
      </c>
      <c r="S260">
        <v>8</v>
      </c>
    </row>
    <row r="261" spans="1:19" x14ac:dyDescent="0.3">
      <c r="A261" t="s">
        <v>314</v>
      </c>
      <c r="B261" s="2">
        <v>45517</v>
      </c>
      <c r="C261" t="s">
        <v>48</v>
      </c>
      <c r="D261" t="s">
        <v>34</v>
      </c>
      <c r="E261" t="s">
        <v>42</v>
      </c>
      <c r="F261" t="s">
        <v>23</v>
      </c>
      <c r="G261" t="s">
        <v>31</v>
      </c>
      <c r="H261" t="s">
        <v>25</v>
      </c>
      <c r="I261">
        <v>2</v>
      </c>
      <c r="J261" s="3">
        <v>23266</v>
      </c>
      <c r="K261" s="4">
        <v>0</v>
      </c>
      <c r="L261" s="3">
        <v>46532</v>
      </c>
      <c r="M261" s="3">
        <v>0</v>
      </c>
      <c r="N261" s="3">
        <v>46532</v>
      </c>
      <c r="O261" s="3">
        <v>23025.01</v>
      </c>
      <c r="P261" s="3">
        <v>23506.99</v>
      </c>
      <c r="Q261" t="s">
        <v>300</v>
      </c>
      <c r="R261">
        <v>2024</v>
      </c>
      <c r="S261">
        <v>8</v>
      </c>
    </row>
    <row r="262" spans="1:19" x14ac:dyDescent="0.3">
      <c r="A262" t="s">
        <v>315</v>
      </c>
      <c r="B262" s="2">
        <v>45517</v>
      </c>
      <c r="C262" t="s">
        <v>64</v>
      </c>
      <c r="D262" t="s">
        <v>29</v>
      </c>
      <c r="E262" t="s">
        <v>42</v>
      </c>
      <c r="F262" t="s">
        <v>23</v>
      </c>
      <c r="G262" t="s">
        <v>31</v>
      </c>
      <c r="H262" t="s">
        <v>25</v>
      </c>
      <c r="I262">
        <v>2</v>
      </c>
      <c r="J262" s="3">
        <v>30011</v>
      </c>
      <c r="K262" s="4">
        <v>0</v>
      </c>
      <c r="L262" s="3">
        <v>60022</v>
      </c>
      <c r="M262" s="3">
        <v>0</v>
      </c>
      <c r="N262" s="3">
        <v>60022</v>
      </c>
      <c r="O262" s="3">
        <v>37898.03</v>
      </c>
      <c r="P262" s="3">
        <v>22123.97</v>
      </c>
      <c r="Q262" t="s">
        <v>300</v>
      </c>
      <c r="R262">
        <v>2024</v>
      </c>
      <c r="S262">
        <v>8</v>
      </c>
    </row>
    <row r="263" spans="1:19" x14ac:dyDescent="0.3">
      <c r="A263" t="s">
        <v>316</v>
      </c>
      <c r="B263" s="2">
        <v>45517</v>
      </c>
      <c r="C263" t="s">
        <v>50</v>
      </c>
      <c r="D263" t="s">
        <v>34</v>
      </c>
      <c r="E263" t="s">
        <v>56</v>
      </c>
      <c r="F263" t="s">
        <v>40</v>
      </c>
      <c r="G263" t="s">
        <v>24</v>
      </c>
      <c r="H263" t="s">
        <v>25</v>
      </c>
      <c r="I263">
        <v>4</v>
      </c>
      <c r="J263" s="3">
        <v>17895</v>
      </c>
      <c r="K263" s="4">
        <v>0</v>
      </c>
      <c r="L263" s="3">
        <v>71580</v>
      </c>
      <c r="M263" s="3">
        <v>0</v>
      </c>
      <c r="N263" s="3">
        <v>71580</v>
      </c>
      <c r="O263" s="3">
        <v>36492.85</v>
      </c>
      <c r="P263" s="3">
        <v>35087.15</v>
      </c>
      <c r="Q263" t="s">
        <v>300</v>
      </c>
      <c r="R263">
        <v>2024</v>
      </c>
      <c r="S263">
        <v>8</v>
      </c>
    </row>
    <row r="264" spans="1:19" x14ac:dyDescent="0.3">
      <c r="A264" t="s">
        <v>317</v>
      </c>
      <c r="B264" s="2">
        <v>45519</v>
      </c>
      <c r="C264" t="s">
        <v>46</v>
      </c>
      <c r="D264" t="s">
        <v>21</v>
      </c>
      <c r="E264" t="s">
        <v>22</v>
      </c>
      <c r="F264" t="s">
        <v>40</v>
      </c>
      <c r="G264" t="s">
        <v>24</v>
      </c>
      <c r="H264" t="s">
        <v>25</v>
      </c>
      <c r="I264">
        <v>3</v>
      </c>
      <c r="J264" s="3">
        <v>11726</v>
      </c>
      <c r="K264" s="4">
        <v>0</v>
      </c>
      <c r="L264" s="3">
        <v>35178</v>
      </c>
      <c r="M264" s="3">
        <v>0</v>
      </c>
      <c r="N264" s="3">
        <v>35178</v>
      </c>
      <c r="O264" s="3">
        <v>21407.94</v>
      </c>
      <c r="P264" s="3">
        <v>13770.06</v>
      </c>
      <c r="Q264" t="s">
        <v>300</v>
      </c>
      <c r="R264">
        <v>2024</v>
      </c>
      <c r="S264">
        <v>8</v>
      </c>
    </row>
    <row r="265" spans="1:19" x14ac:dyDescent="0.3">
      <c r="A265" t="s">
        <v>318</v>
      </c>
      <c r="B265" s="2">
        <v>45519</v>
      </c>
      <c r="C265" t="s">
        <v>82</v>
      </c>
      <c r="D265" t="s">
        <v>21</v>
      </c>
      <c r="E265" t="s">
        <v>22</v>
      </c>
      <c r="F265" t="s">
        <v>40</v>
      </c>
      <c r="G265" t="s">
        <v>31</v>
      </c>
      <c r="H265" t="s">
        <v>25</v>
      </c>
      <c r="I265">
        <v>5</v>
      </c>
      <c r="J265" s="3">
        <v>41920</v>
      </c>
      <c r="K265" s="4">
        <v>0</v>
      </c>
      <c r="L265" s="3">
        <v>209600</v>
      </c>
      <c r="M265" s="3">
        <v>0</v>
      </c>
      <c r="N265" s="3">
        <v>209600</v>
      </c>
      <c r="O265" s="3">
        <v>113260.91</v>
      </c>
      <c r="P265" s="3">
        <v>96339.09</v>
      </c>
      <c r="Q265" t="s">
        <v>300</v>
      </c>
      <c r="R265">
        <v>2024</v>
      </c>
      <c r="S265">
        <v>8</v>
      </c>
    </row>
    <row r="266" spans="1:19" x14ac:dyDescent="0.3">
      <c r="A266" t="s">
        <v>319</v>
      </c>
      <c r="B266" s="2">
        <v>45520</v>
      </c>
      <c r="C266" t="s">
        <v>48</v>
      </c>
      <c r="D266" t="s">
        <v>34</v>
      </c>
      <c r="E266" t="s">
        <v>56</v>
      </c>
      <c r="F266" t="s">
        <v>40</v>
      </c>
      <c r="G266" t="s">
        <v>31</v>
      </c>
      <c r="H266" t="s">
        <v>25</v>
      </c>
      <c r="I266">
        <v>2</v>
      </c>
      <c r="J266" s="3">
        <v>23375</v>
      </c>
      <c r="K266" s="4">
        <v>0</v>
      </c>
      <c r="L266" s="3">
        <v>46750</v>
      </c>
      <c r="M266" s="3">
        <v>0</v>
      </c>
      <c r="N266" s="3">
        <v>46750</v>
      </c>
      <c r="O266" s="3">
        <v>27715.22</v>
      </c>
      <c r="P266" s="3">
        <v>19034.78</v>
      </c>
      <c r="Q266" t="s">
        <v>300</v>
      </c>
      <c r="R266">
        <v>2024</v>
      </c>
      <c r="S266">
        <v>8</v>
      </c>
    </row>
    <row r="267" spans="1:19" x14ac:dyDescent="0.3">
      <c r="A267" t="s">
        <v>320</v>
      </c>
      <c r="B267" s="2">
        <v>45521</v>
      </c>
      <c r="C267" t="s">
        <v>50</v>
      </c>
      <c r="D267" t="s">
        <v>34</v>
      </c>
      <c r="E267" t="s">
        <v>22</v>
      </c>
      <c r="F267" t="s">
        <v>30</v>
      </c>
      <c r="G267" t="s">
        <v>31</v>
      </c>
      <c r="H267" t="s">
        <v>25</v>
      </c>
      <c r="I267">
        <v>5</v>
      </c>
      <c r="J267" s="3">
        <v>16889</v>
      </c>
      <c r="K267" s="4">
        <v>0</v>
      </c>
      <c r="L267" s="3">
        <v>84445</v>
      </c>
      <c r="M267" s="3">
        <v>0</v>
      </c>
      <c r="N267" s="3">
        <v>84445</v>
      </c>
      <c r="O267" s="3">
        <v>51999.5</v>
      </c>
      <c r="P267" s="3">
        <v>32445.5</v>
      </c>
      <c r="Q267" t="s">
        <v>300</v>
      </c>
      <c r="R267">
        <v>2024</v>
      </c>
      <c r="S267">
        <v>8</v>
      </c>
    </row>
    <row r="268" spans="1:19" x14ac:dyDescent="0.3">
      <c r="A268" t="s">
        <v>321</v>
      </c>
      <c r="B268" s="2">
        <v>45522</v>
      </c>
      <c r="C268" t="s">
        <v>48</v>
      </c>
      <c r="D268" t="s">
        <v>34</v>
      </c>
      <c r="E268" t="s">
        <v>44</v>
      </c>
      <c r="F268" t="s">
        <v>35</v>
      </c>
      <c r="G268" t="s">
        <v>31</v>
      </c>
      <c r="H268" t="s">
        <v>25</v>
      </c>
      <c r="I268">
        <v>2</v>
      </c>
      <c r="J268" s="3">
        <v>24738</v>
      </c>
      <c r="K268" s="4">
        <v>0</v>
      </c>
      <c r="L268" s="3">
        <v>49476</v>
      </c>
      <c r="M268" s="3">
        <v>0</v>
      </c>
      <c r="N268" s="3">
        <v>49476</v>
      </c>
      <c r="O268" s="3">
        <v>29704.63</v>
      </c>
      <c r="P268" s="3">
        <v>19771.37</v>
      </c>
      <c r="Q268" t="s">
        <v>300</v>
      </c>
      <c r="R268">
        <v>2024</v>
      </c>
      <c r="S268">
        <v>8</v>
      </c>
    </row>
    <row r="269" spans="1:19" x14ac:dyDescent="0.3">
      <c r="A269" t="s">
        <v>322</v>
      </c>
      <c r="B269" s="2">
        <v>45522</v>
      </c>
      <c r="C269" t="s">
        <v>75</v>
      </c>
      <c r="D269" t="s">
        <v>34</v>
      </c>
      <c r="E269" t="s">
        <v>22</v>
      </c>
      <c r="F269" t="s">
        <v>23</v>
      </c>
      <c r="G269" t="s">
        <v>31</v>
      </c>
      <c r="H269" t="s">
        <v>25</v>
      </c>
      <c r="I269">
        <v>1</v>
      </c>
      <c r="J269" s="3">
        <v>35281</v>
      </c>
      <c r="K269" s="4">
        <v>0</v>
      </c>
      <c r="L269" s="3">
        <v>35281</v>
      </c>
      <c r="M269" s="3">
        <v>0</v>
      </c>
      <c r="N269" s="3">
        <v>35281</v>
      </c>
      <c r="O269" s="3">
        <v>21164.15</v>
      </c>
      <c r="P269" s="3">
        <v>14116.85</v>
      </c>
      <c r="Q269" t="s">
        <v>300</v>
      </c>
      <c r="R269">
        <v>2024</v>
      </c>
      <c r="S269">
        <v>8</v>
      </c>
    </row>
    <row r="270" spans="1:19" x14ac:dyDescent="0.3">
      <c r="A270" t="s">
        <v>323</v>
      </c>
      <c r="B270" s="2">
        <v>45524</v>
      </c>
      <c r="C270" t="s">
        <v>50</v>
      </c>
      <c r="D270" t="s">
        <v>34</v>
      </c>
      <c r="E270" t="s">
        <v>22</v>
      </c>
      <c r="F270" t="s">
        <v>30</v>
      </c>
      <c r="G270" t="s">
        <v>24</v>
      </c>
      <c r="H270" t="s">
        <v>25</v>
      </c>
      <c r="I270">
        <v>4</v>
      </c>
      <c r="J270" s="3">
        <v>16861</v>
      </c>
      <c r="K270" s="4">
        <v>0</v>
      </c>
      <c r="L270" s="3">
        <v>67444</v>
      </c>
      <c r="M270" s="3">
        <v>0</v>
      </c>
      <c r="N270" s="3">
        <v>67444</v>
      </c>
      <c r="O270" s="3">
        <v>39886.47</v>
      </c>
      <c r="P270" s="3">
        <v>27557.53</v>
      </c>
      <c r="Q270" t="s">
        <v>300</v>
      </c>
      <c r="R270">
        <v>2024</v>
      </c>
      <c r="S270">
        <v>8</v>
      </c>
    </row>
    <row r="271" spans="1:19" x14ac:dyDescent="0.3">
      <c r="A271" t="s">
        <v>324</v>
      </c>
      <c r="B271" s="2">
        <v>45524</v>
      </c>
      <c r="C271" t="s">
        <v>71</v>
      </c>
      <c r="D271" t="s">
        <v>34</v>
      </c>
      <c r="E271" t="s">
        <v>42</v>
      </c>
      <c r="F271" t="s">
        <v>23</v>
      </c>
      <c r="G271" t="s">
        <v>31</v>
      </c>
      <c r="H271" t="s">
        <v>25</v>
      </c>
      <c r="I271">
        <v>2</v>
      </c>
      <c r="J271" s="3">
        <v>52018</v>
      </c>
      <c r="K271" s="4">
        <v>0</v>
      </c>
      <c r="L271" s="3">
        <v>104036</v>
      </c>
      <c r="M271" s="3">
        <v>0</v>
      </c>
      <c r="N271" s="3">
        <v>104036</v>
      </c>
      <c r="O271" s="3">
        <v>61467.09</v>
      </c>
      <c r="P271" s="3">
        <v>42568.91</v>
      </c>
      <c r="Q271" t="s">
        <v>300</v>
      </c>
      <c r="R271">
        <v>2024</v>
      </c>
      <c r="S271">
        <v>8</v>
      </c>
    </row>
    <row r="272" spans="1:19" x14ac:dyDescent="0.3">
      <c r="A272" t="s">
        <v>325</v>
      </c>
      <c r="B272" s="2">
        <v>45526</v>
      </c>
      <c r="C272" t="s">
        <v>48</v>
      </c>
      <c r="D272" t="s">
        <v>34</v>
      </c>
      <c r="E272" t="s">
        <v>56</v>
      </c>
      <c r="F272" t="s">
        <v>30</v>
      </c>
      <c r="G272" t="s">
        <v>31</v>
      </c>
      <c r="H272" t="s">
        <v>25</v>
      </c>
      <c r="I272">
        <v>1</v>
      </c>
      <c r="J272" s="3">
        <v>24841</v>
      </c>
      <c r="K272" s="4">
        <v>0</v>
      </c>
      <c r="L272" s="3">
        <v>24841</v>
      </c>
      <c r="M272" s="3">
        <v>0</v>
      </c>
      <c r="N272" s="3">
        <v>24841</v>
      </c>
      <c r="O272" s="3">
        <v>16810.96</v>
      </c>
      <c r="P272" s="3">
        <v>8030.04</v>
      </c>
      <c r="Q272" t="s">
        <v>300</v>
      </c>
      <c r="R272">
        <v>2024</v>
      </c>
      <c r="S272">
        <v>8</v>
      </c>
    </row>
    <row r="273" spans="1:19" x14ac:dyDescent="0.3">
      <c r="A273" t="s">
        <v>326</v>
      </c>
      <c r="B273" s="2">
        <v>45527</v>
      </c>
      <c r="C273" t="s">
        <v>82</v>
      </c>
      <c r="D273" t="s">
        <v>21</v>
      </c>
      <c r="E273" t="s">
        <v>42</v>
      </c>
      <c r="F273" t="s">
        <v>40</v>
      </c>
      <c r="G273" t="s">
        <v>31</v>
      </c>
      <c r="H273" t="s">
        <v>25</v>
      </c>
      <c r="I273">
        <v>1</v>
      </c>
      <c r="J273" s="3">
        <v>43855</v>
      </c>
      <c r="K273" s="4">
        <v>0</v>
      </c>
      <c r="L273" s="3">
        <v>43855</v>
      </c>
      <c r="M273" s="3">
        <v>0</v>
      </c>
      <c r="N273" s="3">
        <v>43855</v>
      </c>
      <c r="O273" s="3">
        <v>27292.560000000001</v>
      </c>
      <c r="P273" s="3">
        <v>16562.439999999999</v>
      </c>
      <c r="Q273" t="s">
        <v>300</v>
      </c>
      <c r="R273">
        <v>2024</v>
      </c>
      <c r="S273">
        <v>8</v>
      </c>
    </row>
    <row r="274" spans="1:19" x14ac:dyDescent="0.3">
      <c r="A274" t="s">
        <v>327</v>
      </c>
      <c r="B274" s="2">
        <v>45527</v>
      </c>
      <c r="C274" t="s">
        <v>48</v>
      </c>
      <c r="D274" t="s">
        <v>34</v>
      </c>
      <c r="E274" t="s">
        <v>22</v>
      </c>
      <c r="F274" t="s">
        <v>40</v>
      </c>
      <c r="G274" t="s">
        <v>24</v>
      </c>
      <c r="H274" t="s">
        <v>25</v>
      </c>
      <c r="I274">
        <v>5</v>
      </c>
      <c r="J274" s="3">
        <v>24979</v>
      </c>
      <c r="K274" s="4">
        <v>0</v>
      </c>
      <c r="L274" s="3">
        <v>124895</v>
      </c>
      <c r="M274" s="3">
        <v>0</v>
      </c>
      <c r="N274" s="3">
        <v>124895</v>
      </c>
      <c r="O274" s="3">
        <v>73916.27</v>
      </c>
      <c r="P274" s="3">
        <v>50978.73</v>
      </c>
      <c r="Q274" t="s">
        <v>300</v>
      </c>
      <c r="R274">
        <v>2024</v>
      </c>
      <c r="S274">
        <v>8</v>
      </c>
    </row>
    <row r="275" spans="1:19" x14ac:dyDescent="0.3">
      <c r="A275" t="s">
        <v>328</v>
      </c>
      <c r="B275" s="2">
        <v>45528</v>
      </c>
      <c r="C275" t="s">
        <v>64</v>
      </c>
      <c r="D275" t="s">
        <v>29</v>
      </c>
      <c r="E275" t="s">
        <v>56</v>
      </c>
      <c r="F275" t="s">
        <v>40</v>
      </c>
      <c r="G275" t="s">
        <v>31</v>
      </c>
      <c r="H275" t="s">
        <v>25</v>
      </c>
      <c r="I275">
        <v>2</v>
      </c>
      <c r="J275" s="3">
        <v>30929</v>
      </c>
      <c r="K275" s="4">
        <v>0</v>
      </c>
      <c r="L275" s="3">
        <v>61858</v>
      </c>
      <c r="M275" s="3">
        <v>0</v>
      </c>
      <c r="N275" s="3">
        <v>61858</v>
      </c>
      <c r="O275" s="3">
        <v>40244.620000000003</v>
      </c>
      <c r="P275" s="3">
        <v>21613.38</v>
      </c>
      <c r="Q275" t="s">
        <v>300</v>
      </c>
      <c r="R275">
        <v>2024</v>
      </c>
      <c r="S275">
        <v>8</v>
      </c>
    </row>
    <row r="276" spans="1:19" x14ac:dyDescent="0.3">
      <c r="A276" t="s">
        <v>329</v>
      </c>
      <c r="B276" s="2">
        <v>45530</v>
      </c>
      <c r="C276" t="s">
        <v>20</v>
      </c>
      <c r="D276" t="s">
        <v>21</v>
      </c>
      <c r="E276" t="s">
        <v>44</v>
      </c>
      <c r="F276" t="s">
        <v>23</v>
      </c>
      <c r="G276" t="s">
        <v>31</v>
      </c>
      <c r="H276" t="s">
        <v>25</v>
      </c>
      <c r="I276">
        <v>1</v>
      </c>
      <c r="J276" s="3">
        <v>15989</v>
      </c>
      <c r="K276" s="4">
        <v>15</v>
      </c>
      <c r="L276" s="3">
        <v>15989</v>
      </c>
      <c r="M276" s="3">
        <v>2398.35</v>
      </c>
      <c r="N276" s="3">
        <v>13590.65</v>
      </c>
      <c r="O276" s="3">
        <v>8457.27</v>
      </c>
      <c r="P276" s="3">
        <v>5133.38</v>
      </c>
      <c r="Q276" t="s">
        <v>300</v>
      </c>
      <c r="R276">
        <v>2024</v>
      </c>
      <c r="S276">
        <v>8</v>
      </c>
    </row>
    <row r="277" spans="1:19" x14ac:dyDescent="0.3">
      <c r="A277" t="s">
        <v>330</v>
      </c>
      <c r="B277" s="2">
        <v>45533</v>
      </c>
      <c r="C277" t="s">
        <v>64</v>
      </c>
      <c r="D277" t="s">
        <v>29</v>
      </c>
      <c r="E277" t="s">
        <v>44</v>
      </c>
      <c r="F277" t="s">
        <v>23</v>
      </c>
      <c r="G277" t="s">
        <v>31</v>
      </c>
      <c r="H277" t="s">
        <v>25</v>
      </c>
      <c r="I277">
        <v>1</v>
      </c>
      <c r="J277" s="3">
        <v>28781</v>
      </c>
      <c r="K277" s="4">
        <v>0</v>
      </c>
      <c r="L277" s="3">
        <v>28781</v>
      </c>
      <c r="M277" s="3">
        <v>0</v>
      </c>
      <c r="N277" s="3">
        <v>28781</v>
      </c>
      <c r="O277" s="3">
        <v>16084.93</v>
      </c>
      <c r="P277" s="3">
        <v>12696.07</v>
      </c>
      <c r="Q277" t="s">
        <v>300</v>
      </c>
      <c r="R277">
        <v>2024</v>
      </c>
      <c r="S277">
        <v>8</v>
      </c>
    </row>
    <row r="278" spans="1:19" x14ac:dyDescent="0.3">
      <c r="A278" t="s">
        <v>331</v>
      </c>
      <c r="B278" s="2">
        <v>45534</v>
      </c>
      <c r="C278" t="s">
        <v>48</v>
      </c>
      <c r="D278" t="s">
        <v>34</v>
      </c>
      <c r="E278" t="s">
        <v>42</v>
      </c>
      <c r="F278" t="s">
        <v>40</v>
      </c>
      <c r="G278" t="s">
        <v>31</v>
      </c>
      <c r="H278" t="s">
        <v>25</v>
      </c>
      <c r="I278">
        <v>3</v>
      </c>
      <c r="J278" s="3">
        <v>24183</v>
      </c>
      <c r="K278" s="4">
        <v>0</v>
      </c>
      <c r="L278" s="3">
        <v>72549</v>
      </c>
      <c r="M278" s="3">
        <v>0</v>
      </c>
      <c r="N278" s="3">
        <v>72549</v>
      </c>
      <c r="O278" s="3">
        <v>40933.870000000003</v>
      </c>
      <c r="P278" s="3">
        <v>31615.13</v>
      </c>
      <c r="Q278" t="s">
        <v>300</v>
      </c>
      <c r="R278">
        <v>2024</v>
      </c>
      <c r="S278">
        <v>8</v>
      </c>
    </row>
    <row r="279" spans="1:19" x14ac:dyDescent="0.3">
      <c r="A279" t="s">
        <v>332</v>
      </c>
      <c r="B279" s="2">
        <v>45535</v>
      </c>
      <c r="C279" t="s">
        <v>50</v>
      </c>
      <c r="D279" t="s">
        <v>34</v>
      </c>
      <c r="E279" t="s">
        <v>56</v>
      </c>
      <c r="F279" t="s">
        <v>37</v>
      </c>
      <c r="G279" t="s">
        <v>31</v>
      </c>
      <c r="H279" t="s">
        <v>25</v>
      </c>
      <c r="I279">
        <v>2</v>
      </c>
      <c r="J279" s="3">
        <v>18927</v>
      </c>
      <c r="K279" s="4">
        <v>0</v>
      </c>
      <c r="L279" s="3">
        <v>37854</v>
      </c>
      <c r="M279" s="3">
        <v>0</v>
      </c>
      <c r="N279" s="3">
        <v>37854</v>
      </c>
      <c r="O279" s="3">
        <v>23510.080000000002</v>
      </c>
      <c r="P279" s="3">
        <v>14343.92</v>
      </c>
      <c r="Q279" t="s">
        <v>300</v>
      </c>
      <c r="R279">
        <v>2024</v>
      </c>
      <c r="S279">
        <v>8</v>
      </c>
    </row>
    <row r="280" spans="1:19" x14ac:dyDescent="0.3">
      <c r="A280" t="s">
        <v>333</v>
      </c>
      <c r="B280" s="2">
        <v>45536</v>
      </c>
      <c r="C280" t="s">
        <v>50</v>
      </c>
      <c r="D280" t="s">
        <v>34</v>
      </c>
      <c r="E280" t="s">
        <v>56</v>
      </c>
      <c r="F280" t="s">
        <v>30</v>
      </c>
      <c r="G280" t="s">
        <v>24</v>
      </c>
      <c r="H280" t="s">
        <v>25</v>
      </c>
      <c r="I280">
        <v>1</v>
      </c>
      <c r="J280" s="3">
        <v>16734</v>
      </c>
      <c r="K280" s="4">
        <v>10</v>
      </c>
      <c r="L280" s="3">
        <v>16734</v>
      </c>
      <c r="M280" s="3">
        <v>1673.4</v>
      </c>
      <c r="N280" s="3">
        <v>15060.6</v>
      </c>
      <c r="O280" s="3">
        <v>10426.02</v>
      </c>
      <c r="P280" s="3">
        <v>4634.58</v>
      </c>
      <c r="Q280" t="s">
        <v>334</v>
      </c>
      <c r="R280">
        <v>2024</v>
      </c>
      <c r="S280">
        <v>9</v>
      </c>
    </row>
    <row r="281" spans="1:19" x14ac:dyDescent="0.3">
      <c r="A281" t="s">
        <v>335</v>
      </c>
      <c r="B281" s="2">
        <v>45537</v>
      </c>
      <c r="C281" t="s">
        <v>71</v>
      </c>
      <c r="D281" t="s">
        <v>34</v>
      </c>
      <c r="E281" t="s">
        <v>22</v>
      </c>
      <c r="F281" t="s">
        <v>40</v>
      </c>
      <c r="G281" t="s">
        <v>24</v>
      </c>
      <c r="H281" t="s">
        <v>25</v>
      </c>
      <c r="I281">
        <v>1</v>
      </c>
      <c r="J281" s="3">
        <v>53427</v>
      </c>
      <c r="K281" s="4">
        <v>0</v>
      </c>
      <c r="L281" s="3">
        <v>53427</v>
      </c>
      <c r="M281" s="3">
        <v>0</v>
      </c>
      <c r="N281" s="3">
        <v>53427</v>
      </c>
      <c r="O281" s="3">
        <v>34150.620000000003</v>
      </c>
      <c r="P281" s="3">
        <v>19276.38</v>
      </c>
      <c r="Q281" t="s">
        <v>334</v>
      </c>
      <c r="R281">
        <v>2024</v>
      </c>
      <c r="S281">
        <v>9</v>
      </c>
    </row>
    <row r="282" spans="1:19" x14ac:dyDescent="0.3">
      <c r="A282" t="s">
        <v>336</v>
      </c>
      <c r="B282" s="2">
        <v>45538</v>
      </c>
      <c r="C282" t="s">
        <v>75</v>
      </c>
      <c r="D282" t="s">
        <v>34</v>
      </c>
      <c r="E282" t="s">
        <v>22</v>
      </c>
      <c r="F282" t="s">
        <v>40</v>
      </c>
      <c r="G282" t="s">
        <v>24</v>
      </c>
      <c r="H282" t="s">
        <v>25</v>
      </c>
      <c r="I282">
        <v>1</v>
      </c>
      <c r="J282" s="3">
        <v>40863</v>
      </c>
      <c r="K282" s="4">
        <v>0</v>
      </c>
      <c r="L282" s="3">
        <v>40863</v>
      </c>
      <c r="M282" s="3">
        <v>0</v>
      </c>
      <c r="N282" s="3">
        <v>40863</v>
      </c>
      <c r="O282" s="3">
        <v>25515.4</v>
      </c>
      <c r="P282" s="3">
        <v>15347.6</v>
      </c>
      <c r="Q282" t="s">
        <v>334</v>
      </c>
      <c r="R282">
        <v>2024</v>
      </c>
      <c r="S282">
        <v>9</v>
      </c>
    </row>
    <row r="283" spans="1:19" x14ac:dyDescent="0.3">
      <c r="A283" t="s">
        <v>337</v>
      </c>
      <c r="B283" s="2">
        <v>45538</v>
      </c>
      <c r="C283" t="s">
        <v>71</v>
      </c>
      <c r="D283" t="s">
        <v>34</v>
      </c>
      <c r="E283" t="s">
        <v>56</v>
      </c>
      <c r="F283" t="s">
        <v>40</v>
      </c>
      <c r="G283" t="s">
        <v>31</v>
      </c>
      <c r="H283" t="s">
        <v>25</v>
      </c>
      <c r="I283">
        <v>1</v>
      </c>
      <c r="J283" s="3">
        <v>53433</v>
      </c>
      <c r="K283" s="4">
        <v>0</v>
      </c>
      <c r="L283" s="3">
        <v>53433</v>
      </c>
      <c r="M283" s="3">
        <v>0</v>
      </c>
      <c r="N283" s="3">
        <v>53433</v>
      </c>
      <c r="O283" s="3">
        <v>35331.089999999997</v>
      </c>
      <c r="P283" s="3">
        <v>18101.91</v>
      </c>
      <c r="Q283" t="s">
        <v>334</v>
      </c>
      <c r="R283">
        <v>2024</v>
      </c>
      <c r="S283">
        <v>9</v>
      </c>
    </row>
    <row r="284" spans="1:19" x14ac:dyDescent="0.3">
      <c r="A284" t="s">
        <v>338</v>
      </c>
      <c r="B284" s="2">
        <v>45540</v>
      </c>
      <c r="C284" t="s">
        <v>46</v>
      </c>
      <c r="D284" t="s">
        <v>21</v>
      </c>
      <c r="E284" t="s">
        <v>44</v>
      </c>
      <c r="F284" t="s">
        <v>35</v>
      </c>
      <c r="G284" t="s">
        <v>31</v>
      </c>
      <c r="H284" t="s">
        <v>25</v>
      </c>
      <c r="I284">
        <v>2</v>
      </c>
      <c r="J284" s="3">
        <v>12114</v>
      </c>
      <c r="K284" s="4">
        <v>0</v>
      </c>
      <c r="L284" s="3">
        <v>24228</v>
      </c>
      <c r="M284" s="3">
        <v>0</v>
      </c>
      <c r="N284" s="3">
        <v>24228</v>
      </c>
      <c r="O284" s="3">
        <v>14076.14</v>
      </c>
      <c r="P284" s="3">
        <v>10151.86</v>
      </c>
      <c r="Q284" t="s">
        <v>334</v>
      </c>
      <c r="R284">
        <v>2024</v>
      </c>
      <c r="S284">
        <v>9</v>
      </c>
    </row>
    <row r="285" spans="1:19" x14ac:dyDescent="0.3">
      <c r="A285" t="s">
        <v>339</v>
      </c>
      <c r="B285" s="2">
        <v>45540</v>
      </c>
      <c r="C285" t="s">
        <v>33</v>
      </c>
      <c r="D285" t="s">
        <v>34</v>
      </c>
      <c r="E285" t="s">
        <v>44</v>
      </c>
      <c r="F285" t="s">
        <v>37</v>
      </c>
      <c r="G285" t="s">
        <v>24</v>
      </c>
      <c r="H285" t="s">
        <v>25</v>
      </c>
      <c r="I285">
        <v>2</v>
      </c>
      <c r="J285" s="3">
        <v>45358</v>
      </c>
      <c r="K285" s="4">
        <v>15</v>
      </c>
      <c r="L285" s="3">
        <v>90716</v>
      </c>
      <c r="M285" s="3">
        <v>13607.4</v>
      </c>
      <c r="N285" s="3">
        <v>77108.600000000006</v>
      </c>
      <c r="O285" s="3">
        <v>45615.34</v>
      </c>
      <c r="P285" s="3">
        <v>31493.26</v>
      </c>
      <c r="Q285" t="s">
        <v>334</v>
      </c>
      <c r="R285">
        <v>2024</v>
      </c>
      <c r="S285">
        <v>9</v>
      </c>
    </row>
    <row r="286" spans="1:19" x14ac:dyDescent="0.3">
      <c r="A286" t="s">
        <v>340</v>
      </c>
      <c r="B286" s="2">
        <v>45541</v>
      </c>
      <c r="C286" t="s">
        <v>28</v>
      </c>
      <c r="D286" t="s">
        <v>29</v>
      </c>
      <c r="E286" t="s">
        <v>56</v>
      </c>
      <c r="F286" t="s">
        <v>30</v>
      </c>
      <c r="G286" t="s">
        <v>24</v>
      </c>
      <c r="H286" t="s">
        <v>25</v>
      </c>
      <c r="I286">
        <v>3</v>
      </c>
      <c r="J286" s="3">
        <v>64531</v>
      </c>
      <c r="K286" s="4">
        <v>0</v>
      </c>
      <c r="L286" s="3">
        <v>193593</v>
      </c>
      <c r="M286" s="3">
        <v>0</v>
      </c>
      <c r="N286" s="3">
        <v>193593</v>
      </c>
      <c r="O286" s="3">
        <v>129594.54</v>
      </c>
      <c r="P286" s="3">
        <v>63998.46</v>
      </c>
      <c r="Q286" t="s">
        <v>334</v>
      </c>
      <c r="R286">
        <v>2024</v>
      </c>
      <c r="S286">
        <v>9</v>
      </c>
    </row>
    <row r="287" spans="1:19" x14ac:dyDescent="0.3">
      <c r="A287" t="s">
        <v>341</v>
      </c>
      <c r="B287" s="2">
        <v>45541</v>
      </c>
      <c r="C287" t="s">
        <v>64</v>
      </c>
      <c r="D287" t="s">
        <v>29</v>
      </c>
      <c r="E287" t="s">
        <v>44</v>
      </c>
      <c r="F287" t="s">
        <v>35</v>
      </c>
      <c r="G287" t="s">
        <v>24</v>
      </c>
      <c r="H287" t="s">
        <v>25</v>
      </c>
      <c r="I287">
        <v>2</v>
      </c>
      <c r="J287" s="3">
        <v>31198</v>
      </c>
      <c r="K287" s="4">
        <v>10</v>
      </c>
      <c r="L287" s="3">
        <v>62396</v>
      </c>
      <c r="M287" s="3">
        <v>6239.6</v>
      </c>
      <c r="N287" s="3">
        <v>56156.4</v>
      </c>
      <c r="O287" s="3">
        <v>37810.379999999997</v>
      </c>
      <c r="P287" s="3">
        <v>18346.02</v>
      </c>
      <c r="Q287" t="s">
        <v>334</v>
      </c>
      <c r="R287">
        <v>2024</v>
      </c>
      <c r="S287">
        <v>9</v>
      </c>
    </row>
    <row r="288" spans="1:19" x14ac:dyDescent="0.3">
      <c r="A288" t="s">
        <v>342</v>
      </c>
      <c r="B288" s="2">
        <v>45542</v>
      </c>
      <c r="C288" t="s">
        <v>50</v>
      </c>
      <c r="D288" t="s">
        <v>34</v>
      </c>
      <c r="E288" t="s">
        <v>22</v>
      </c>
      <c r="F288" t="s">
        <v>40</v>
      </c>
      <c r="G288" t="s">
        <v>31</v>
      </c>
      <c r="H288" t="s">
        <v>25</v>
      </c>
      <c r="I288">
        <v>1</v>
      </c>
      <c r="J288" s="3">
        <v>19167</v>
      </c>
      <c r="K288" s="4">
        <v>0</v>
      </c>
      <c r="L288" s="3">
        <v>19167</v>
      </c>
      <c r="M288" s="3">
        <v>0</v>
      </c>
      <c r="N288" s="3">
        <v>0</v>
      </c>
      <c r="O288" s="3">
        <v>10042.74</v>
      </c>
      <c r="P288" s="3">
        <v>0</v>
      </c>
      <c r="Q288" t="s">
        <v>334</v>
      </c>
      <c r="R288">
        <v>2024</v>
      </c>
      <c r="S288">
        <v>9</v>
      </c>
    </row>
    <row r="289" spans="1:19" x14ac:dyDescent="0.3">
      <c r="A289" t="s">
        <v>343</v>
      </c>
      <c r="B289" s="2">
        <v>45544</v>
      </c>
      <c r="C289" t="s">
        <v>20</v>
      </c>
      <c r="D289" t="s">
        <v>21</v>
      </c>
      <c r="E289" t="s">
        <v>22</v>
      </c>
      <c r="F289" t="s">
        <v>35</v>
      </c>
      <c r="G289" t="s">
        <v>31</v>
      </c>
      <c r="H289" t="s">
        <v>25</v>
      </c>
      <c r="I289">
        <v>4</v>
      </c>
      <c r="J289" s="3">
        <v>15501</v>
      </c>
      <c r="K289" s="4">
        <v>5</v>
      </c>
      <c r="L289" s="3">
        <v>62004</v>
      </c>
      <c r="M289" s="3">
        <v>3100.2</v>
      </c>
      <c r="N289" s="3">
        <v>58903.8</v>
      </c>
      <c r="O289" s="3">
        <v>38617.17</v>
      </c>
      <c r="P289" s="3">
        <v>20286.63</v>
      </c>
      <c r="Q289" t="s">
        <v>334</v>
      </c>
      <c r="R289">
        <v>2024</v>
      </c>
      <c r="S289">
        <v>9</v>
      </c>
    </row>
    <row r="290" spans="1:19" x14ac:dyDescent="0.3">
      <c r="A290" t="s">
        <v>344</v>
      </c>
      <c r="B290" s="2">
        <v>45544</v>
      </c>
      <c r="C290" t="s">
        <v>20</v>
      </c>
      <c r="D290" t="s">
        <v>21</v>
      </c>
      <c r="E290" t="s">
        <v>42</v>
      </c>
      <c r="F290" t="s">
        <v>35</v>
      </c>
      <c r="G290" t="s">
        <v>31</v>
      </c>
      <c r="H290" t="s">
        <v>25</v>
      </c>
      <c r="I290">
        <v>1</v>
      </c>
      <c r="J290" s="3">
        <v>14677</v>
      </c>
      <c r="K290" s="4">
        <v>0</v>
      </c>
      <c r="L290" s="3">
        <v>14677</v>
      </c>
      <c r="M290" s="3">
        <v>0</v>
      </c>
      <c r="N290" s="3">
        <v>14677</v>
      </c>
      <c r="O290" s="3">
        <v>7932.86</v>
      </c>
      <c r="P290" s="3">
        <v>6744.14</v>
      </c>
      <c r="Q290" t="s">
        <v>334</v>
      </c>
      <c r="R290">
        <v>2024</v>
      </c>
      <c r="S290">
        <v>9</v>
      </c>
    </row>
    <row r="291" spans="1:19" x14ac:dyDescent="0.3">
      <c r="A291" t="s">
        <v>345</v>
      </c>
      <c r="B291" s="2">
        <v>45545</v>
      </c>
      <c r="C291" t="s">
        <v>75</v>
      </c>
      <c r="D291" t="s">
        <v>34</v>
      </c>
      <c r="E291" t="s">
        <v>44</v>
      </c>
      <c r="F291" t="s">
        <v>40</v>
      </c>
      <c r="G291" t="s">
        <v>24</v>
      </c>
      <c r="H291" t="s">
        <v>25</v>
      </c>
      <c r="I291">
        <v>3</v>
      </c>
      <c r="J291" s="3">
        <v>37529</v>
      </c>
      <c r="K291" s="4">
        <v>0</v>
      </c>
      <c r="L291" s="3">
        <v>112587</v>
      </c>
      <c r="M291" s="3">
        <v>0</v>
      </c>
      <c r="N291" s="3">
        <v>112587</v>
      </c>
      <c r="O291" s="3">
        <v>61366.559999999998</v>
      </c>
      <c r="P291" s="3">
        <v>51220.44</v>
      </c>
      <c r="Q291" t="s">
        <v>334</v>
      </c>
      <c r="R291">
        <v>2024</v>
      </c>
      <c r="S291">
        <v>9</v>
      </c>
    </row>
    <row r="292" spans="1:19" x14ac:dyDescent="0.3">
      <c r="A292" t="s">
        <v>346</v>
      </c>
      <c r="B292" s="2">
        <v>45545</v>
      </c>
      <c r="C292" t="s">
        <v>20</v>
      </c>
      <c r="D292" t="s">
        <v>21</v>
      </c>
      <c r="E292" t="s">
        <v>42</v>
      </c>
      <c r="F292" t="s">
        <v>37</v>
      </c>
      <c r="G292" t="s">
        <v>24</v>
      </c>
      <c r="H292" t="s">
        <v>25</v>
      </c>
      <c r="I292">
        <v>1</v>
      </c>
      <c r="J292" s="3">
        <v>14230</v>
      </c>
      <c r="K292" s="4">
        <v>0</v>
      </c>
      <c r="L292" s="3">
        <v>14230</v>
      </c>
      <c r="M292" s="3">
        <v>0</v>
      </c>
      <c r="N292" s="3">
        <v>14230</v>
      </c>
      <c r="O292" s="3">
        <v>7152.86</v>
      </c>
      <c r="P292" s="3">
        <v>7077.14</v>
      </c>
      <c r="Q292" t="s">
        <v>334</v>
      </c>
      <c r="R292">
        <v>2024</v>
      </c>
      <c r="S292">
        <v>9</v>
      </c>
    </row>
    <row r="293" spans="1:19" x14ac:dyDescent="0.3">
      <c r="A293" t="s">
        <v>347</v>
      </c>
      <c r="B293" s="2">
        <v>45547</v>
      </c>
      <c r="C293" t="s">
        <v>71</v>
      </c>
      <c r="D293" t="s">
        <v>34</v>
      </c>
      <c r="E293" t="s">
        <v>22</v>
      </c>
      <c r="F293" t="s">
        <v>23</v>
      </c>
      <c r="G293" t="s">
        <v>31</v>
      </c>
      <c r="H293" t="s">
        <v>25</v>
      </c>
      <c r="I293">
        <v>2</v>
      </c>
      <c r="J293" s="3">
        <v>53489</v>
      </c>
      <c r="K293" s="4">
        <v>0</v>
      </c>
      <c r="L293" s="3">
        <v>106978</v>
      </c>
      <c r="M293" s="3">
        <v>0</v>
      </c>
      <c r="N293" s="3">
        <v>106978</v>
      </c>
      <c r="O293" s="3">
        <v>71681.23</v>
      </c>
      <c r="P293" s="3">
        <v>35296.769999999997</v>
      </c>
      <c r="Q293" t="s">
        <v>334</v>
      </c>
      <c r="R293">
        <v>2024</v>
      </c>
      <c r="S293">
        <v>9</v>
      </c>
    </row>
    <row r="294" spans="1:19" x14ac:dyDescent="0.3">
      <c r="A294" t="s">
        <v>348</v>
      </c>
      <c r="B294" s="2">
        <v>45549</v>
      </c>
      <c r="C294" t="s">
        <v>71</v>
      </c>
      <c r="D294" t="s">
        <v>34</v>
      </c>
      <c r="E294" t="s">
        <v>22</v>
      </c>
      <c r="F294" t="s">
        <v>23</v>
      </c>
      <c r="G294" t="s">
        <v>24</v>
      </c>
      <c r="H294" t="s">
        <v>25</v>
      </c>
      <c r="I294">
        <v>5</v>
      </c>
      <c r="J294" s="3">
        <v>47045</v>
      </c>
      <c r="K294" s="4">
        <v>0</v>
      </c>
      <c r="L294" s="3">
        <v>235225</v>
      </c>
      <c r="M294" s="3">
        <v>0</v>
      </c>
      <c r="N294" s="3">
        <v>235225</v>
      </c>
      <c r="O294" s="3">
        <v>147218.38</v>
      </c>
      <c r="P294" s="3">
        <v>88006.62</v>
      </c>
      <c r="Q294" t="s">
        <v>334</v>
      </c>
      <c r="R294">
        <v>2024</v>
      </c>
      <c r="S294">
        <v>9</v>
      </c>
    </row>
    <row r="295" spans="1:19" x14ac:dyDescent="0.3">
      <c r="A295" t="s">
        <v>349</v>
      </c>
      <c r="B295" s="2">
        <v>45550</v>
      </c>
      <c r="C295" t="s">
        <v>46</v>
      </c>
      <c r="D295" t="s">
        <v>21</v>
      </c>
      <c r="E295" t="s">
        <v>44</v>
      </c>
      <c r="F295" t="s">
        <v>40</v>
      </c>
      <c r="G295" t="s">
        <v>31</v>
      </c>
      <c r="H295" t="s">
        <v>25</v>
      </c>
      <c r="I295">
        <v>1</v>
      </c>
      <c r="J295" s="3">
        <v>12942</v>
      </c>
      <c r="K295" s="4">
        <v>0</v>
      </c>
      <c r="L295" s="3">
        <v>12942</v>
      </c>
      <c r="M295" s="3">
        <v>0</v>
      </c>
      <c r="N295" s="3">
        <v>12942</v>
      </c>
      <c r="O295" s="3">
        <v>6742.04</v>
      </c>
      <c r="P295" s="3">
        <v>6199.96</v>
      </c>
      <c r="Q295" t="s">
        <v>334</v>
      </c>
      <c r="R295">
        <v>2024</v>
      </c>
      <c r="S295">
        <v>9</v>
      </c>
    </row>
    <row r="296" spans="1:19" x14ac:dyDescent="0.3">
      <c r="A296" t="s">
        <v>350</v>
      </c>
      <c r="B296" s="2">
        <v>45550</v>
      </c>
      <c r="C296" t="s">
        <v>75</v>
      </c>
      <c r="D296" t="s">
        <v>34</v>
      </c>
      <c r="E296" t="s">
        <v>56</v>
      </c>
      <c r="F296" t="s">
        <v>37</v>
      </c>
      <c r="G296" t="s">
        <v>24</v>
      </c>
      <c r="H296" t="s">
        <v>25</v>
      </c>
      <c r="I296">
        <v>5</v>
      </c>
      <c r="J296" s="3">
        <v>40572</v>
      </c>
      <c r="K296" s="4">
        <v>0</v>
      </c>
      <c r="L296" s="3">
        <v>202860</v>
      </c>
      <c r="M296" s="3">
        <v>0</v>
      </c>
      <c r="N296" s="3">
        <v>202860</v>
      </c>
      <c r="O296" s="3">
        <v>137501.53</v>
      </c>
      <c r="P296" s="3">
        <v>65358.47</v>
      </c>
      <c r="Q296" t="s">
        <v>334</v>
      </c>
      <c r="R296">
        <v>2024</v>
      </c>
      <c r="S296">
        <v>9</v>
      </c>
    </row>
    <row r="297" spans="1:19" x14ac:dyDescent="0.3">
      <c r="A297" t="s">
        <v>351</v>
      </c>
      <c r="B297" s="2">
        <v>45552</v>
      </c>
      <c r="C297" t="s">
        <v>71</v>
      </c>
      <c r="D297" t="s">
        <v>34</v>
      </c>
      <c r="E297" t="s">
        <v>42</v>
      </c>
      <c r="F297" t="s">
        <v>30</v>
      </c>
      <c r="G297" t="s">
        <v>31</v>
      </c>
      <c r="H297" t="s">
        <v>25</v>
      </c>
      <c r="I297">
        <v>2</v>
      </c>
      <c r="J297" s="3">
        <v>48883</v>
      </c>
      <c r="K297" s="4">
        <v>0</v>
      </c>
      <c r="L297" s="3">
        <v>97766</v>
      </c>
      <c r="M297" s="3">
        <v>0</v>
      </c>
      <c r="N297" s="3">
        <v>97766</v>
      </c>
      <c r="O297" s="3">
        <v>54935.08</v>
      </c>
      <c r="P297" s="3">
        <v>42830.92</v>
      </c>
      <c r="Q297" t="s">
        <v>334</v>
      </c>
      <c r="R297">
        <v>2024</v>
      </c>
      <c r="S297">
        <v>9</v>
      </c>
    </row>
    <row r="298" spans="1:19" x14ac:dyDescent="0.3">
      <c r="A298" t="s">
        <v>352</v>
      </c>
      <c r="B298" s="2">
        <v>45552</v>
      </c>
      <c r="C298" t="s">
        <v>28</v>
      </c>
      <c r="D298" t="s">
        <v>29</v>
      </c>
      <c r="E298" t="s">
        <v>22</v>
      </c>
      <c r="F298" t="s">
        <v>23</v>
      </c>
      <c r="G298" t="s">
        <v>31</v>
      </c>
      <c r="H298" t="s">
        <v>25</v>
      </c>
      <c r="I298">
        <v>1</v>
      </c>
      <c r="J298" s="3">
        <v>63438</v>
      </c>
      <c r="K298" s="4">
        <v>0</v>
      </c>
      <c r="L298" s="3">
        <v>63438</v>
      </c>
      <c r="M298" s="3">
        <v>0</v>
      </c>
      <c r="N298" s="3">
        <v>63438</v>
      </c>
      <c r="O298" s="3">
        <v>35011.980000000003</v>
      </c>
      <c r="P298" s="3">
        <v>28426.02</v>
      </c>
      <c r="Q298" t="s">
        <v>334</v>
      </c>
      <c r="R298">
        <v>2024</v>
      </c>
      <c r="S298">
        <v>9</v>
      </c>
    </row>
    <row r="299" spans="1:19" x14ac:dyDescent="0.3">
      <c r="A299" t="s">
        <v>353</v>
      </c>
      <c r="B299" s="2">
        <v>45554</v>
      </c>
      <c r="C299" t="s">
        <v>75</v>
      </c>
      <c r="D299" t="s">
        <v>34</v>
      </c>
      <c r="E299" t="s">
        <v>22</v>
      </c>
      <c r="F299" t="s">
        <v>30</v>
      </c>
      <c r="G299" t="s">
        <v>24</v>
      </c>
      <c r="H299" t="s">
        <v>25</v>
      </c>
      <c r="I299">
        <v>2</v>
      </c>
      <c r="J299" s="3">
        <v>39748</v>
      </c>
      <c r="K299" s="4">
        <v>0</v>
      </c>
      <c r="L299" s="3">
        <v>79496</v>
      </c>
      <c r="M299" s="3">
        <v>0</v>
      </c>
      <c r="N299" s="3">
        <v>79496</v>
      </c>
      <c r="O299" s="3">
        <v>47126.41</v>
      </c>
      <c r="P299" s="3">
        <v>32369.59</v>
      </c>
      <c r="Q299" t="s">
        <v>334</v>
      </c>
      <c r="R299">
        <v>2024</v>
      </c>
      <c r="S299">
        <v>9</v>
      </c>
    </row>
    <row r="300" spans="1:19" x14ac:dyDescent="0.3">
      <c r="A300" t="s">
        <v>354</v>
      </c>
      <c r="B300" s="2">
        <v>45555</v>
      </c>
      <c r="C300" t="s">
        <v>20</v>
      </c>
      <c r="D300" t="s">
        <v>21</v>
      </c>
      <c r="E300" t="s">
        <v>42</v>
      </c>
      <c r="F300" t="s">
        <v>37</v>
      </c>
      <c r="G300" t="s">
        <v>31</v>
      </c>
      <c r="H300" t="s">
        <v>25</v>
      </c>
      <c r="I300">
        <v>1</v>
      </c>
      <c r="J300" s="3">
        <v>14422</v>
      </c>
      <c r="K300" s="4">
        <v>0</v>
      </c>
      <c r="L300" s="3">
        <v>14422</v>
      </c>
      <c r="M300" s="3">
        <v>0</v>
      </c>
      <c r="N300" s="3">
        <v>14422</v>
      </c>
      <c r="O300" s="3">
        <v>7181.91</v>
      </c>
      <c r="P300" s="3">
        <v>7240.09</v>
      </c>
      <c r="Q300" t="s">
        <v>334</v>
      </c>
      <c r="R300">
        <v>2024</v>
      </c>
      <c r="S300">
        <v>9</v>
      </c>
    </row>
    <row r="301" spans="1:19" x14ac:dyDescent="0.3">
      <c r="A301" t="s">
        <v>355</v>
      </c>
      <c r="B301" s="2">
        <v>45556</v>
      </c>
      <c r="C301" t="s">
        <v>82</v>
      </c>
      <c r="D301" t="s">
        <v>21</v>
      </c>
      <c r="E301" t="s">
        <v>42</v>
      </c>
      <c r="F301" t="s">
        <v>40</v>
      </c>
      <c r="G301" t="s">
        <v>24</v>
      </c>
      <c r="H301" t="s">
        <v>25</v>
      </c>
      <c r="I301">
        <v>1</v>
      </c>
      <c r="J301" s="3">
        <v>47476</v>
      </c>
      <c r="K301" s="4">
        <v>5</v>
      </c>
      <c r="L301" s="3">
        <v>47476</v>
      </c>
      <c r="M301" s="3">
        <v>2373.8000000000002</v>
      </c>
      <c r="N301" s="3">
        <v>45102.2</v>
      </c>
      <c r="O301" s="3">
        <v>26792.73</v>
      </c>
      <c r="P301" s="3">
        <v>18309.47</v>
      </c>
      <c r="Q301" t="s">
        <v>334</v>
      </c>
      <c r="R301">
        <v>2024</v>
      </c>
      <c r="S301">
        <v>9</v>
      </c>
    </row>
    <row r="302" spans="1:19" x14ac:dyDescent="0.3">
      <c r="A302" t="s">
        <v>356</v>
      </c>
      <c r="B302" s="2">
        <v>45557</v>
      </c>
      <c r="C302" t="s">
        <v>46</v>
      </c>
      <c r="D302" t="s">
        <v>21</v>
      </c>
      <c r="E302" t="s">
        <v>44</v>
      </c>
      <c r="F302" t="s">
        <v>40</v>
      </c>
      <c r="G302" t="s">
        <v>24</v>
      </c>
      <c r="H302" t="s">
        <v>25</v>
      </c>
      <c r="I302">
        <v>1</v>
      </c>
      <c r="J302" s="3">
        <v>12714</v>
      </c>
      <c r="K302" s="4">
        <v>0</v>
      </c>
      <c r="L302" s="3">
        <v>12714</v>
      </c>
      <c r="M302" s="3">
        <v>0</v>
      </c>
      <c r="N302" s="3">
        <v>12714</v>
      </c>
      <c r="O302" s="3">
        <v>7315.11</v>
      </c>
      <c r="P302" s="3">
        <v>5398.89</v>
      </c>
      <c r="Q302" t="s">
        <v>334</v>
      </c>
      <c r="R302">
        <v>2024</v>
      </c>
      <c r="S302">
        <v>9</v>
      </c>
    </row>
    <row r="303" spans="1:19" x14ac:dyDescent="0.3">
      <c r="A303" t="s">
        <v>357</v>
      </c>
      <c r="B303" s="2">
        <v>45559</v>
      </c>
      <c r="C303" t="s">
        <v>48</v>
      </c>
      <c r="D303" t="s">
        <v>34</v>
      </c>
      <c r="E303" t="s">
        <v>42</v>
      </c>
      <c r="F303" t="s">
        <v>40</v>
      </c>
      <c r="G303" t="s">
        <v>24</v>
      </c>
      <c r="H303" t="s">
        <v>25</v>
      </c>
      <c r="I303">
        <v>1</v>
      </c>
      <c r="J303" s="3">
        <v>25919</v>
      </c>
      <c r="K303" s="4">
        <v>5</v>
      </c>
      <c r="L303" s="3">
        <v>25919</v>
      </c>
      <c r="M303" s="3">
        <v>1295.95</v>
      </c>
      <c r="N303" s="3">
        <v>24623.05</v>
      </c>
      <c r="O303" s="3">
        <v>12855.92</v>
      </c>
      <c r="P303" s="3">
        <v>11767.13</v>
      </c>
      <c r="Q303" t="s">
        <v>334</v>
      </c>
      <c r="R303">
        <v>2024</v>
      </c>
      <c r="S303">
        <v>9</v>
      </c>
    </row>
    <row r="304" spans="1:19" x14ac:dyDescent="0.3">
      <c r="A304" t="s">
        <v>358</v>
      </c>
      <c r="B304" s="2">
        <v>45559</v>
      </c>
      <c r="C304" t="s">
        <v>75</v>
      </c>
      <c r="D304" t="s">
        <v>34</v>
      </c>
      <c r="E304" t="s">
        <v>42</v>
      </c>
      <c r="F304" t="s">
        <v>37</v>
      </c>
      <c r="G304" t="s">
        <v>31</v>
      </c>
      <c r="H304" t="s">
        <v>25</v>
      </c>
      <c r="I304">
        <v>3</v>
      </c>
      <c r="J304" s="3">
        <v>39306</v>
      </c>
      <c r="K304" s="4">
        <v>0</v>
      </c>
      <c r="L304" s="3">
        <v>117918</v>
      </c>
      <c r="M304" s="3">
        <v>0</v>
      </c>
      <c r="N304" s="3">
        <v>117918</v>
      </c>
      <c r="O304" s="3">
        <v>68686.64</v>
      </c>
      <c r="P304" s="3">
        <v>49231.360000000001</v>
      </c>
      <c r="Q304" t="s">
        <v>334</v>
      </c>
      <c r="R304">
        <v>2024</v>
      </c>
      <c r="S304">
        <v>9</v>
      </c>
    </row>
    <row r="305" spans="1:19" x14ac:dyDescent="0.3">
      <c r="A305" t="s">
        <v>359</v>
      </c>
      <c r="B305" s="2">
        <v>45560</v>
      </c>
      <c r="C305" t="s">
        <v>75</v>
      </c>
      <c r="D305" t="s">
        <v>34</v>
      </c>
      <c r="E305" t="s">
        <v>22</v>
      </c>
      <c r="F305" t="s">
        <v>23</v>
      </c>
      <c r="G305" t="s">
        <v>24</v>
      </c>
      <c r="H305" t="s">
        <v>25</v>
      </c>
      <c r="I305">
        <v>3</v>
      </c>
      <c r="J305" s="3">
        <v>38811</v>
      </c>
      <c r="K305" s="4">
        <v>0</v>
      </c>
      <c r="L305" s="3">
        <v>116433</v>
      </c>
      <c r="M305" s="3">
        <v>0</v>
      </c>
      <c r="N305" s="3">
        <v>116433</v>
      </c>
      <c r="O305" s="3">
        <v>65153.21</v>
      </c>
      <c r="P305" s="3">
        <v>51279.79</v>
      </c>
      <c r="Q305" t="s">
        <v>334</v>
      </c>
      <c r="R305">
        <v>2024</v>
      </c>
      <c r="S305">
        <v>9</v>
      </c>
    </row>
    <row r="306" spans="1:19" x14ac:dyDescent="0.3">
      <c r="A306" t="s">
        <v>360</v>
      </c>
      <c r="B306" s="2">
        <v>45561</v>
      </c>
      <c r="C306" t="s">
        <v>33</v>
      </c>
      <c r="D306" t="s">
        <v>34</v>
      </c>
      <c r="E306" t="s">
        <v>56</v>
      </c>
      <c r="F306" t="s">
        <v>30</v>
      </c>
      <c r="G306" t="s">
        <v>24</v>
      </c>
      <c r="H306" t="s">
        <v>25</v>
      </c>
      <c r="I306">
        <v>3</v>
      </c>
      <c r="J306" s="3">
        <v>44432</v>
      </c>
      <c r="K306" s="4">
        <v>0</v>
      </c>
      <c r="L306" s="3">
        <v>133296</v>
      </c>
      <c r="M306" s="3">
        <v>0</v>
      </c>
      <c r="N306" s="3">
        <v>133296</v>
      </c>
      <c r="O306" s="3">
        <v>76966.759999999995</v>
      </c>
      <c r="P306" s="3">
        <v>56329.24</v>
      </c>
      <c r="Q306" t="s">
        <v>334</v>
      </c>
      <c r="R306">
        <v>2024</v>
      </c>
      <c r="S306">
        <v>9</v>
      </c>
    </row>
    <row r="307" spans="1:19" x14ac:dyDescent="0.3">
      <c r="A307" t="s">
        <v>361</v>
      </c>
      <c r="B307" s="2">
        <v>45561</v>
      </c>
      <c r="C307" t="s">
        <v>82</v>
      </c>
      <c r="D307" t="s">
        <v>21</v>
      </c>
      <c r="E307" t="s">
        <v>56</v>
      </c>
      <c r="F307" t="s">
        <v>37</v>
      </c>
      <c r="G307" t="s">
        <v>31</v>
      </c>
      <c r="H307" t="s">
        <v>25</v>
      </c>
      <c r="I307">
        <v>2</v>
      </c>
      <c r="J307" s="3">
        <v>43257</v>
      </c>
      <c r="K307" s="4">
        <v>0</v>
      </c>
      <c r="L307" s="3">
        <v>86514</v>
      </c>
      <c r="M307" s="3">
        <v>0</v>
      </c>
      <c r="N307" s="3">
        <v>86514</v>
      </c>
      <c r="O307" s="3">
        <v>58406.07</v>
      </c>
      <c r="P307" s="3">
        <v>28107.93</v>
      </c>
      <c r="Q307" t="s">
        <v>334</v>
      </c>
      <c r="R307">
        <v>2024</v>
      </c>
      <c r="S307">
        <v>9</v>
      </c>
    </row>
    <row r="308" spans="1:19" x14ac:dyDescent="0.3">
      <c r="A308" t="s">
        <v>362</v>
      </c>
      <c r="B308" s="2">
        <v>45563</v>
      </c>
      <c r="C308" t="s">
        <v>28</v>
      </c>
      <c r="D308" t="s">
        <v>29</v>
      </c>
      <c r="E308" t="s">
        <v>22</v>
      </c>
      <c r="F308" t="s">
        <v>30</v>
      </c>
      <c r="G308" t="s">
        <v>31</v>
      </c>
      <c r="H308" t="s">
        <v>25</v>
      </c>
      <c r="I308">
        <v>1</v>
      </c>
      <c r="J308" s="3">
        <v>61830</v>
      </c>
      <c r="K308" s="4">
        <v>0</v>
      </c>
      <c r="L308" s="3">
        <v>61830</v>
      </c>
      <c r="M308" s="3">
        <v>0</v>
      </c>
      <c r="N308" s="3">
        <v>0</v>
      </c>
      <c r="O308" s="3">
        <v>31658.15</v>
      </c>
      <c r="P308" s="3">
        <v>0</v>
      </c>
      <c r="Q308" t="s">
        <v>334</v>
      </c>
      <c r="R308">
        <v>2024</v>
      </c>
      <c r="S308">
        <v>9</v>
      </c>
    </row>
    <row r="309" spans="1:19" x14ac:dyDescent="0.3">
      <c r="A309" t="s">
        <v>363</v>
      </c>
      <c r="B309" s="2">
        <v>45566</v>
      </c>
      <c r="C309" t="s">
        <v>46</v>
      </c>
      <c r="D309" t="s">
        <v>21</v>
      </c>
      <c r="E309" t="s">
        <v>42</v>
      </c>
      <c r="F309" t="s">
        <v>23</v>
      </c>
      <c r="G309" t="s">
        <v>31</v>
      </c>
      <c r="H309" t="s">
        <v>25</v>
      </c>
      <c r="I309">
        <v>4</v>
      </c>
      <c r="J309" s="3">
        <v>11260</v>
      </c>
      <c r="K309" s="4">
        <v>0</v>
      </c>
      <c r="L309" s="3">
        <v>45040</v>
      </c>
      <c r="M309" s="3">
        <v>0</v>
      </c>
      <c r="N309" s="3">
        <v>45040</v>
      </c>
      <c r="O309" s="3">
        <v>24936.58</v>
      </c>
      <c r="P309" s="3">
        <v>20103.419999999998</v>
      </c>
      <c r="Q309" t="s">
        <v>364</v>
      </c>
      <c r="R309">
        <v>2024</v>
      </c>
      <c r="S309">
        <v>10</v>
      </c>
    </row>
    <row r="310" spans="1:19" x14ac:dyDescent="0.3">
      <c r="A310" t="s">
        <v>365</v>
      </c>
      <c r="B310" s="2">
        <v>45568</v>
      </c>
      <c r="C310" t="s">
        <v>64</v>
      </c>
      <c r="D310" t="s">
        <v>29</v>
      </c>
      <c r="E310" t="s">
        <v>56</v>
      </c>
      <c r="F310" t="s">
        <v>35</v>
      </c>
      <c r="G310" t="s">
        <v>24</v>
      </c>
      <c r="H310" t="s">
        <v>25</v>
      </c>
      <c r="I310">
        <v>3</v>
      </c>
      <c r="J310" s="3">
        <v>31195</v>
      </c>
      <c r="K310" s="4">
        <v>10</v>
      </c>
      <c r="L310" s="3">
        <v>93585</v>
      </c>
      <c r="M310" s="3">
        <v>9358.5</v>
      </c>
      <c r="N310" s="3">
        <v>84226.5</v>
      </c>
      <c r="O310" s="3">
        <v>46844.77</v>
      </c>
      <c r="P310" s="3">
        <v>37381.730000000003</v>
      </c>
      <c r="Q310" t="s">
        <v>364</v>
      </c>
      <c r="R310">
        <v>2024</v>
      </c>
      <c r="S310">
        <v>10</v>
      </c>
    </row>
    <row r="311" spans="1:19" x14ac:dyDescent="0.3">
      <c r="A311" t="s">
        <v>366</v>
      </c>
      <c r="B311" s="2">
        <v>45568</v>
      </c>
      <c r="C311" t="s">
        <v>64</v>
      </c>
      <c r="D311" t="s">
        <v>29</v>
      </c>
      <c r="E311" t="s">
        <v>22</v>
      </c>
      <c r="F311" t="s">
        <v>40</v>
      </c>
      <c r="G311" t="s">
        <v>31</v>
      </c>
      <c r="H311" t="s">
        <v>25</v>
      </c>
      <c r="I311">
        <v>1</v>
      </c>
      <c r="J311" s="3">
        <v>30626</v>
      </c>
      <c r="K311" s="4">
        <v>15</v>
      </c>
      <c r="L311" s="3">
        <v>30626</v>
      </c>
      <c r="M311" s="3">
        <v>4593.8999999999996</v>
      </c>
      <c r="N311" s="3">
        <v>26032.1</v>
      </c>
      <c r="O311" s="3">
        <v>17379.32</v>
      </c>
      <c r="P311" s="3">
        <v>8652.7800000000007</v>
      </c>
      <c r="Q311" t="s">
        <v>364</v>
      </c>
      <c r="R311">
        <v>2024</v>
      </c>
      <c r="S311">
        <v>10</v>
      </c>
    </row>
    <row r="312" spans="1:19" x14ac:dyDescent="0.3">
      <c r="A312" t="s">
        <v>367</v>
      </c>
      <c r="B312" s="2">
        <v>45570</v>
      </c>
      <c r="C312" t="s">
        <v>71</v>
      </c>
      <c r="D312" t="s">
        <v>34</v>
      </c>
      <c r="E312" t="s">
        <v>42</v>
      </c>
      <c r="F312" t="s">
        <v>40</v>
      </c>
      <c r="G312" t="s">
        <v>24</v>
      </c>
      <c r="H312" t="s">
        <v>25</v>
      </c>
      <c r="I312">
        <v>2</v>
      </c>
      <c r="J312" s="3">
        <v>53738</v>
      </c>
      <c r="K312" s="4">
        <v>0</v>
      </c>
      <c r="L312" s="3">
        <v>107476</v>
      </c>
      <c r="M312" s="3">
        <v>0</v>
      </c>
      <c r="N312" s="3">
        <v>107476</v>
      </c>
      <c r="O312" s="3">
        <v>72162.28</v>
      </c>
      <c r="P312" s="3">
        <v>35313.72</v>
      </c>
      <c r="Q312" t="s">
        <v>364</v>
      </c>
      <c r="R312">
        <v>2024</v>
      </c>
      <c r="S312">
        <v>10</v>
      </c>
    </row>
    <row r="313" spans="1:19" x14ac:dyDescent="0.3">
      <c r="A313" t="s">
        <v>368</v>
      </c>
      <c r="B313" s="2">
        <v>45571</v>
      </c>
      <c r="C313" t="s">
        <v>50</v>
      </c>
      <c r="D313" t="s">
        <v>34</v>
      </c>
      <c r="E313" t="s">
        <v>44</v>
      </c>
      <c r="F313" t="s">
        <v>23</v>
      </c>
      <c r="G313" t="s">
        <v>24</v>
      </c>
      <c r="H313" t="s">
        <v>25</v>
      </c>
      <c r="I313">
        <v>1</v>
      </c>
      <c r="J313" s="3">
        <v>19081</v>
      </c>
      <c r="K313" s="4">
        <v>0</v>
      </c>
      <c r="L313" s="3">
        <v>19081</v>
      </c>
      <c r="M313" s="3">
        <v>0</v>
      </c>
      <c r="N313" s="3">
        <v>19081</v>
      </c>
      <c r="O313" s="3">
        <v>10221.459999999999</v>
      </c>
      <c r="P313" s="3">
        <v>8859.5400000000009</v>
      </c>
      <c r="Q313" t="s">
        <v>364</v>
      </c>
      <c r="R313">
        <v>2024</v>
      </c>
      <c r="S313">
        <v>10</v>
      </c>
    </row>
    <row r="314" spans="1:19" x14ac:dyDescent="0.3">
      <c r="A314" t="s">
        <v>369</v>
      </c>
      <c r="B314" s="2">
        <v>45571</v>
      </c>
      <c r="C314" t="s">
        <v>28</v>
      </c>
      <c r="D314" t="s">
        <v>29</v>
      </c>
      <c r="E314" t="s">
        <v>42</v>
      </c>
      <c r="F314" t="s">
        <v>35</v>
      </c>
      <c r="G314" t="s">
        <v>24</v>
      </c>
      <c r="H314" t="s">
        <v>25</v>
      </c>
      <c r="I314">
        <v>1</v>
      </c>
      <c r="J314" s="3">
        <v>67577</v>
      </c>
      <c r="K314" s="4">
        <v>0</v>
      </c>
      <c r="L314" s="3">
        <v>67577</v>
      </c>
      <c r="M314" s="3">
        <v>0</v>
      </c>
      <c r="N314" s="3">
        <v>67577</v>
      </c>
      <c r="O314" s="3">
        <v>38030</v>
      </c>
      <c r="P314" s="3">
        <v>29547</v>
      </c>
      <c r="Q314" t="s">
        <v>364</v>
      </c>
      <c r="R314">
        <v>2024</v>
      </c>
      <c r="S314">
        <v>10</v>
      </c>
    </row>
    <row r="315" spans="1:19" x14ac:dyDescent="0.3">
      <c r="A315" t="s">
        <v>370</v>
      </c>
      <c r="B315" s="2">
        <v>45572</v>
      </c>
      <c r="C315" t="s">
        <v>50</v>
      </c>
      <c r="D315" t="s">
        <v>34</v>
      </c>
      <c r="E315" t="s">
        <v>44</v>
      </c>
      <c r="F315" t="s">
        <v>40</v>
      </c>
      <c r="G315" t="s">
        <v>24</v>
      </c>
      <c r="H315" t="s">
        <v>25</v>
      </c>
      <c r="I315">
        <v>2</v>
      </c>
      <c r="J315" s="3">
        <v>18547</v>
      </c>
      <c r="K315" s="4">
        <v>0</v>
      </c>
      <c r="L315" s="3">
        <v>37094</v>
      </c>
      <c r="M315" s="3">
        <v>0</v>
      </c>
      <c r="N315" s="3">
        <v>37094</v>
      </c>
      <c r="O315" s="3">
        <v>20372.830000000002</v>
      </c>
      <c r="P315" s="3">
        <v>16721.169999999998</v>
      </c>
      <c r="Q315" t="s">
        <v>364</v>
      </c>
      <c r="R315">
        <v>2024</v>
      </c>
      <c r="S315">
        <v>10</v>
      </c>
    </row>
    <row r="316" spans="1:19" x14ac:dyDescent="0.3">
      <c r="A316" t="s">
        <v>371</v>
      </c>
      <c r="B316" s="2">
        <v>45575</v>
      </c>
      <c r="C316" t="s">
        <v>82</v>
      </c>
      <c r="D316" t="s">
        <v>21</v>
      </c>
      <c r="E316" t="s">
        <v>56</v>
      </c>
      <c r="F316" t="s">
        <v>37</v>
      </c>
      <c r="G316" t="s">
        <v>24</v>
      </c>
      <c r="H316" t="s">
        <v>25</v>
      </c>
      <c r="I316">
        <v>2</v>
      </c>
      <c r="J316" s="3">
        <v>41460</v>
      </c>
      <c r="K316" s="4">
        <v>0</v>
      </c>
      <c r="L316" s="3">
        <v>82920</v>
      </c>
      <c r="M316" s="3">
        <v>0</v>
      </c>
      <c r="N316" s="3">
        <v>82920</v>
      </c>
      <c r="O316" s="3">
        <v>50774.97</v>
      </c>
      <c r="P316" s="3">
        <v>32145.03</v>
      </c>
      <c r="Q316" t="s">
        <v>364</v>
      </c>
      <c r="R316">
        <v>2024</v>
      </c>
      <c r="S316">
        <v>10</v>
      </c>
    </row>
    <row r="317" spans="1:19" x14ac:dyDescent="0.3">
      <c r="A317" t="s">
        <v>372</v>
      </c>
      <c r="B317" s="2">
        <v>45576</v>
      </c>
      <c r="C317" t="s">
        <v>28</v>
      </c>
      <c r="D317" t="s">
        <v>29</v>
      </c>
      <c r="E317" t="s">
        <v>42</v>
      </c>
      <c r="F317" t="s">
        <v>30</v>
      </c>
      <c r="G317" t="s">
        <v>24</v>
      </c>
      <c r="H317" t="s">
        <v>25</v>
      </c>
      <c r="I317">
        <v>2</v>
      </c>
      <c r="J317" s="3">
        <v>61666</v>
      </c>
      <c r="K317" s="4">
        <v>0</v>
      </c>
      <c r="L317" s="3">
        <v>123332</v>
      </c>
      <c r="M317" s="3">
        <v>0</v>
      </c>
      <c r="N317" s="3">
        <v>0</v>
      </c>
      <c r="O317" s="3">
        <v>60171.45</v>
      </c>
      <c r="P317" s="3">
        <v>0</v>
      </c>
      <c r="Q317" t="s">
        <v>364</v>
      </c>
      <c r="R317">
        <v>2024</v>
      </c>
      <c r="S317">
        <v>10</v>
      </c>
    </row>
    <row r="318" spans="1:19" x14ac:dyDescent="0.3">
      <c r="A318" t="s">
        <v>373</v>
      </c>
      <c r="B318" s="2">
        <v>45576</v>
      </c>
      <c r="C318" t="s">
        <v>33</v>
      </c>
      <c r="D318" t="s">
        <v>34</v>
      </c>
      <c r="E318" t="s">
        <v>42</v>
      </c>
      <c r="F318" t="s">
        <v>40</v>
      </c>
      <c r="G318" t="s">
        <v>24</v>
      </c>
      <c r="H318" t="s">
        <v>25</v>
      </c>
      <c r="I318">
        <v>3</v>
      </c>
      <c r="J318" s="3">
        <v>43438</v>
      </c>
      <c r="K318" s="4">
        <v>0</v>
      </c>
      <c r="L318" s="3">
        <v>130314</v>
      </c>
      <c r="M318" s="3">
        <v>0</v>
      </c>
      <c r="N318" s="3">
        <v>130314</v>
      </c>
      <c r="O318" s="3">
        <v>66154.570000000007</v>
      </c>
      <c r="P318" s="3">
        <v>64159.43</v>
      </c>
      <c r="Q318" t="s">
        <v>364</v>
      </c>
      <c r="R318">
        <v>2024</v>
      </c>
      <c r="S318">
        <v>10</v>
      </c>
    </row>
    <row r="319" spans="1:19" x14ac:dyDescent="0.3">
      <c r="A319" t="s">
        <v>374</v>
      </c>
      <c r="B319" s="2">
        <v>45576</v>
      </c>
      <c r="C319" t="s">
        <v>48</v>
      </c>
      <c r="D319" t="s">
        <v>34</v>
      </c>
      <c r="E319" t="s">
        <v>56</v>
      </c>
      <c r="F319" t="s">
        <v>40</v>
      </c>
      <c r="G319" t="s">
        <v>31</v>
      </c>
      <c r="H319" t="s">
        <v>25</v>
      </c>
      <c r="I319">
        <v>1</v>
      </c>
      <c r="J319" s="3">
        <v>23932</v>
      </c>
      <c r="K319" s="4">
        <v>0</v>
      </c>
      <c r="L319" s="3">
        <v>23932</v>
      </c>
      <c r="M319" s="3">
        <v>0</v>
      </c>
      <c r="N319" s="3">
        <v>23932</v>
      </c>
      <c r="O319" s="3">
        <v>14501.01</v>
      </c>
      <c r="P319" s="3">
        <v>9430.99</v>
      </c>
      <c r="Q319" t="s">
        <v>364</v>
      </c>
      <c r="R319">
        <v>2024</v>
      </c>
      <c r="S319">
        <v>10</v>
      </c>
    </row>
    <row r="320" spans="1:19" x14ac:dyDescent="0.3">
      <c r="A320" t="s">
        <v>375</v>
      </c>
      <c r="B320" s="2">
        <v>45577</v>
      </c>
      <c r="C320" t="s">
        <v>33</v>
      </c>
      <c r="D320" t="s">
        <v>34</v>
      </c>
      <c r="E320" t="s">
        <v>22</v>
      </c>
      <c r="F320" t="s">
        <v>35</v>
      </c>
      <c r="G320" t="s">
        <v>31</v>
      </c>
      <c r="H320" t="s">
        <v>25</v>
      </c>
      <c r="I320">
        <v>1</v>
      </c>
      <c r="J320" s="3">
        <v>38702</v>
      </c>
      <c r="K320" s="4">
        <v>0</v>
      </c>
      <c r="L320" s="3">
        <v>38702</v>
      </c>
      <c r="M320" s="3">
        <v>0</v>
      </c>
      <c r="N320" s="3">
        <v>0</v>
      </c>
      <c r="O320" s="3">
        <v>25170.91</v>
      </c>
      <c r="P320" s="3">
        <v>0</v>
      </c>
      <c r="Q320" t="s">
        <v>364</v>
      </c>
      <c r="R320">
        <v>2024</v>
      </c>
      <c r="S320">
        <v>10</v>
      </c>
    </row>
    <row r="321" spans="1:19" x14ac:dyDescent="0.3">
      <c r="A321" t="s">
        <v>376</v>
      </c>
      <c r="B321" s="2">
        <v>45580</v>
      </c>
      <c r="C321" t="s">
        <v>64</v>
      </c>
      <c r="D321" t="s">
        <v>29</v>
      </c>
      <c r="E321" t="s">
        <v>44</v>
      </c>
      <c r="F321" t="s">
        <v>40</v>
      </c>
      <c r="G321" t="s">
        <v>31</v>
      </c>
      <c r="H321" t="s">
        <v>25</v>
      </c>
      <c r="I321">
        <v>1</v>
      </c>
      <c r="J321" s="3">
        <v>27694</v>
      </c>
      <c r="K321" s="4">
        <v>0</v>
      </c>
      <c r="L321" s="3">
        <v>27694</v>
      </c>
      <c r="M321" s="3">
        <v>0</v>
      </c>
      <c r="N321" s="3">
        <v>27694</v>
      </c>
      <c r="O321" s="3">
        <v>16190.79</v>
      </c>
      <c r="P321" s="3">
        <v>11503.21</v>
      </c>
      <c r="Q321" t="s">
        <v>364</v>
      </c>
      <c r="R321">
        <v>2024</v>
      </c>
      <c r="S321">
        <v>10</v>
      </c>
    </row>
    <row r="322" spans="1:19" x14ac:dyDescent="0.3">
      <c r="A322" t="s">
        <v>377</v>
      </c>
      <c r="B322" s="2">
        <v>45580</v>
      </c>
      <c r="C322" t="s">
        <v>82</v>
      </c>
      <c r="D322" t="s">
        <v>21</v>
      </c>
      <c r="E322" t="s">
        <v>56</v>
      </c>
      <c r="F322" t="s">
        <v>37</v>
      </c>
      <c r="G322" t="s">
        <v>31</v>
      </c>
      <c r="H322" t="s">
        <v>25</v>
      </c>
      <c r="I322">
        <v>2</v>
      </c>
      <c r="J322" s="3">
        <v>47018</v>
      </c>
      <c r="K322" s="4">
        <v>0</v>
      </c>
      <c r="L322" s="3">
        <v>94036</v>
      </c>
      <c r="M322" s="3">
        <v>0</v>
      </c>
      <c r="N322" s="3">
        <v>94036</v>
      </c>
      <c r="O322" s="3">
        <v>47729.34</v>
      </c>
      <c r="P322" s="3">
        <v>46306.66</v>
      </c>
      <c r="Q322" t="s">
        <v>364</v>
      </c>
      <c r="R322">
        <v>2024</v>
      </c>
      <c r="S322">
        <v>10</v>
      </c>
    </row>
    <row r="323" spans="1:19" x14ac:dyDescent="0.3">
      <c r="A323" t="s">
        <v>378</v>
      </c>
      <c r="B323" s="2">
        <v>45584</v>
      </c>
      <c r="C323" t="s">
        <v>75</v>
      </c>
      <c r="D323" t="s">
        <v>34</v>
      </c>
      <c r="E323" t="s">
        <v>42</v>
      </c>
      <c r="F323" t="s">
        <v>40</v>
      </c>
      <c r="G323" t="s">
        <v>24</v>
      </c>
      <c r="H323" t="s">
        <v>25</v>
      </c>
      <c r="I323">
        <v>1</v>
      </c>
      <c r="J323" s="3">
        <v>36771</v>
      </c>
      <c r="K323" s="4">
        <v>0</v>
      </c>
      <c r="L323" s="3">
        <v>36771</v>
      </c>
      <c r="M323" s="3">
        <v>0</v>
      </c>
      <c r="N323" s="3">
        <v>36771</v>
      </c>
      <c r="O323" s="3">
        <v>20576.740000000002</v>
      </c>
      <c r="P323" s="3">
        <v>16194.26</v>
      </c>
      <c r="Q323" t="s">
        <v>364</v>
      </c>
      <c r="R323">
        <v>2024</v>
      </c>
      <c r="S323">
        <v>10</v>
      </c>
    </row>
    <row r="324" spans="1:19" x14ac:dyDescent="0.3">
      <c r="A324" t="s">
        <v>379</v>
      </c>
      <c r="B324" s="2">
        <v>45585</v>
      </c>
      <c r="C324" t="s">
        <v>48</v>
      </c>
      <c r="D324" t="s">
        <v>34</v>
      </c>
      <c r="E324" t="s">
        <v>44</v>
      </c>
      <c r="F324" t="s">
        <v>37</v>
      </c>
      <c r="G324" t="s">
        <v>24</v>
      </c>
      <c r="H324" t="s">
        <v>25</v>
      </c>
      <c r="I324">
        <v>1</v>
      </c>
      <c r="J324" s="3">
        <v>23357</v>
      </c>
      <c r="K324" s="4">
        <v>0</v>
      </c>
      <c r="L324" s="3">
        <v>23357</v>
      </c>
      <c r="M324" s="3">
        <v>0</v>
      </c>
      <c r="N324" s="3">
        <v>23357</v>
      </c>
      <c r="O324" s="3">
        <v>13518.16</v>
      </c>
      <c r="P324" s="3">
        <v>9838.84</v>
      </c>
      <c r="Q324" t="s">
        <v>364</v>
      </c>
      <c r="R324">
        <v>2024</v>
      </c>
      <c r="S324">
        <v>10</v>
      </c>
    </row>
    <row r="325" spans="1:19" x14ac:dyDescent="0.3">
      <c r="A325" t="s">
        <v>380</v>
      </c>
      <c r="B325" s="2">
        <v>45587</v>
      </c>
      <c r="C325" t="s">
        <v>50</v>
      </c>
      <c r="D325" t="s">
        <v>34</v>
      </c>
      <c r="E325" t="s">
        <v>56</v>
      </c>
      <c r="F325" t="s">
        <v>30</v>
      </c>
      <c r="G325" t="s">
        <v>31</v>
      </c>
      <c r="H325" t="s">
        <v>25</v>
      </c>
      <c r="I325">
        <v>5</v>
      </c>
      <c r="J325" s="3">
        <v>18160</v>
      </c>
      <c r="K325" s="4">
        <v>0</v>
      </c>
      <c r="L325" s="3">
        <v>90800</v>
      </c>
      <c r="M325" s="3">
        <v>0</v>
      </c>
      <c r="N325" s="3">
        <v>90800</v>
      </c>
      <c r="O325" s="3">
        <v>49324.46</v>
      </c>
      <c r="P325" s="3">
        <v>41475.54</v>
      </c>
      <c r="Q325" t="s">
        <v>364</v>
      </c>
      <c r="R325">
        <v>2024</v>
      </c>
      <c r="S325">
        <v>10</v>
      </c>
    </row>
    <row r="326" spans="1:19" x14ac:dyDescent="0.3">
      <c r="A326" t="s">
        <v>381</v>
      </c>
      <c r="B326" s="2">
        <v>45587</v>
      </c>
      <c r="C326" t="s">
        <v>33</v>
      </c>
      <c r="D326" t="s">
        <v>34</v>
      </c>
      <c r="E326" t="s">
        <v>42</v>
      </c>
      <c r="F326" t="s">
        <v>35</v>
      </c>
      <c r="G326" t="s">
        <v>24</v>
      </c>
      <c r="H326" t="s">
        <v>25</v>
      </c>
      <c r="I326">
        <v>2</v>
      </c>
      <c r="J326" s="3">
        <v>40203</v>
      </c>
      <c r="K326" s="4">
        <v>0</v>
      </c>
      <c r="L326" s="3">
        <v>80406</v>
      </c>
      <c r="M326" s="3">
        <v>0</v>
      </c>
      <c r="N326" s="3">
        <v>80406</v>
      </c>
      <c r="O326" s="3">
        <v>41389.03</v>
      </c>
      <c r="P326" s="3">
        <v>39016.97</v>
      </c>
      <c r="Q326" t="s">
        <v>364</v>
      </c>
      <c r="R326">
        <v>2024</v>
      </c>
      <c r="S326">
        <v>10</v>
      </c>
    </row>
    <row r="327" spans="1:19" x14ac:dyDescent="0.3">
      <c r="A327" t="s">
        <v>382</v>
      </c>
      <c r="B327" s="2">
        <v>45587</v>
      </c>
      <c r="C327" t="s">
        <v>33</v>
      </c>
      <c r="D327" t="s">
        <v>34</v>
      </c>
      <c r="E327" t="s">
        <v>22</v>
      </c>
      <c r="F327" t="s">
        <v>23</v>
      </c>
      <c r="G327" t="s">
        <v>31</v>
      </c>
      <c r="H327" t="s">
        <v>25</v>
      </c>
      <c r="I327">
        <v>4</v>
      </c>
      <c r="J327" s="3">
        <v>44867</v>
      </c>
      <c r="K327" s="4">
        <v>0</v>
      </c>
      <c r="L327" s="3">
        <v>179468</v>
      </c>
      <c r="M327" s="3">
        <v>0</v>
      </c>
      <c r="N327" s="3">
        <v>179468</v>
      </c>
      <c r="O327" s="3">
        <v>95375.65</v>
      </c>
      <c r="P327" s="3">
        <v>84092.35</v>
      </c>
      <c r="Q327" t="s">
        <v>364</v>
      </c>
      <c r="R327">
        <v>2024</v>
      </c>
      <c r="S327">
        <v>10</v>
      </c>
    </row>
    <row r="328" spans="1:19" x14ac:dyDescent="0.3">
      <c r="A328" t="s">
        <v>383</v>
      </c>
      <c r="B328" s="2">
        <v>45593</v>
      </c>
      <c r="C328" t="s">
        <v>50</v>
      </c>
      <c r="D328" t="s">
        <v>34</v>
      </c>
      <c r="E328" t="s">
        <v>56</v>
      </c>
      <c r="F328" t="s">
        <v>40</v>
      </c>
      <c r="G328" t="s">
        <v>31</v>
      </c>
      <c r="H328" t="s">
        <v>25</v>
      </c>
      <c r="I328">
        <v>1</v>
      </c>
      <c r="J328" s="3">
        <v>16773</v>
      </c>
      <c r="K328" s="4">
        <v>0</v>
      </c>
      <c r="L328" s="3">
        <v>16773</v>
      </c>
      <c r="M328" s="3">
        <v>0</v>
      </c>
      <c r="N328" s="3">
        <v>16773</v>
      </c>
      <c r="O328" s="3">
        <v>10778.09</v>
      </c>
      <c r="P328" s="3">
        <v>5994.91</v>
      </c>
      <c r="Q328" t="s">
        <v>364</v>
      </c>
      <c r="R328">
        <v>2024</v>
      </c>
      <c r="S328">
        <v>10</v>
      </c>
    </row>
    <row r="329" spans="1:19" x14ac:dyDescent="0.3">
      <c r="A329" t="s">
        <v>384</v>
      </c>
      <c r="B329" s="2">
        <v>45593</v>
      </c>
      <c r="C329" t="s">
        <v>20</v>
      </c>
      <c r="D329" t="s">
        <v>21</v>
      </c>
      <c r="E329" t="s">
        <v>44</v>
      </c>
      <c r="F329" t="s">
        <v>30</v>
      </c>
      <c r="G329" t="s">
        <v>31</v>
      </c>
      <c r="H329" t="s">
        <v>25</v>
      </c>
      <c r="I329">
        <v>2</v>
      </c>
      <c r="J329" s="3">
        <v>14168</v>
      </c>
      <c r="K329" s="4">
        <v>0</v>
      </c>
      <c r="L329" s="3">
        <v>28336</v>
      </c>
      <c r="M329" s="3">
        <v>0</v>
      </c>
      <c r="N329" s="3">
        <v>28336</v>
      </c>
      <c r="O329" s="3">
        <v>15171.17</v>
      </c>
      <c r="P329" s="3">
        <v>13164.83</v>
      </c>
      <c r="Q329" t="s">
        <v>364</v>
      </c>
      <c r="R329">
        <v>2024</v>
      </c>
      <c r="S329">
        <v>10</v>
      </c>
    </row>
    <row r="330" spans="1:19" x14ac:dyDescent="0.3">
      <c r="A330" t="s">
        <v>385</v>
      </c>
      <c r="B330" s="2">
        <v>45594</v>
      </c>
      <c r="C330" t="s">
        <v>46</v>
      </c>
      <c r="D330" t="s">
        <v>21</v>
      </c>
      <c r="E330" t="s">
        <v>42</v>
      </c>
      <c r="F330" t="s">
        <v>40</v>
      </c>
      <c r="G330" t="s">
        <v>31</v>
      </c>
      <c r="H330" t="s">
        <v>25</v>
      </c>
      <c r="I330">
        <v>5</v>
      </c>
      <c r="J330" s="3">
        <v>12810</v>
      </c>
      <c r="K330" s="4">
        <v>0</v>
      </c>
      <c r="L330" s="3">
        <v>64050</v>
      </c>
      <c r="M330" s="3">
        <v>0</v>
      </c>
      <c r="N330" s="3">
        <v>64050</v>
      </c>
      <c r="O330" s="3">
        <v>43048.88</v>
      </c>
      <c r="P330" s="3">
        <v>21001.119999999999</v>
      </c>
      <c r="Q330" t="s">
        <v>364</v>
      </c>
      <c r="R330">
        <v>2024</v>
      </c>
      <c r="S330">
        <v>10</v>
      </c>
    </row>
    <row r="331" spans="1:19" x14ac:dyDescent="0.3">
      <c r="A331" t="s">
        <v>386</v>
      </c>
      <c r="B331" s="2">
        <v>45596</v>
      </c>
      <c r="C331" t="s">
        <v>71</v>
      </c>
      <c r="D331" t="s">
        <v>34</v>
      </c>
      <c r="E331" t="s">
        <v>44</v>
      </c>
      <c r="F331" t="s">
        <v>37</v>
      </c>
      <c r="G331" t="s">
        <v>31</v>
      </c>
      <c r="H331" t="s">
        <v>25</v>
      </c>
      <c r="I331">
        <v>1</v>
      </c>
      <c r="J331" s="3">
        <v>48601</v>
      </c>
      <c r="K331" s="4">
        <v>0</v>
      </c>
      <c r="L331" s="3">
        <v>48601</v>
      </c>
      <c r="M331" s="3">
        <v>0</v>
      </c>
      <c r="N331" s="3">
        <v>0</v>
      </c>
      <c r="O331" s="3">
        <v>25972.36</v>
      </c>
      <c r="P331" s="3">
        <v>0</v>
      </c>
      <c r="Q331" t="s">
        <v>364</v>
      </c>
      <c r="R331">
        <v>2024</v>
      </c>
      <c r="S331">
        <v>10</v>
      </c>
    </row>
    <row r="332" spans="1:19" x14ac:dyDescent="0.3">
      <c r="A332" t="s">
        <v>387</v>
      </c>
      <c r="B332" s="2">
        <v>45602</v>
      </c>
      <c r="C332" t="s">
        <v>48</v>
      </c>
      <c r="D332" t="s">
        <v>34</v>
      </c>
      <c r="E332" t="s">
        <v>56</v>
      </c>
      <c r="F332" t="s">
        <v>40</v>
      </c>
      <c r="G332" t="s">
        <v>31</v>
      </c>
      <c r="H332" t="s">
        <v>388</v>
      </c>
      <c r="I332">
        <v>1</v>
      </c>
      <c r="J332" s="3">
        <v>25777</v>
      </c>
      <c r="K332" s="4">
        <v>15</v>
      </c>
      <c r="L332" s="3">
        <v>25777</v>
      </c>
      <c r="M332" s="3">
        <v>3866.55</v>
      </c>
      <c r="N332" s="3">
        <v>21910.45</v>
      </c>
      <c r="O332" s="3">
        <v>16682.79</v>
      </c>
      <c r="P332" s="3">
        <v>5227.66</v>
      </c>
      <c r="Q332" t="s">
        <v>389</v>
      </c>
      <c r="R332">
        <v>2024</v>
      </c>
      <c r="S332">
        <v>11</v>
      </c>
    </row>
    <row r="333" spans="1:19" x14ac:dyDescent="0.3">
      <c r="A333" t="s">
        <v>390</v>
      </c>
      <c r="B333" s="2">
        <v>45604</v>
      </c>
      <c r="C333" t="s">
        <v>48</v>
      </c>
      <c r="D333" t="s">
        <v>34</v>
      </c>
      <c r="E333" t="s">
        <v>42</v>
      </c>
      <c r="F333" t="s">
        <v>40</v>
      </c>
      <c r="G333" t="s">
        <v>31</v>
      </c>
      <c r="H333" t="s">
        <v>388</v>
      </c>
      <c r="I333">
        <v>2</v>
      </c>
      <c r="J333" s="3">
        <v>25996</v>
      </c>
      <c r="K333" s="4">
        <v>15</v>
      </c>
      <c r="L333" s="3">
        <v>51992</v>
      </c>
      <c r="M333" s="3">
        <v>7798.8</v>
      </c>
      <c r="N333" s="3">
        <v>44193.2</v>
      </c>
      <c r="O333" s="3">
        <v>25516.62</v>
      </c>
      <c r="P333" s="3">
        <v>18676.580000000002</v>
      </c>
      <c r="Q333" t="s">
        <v>389</v>
      </c>
      <c r="R333">
        <v>2024</v>
      </c>
      <c r="S333">
        <v>11</v>
      </c>
    </row>
    <row r="334" spans="1:19" x14ac:dyDescent="0.3">
      <c r="A334" t="s">
        <v>391</v>
      </c>
      <c r="B334" s="2">
        <v>45604</v>
      </c>
      <c r="C334" t="s">
        <v>71</v>
      </c>
      <c r="D334" t="s">
        <v>34</v>
      </c>
      <c r="E334" t="s">
        <v>22</v>
      </c>
      <c r="F334" t="s">
        <v>30</v>
      </c>
      <c r="G334" t="s">
        <v>31</v>
      </c>
      <c r="H334" t="s">
        <v>388</v>
      </c>
      <c r="I334">
        <v>1</v>
      </c>
      <c r="J334" s="3">
        <v>50440</v>
      </c>
      <c r="K334" s="4">
        <v>15</v>
      </c>
      <c r="L334" s="3">
        <v>50440</v>
      </c>
      <c r="M334" s="3">
        <v>7566</v>
      </c>
      <c r="N334" s="3">
        <v>42874</v>
      </c>
      <c r="O334" s="3">
        <v>30285.88</v>
      </c>
      <c r="P334" s="3">
        <v>12588.12</v>
      </c>
      <c r="Q334" t="s">
        <v>389</v>
      </c>
      <c r="R334">
        <v>2024</v>
      </c>
      <c r="S334">
        <v>11</v>
      </c>
    </row>
    <row r="335" spans="1:19" x14ac:dyDescent="0.3">
      <c r="A335" t="s">
        <v>392</v>
      </c>
      <c r="B335" s="2">
        <v>45605</v>
      </c>
      <c r="C335" t="s">
        <v>20</v>
      </c>
      <c r="D335" t="s">
        <v>21</v>
      </c>
      <c r="E335" t="s">
        <v>42</v>
      </c>
      <c r="F335" t="s">
        <v>37</v>
      </c>
      <c r="G335" t="s">
        <v>31</v>
      </c>
      <c r="H335" t="s">
        <v>388</v>
      </c>
      <c r="I335">
        <v>1</v>
      </c>
      <c r="J335" s="3">
        <v>14555</v>
      </c>
      <c r="K335" s="4">
        <v>5</v>
      </c>
      <c r="L335" s="3">
        <v>14555</v>
      </c>
      <c r="M335" s="3">
        <v>727.75</v>
      </c>
      <c r="N335" s="3">
        <v>0</v>
      </c>
      <c r="O335" s="3">
        <v>9259.7900000000009</v>
      </c>
      <c r="P335" s="3">
        <v>0</v>
      </c>
      <c r="Q335" t="s">
        <v>389</v>
      </c>
      <c r="R335">
        <v>2024</v>
      </c>
      <c r="S335">
        <v>11</v>
      </c>
    </row>
    <row r="336" spans="1:19" x14ac:dyDescent="0.3">
      <c r="A336" t="s">
        <v>393</v>
      </c>
      <c r="B336" s="2">
        <v>45606</v>
      </c>
      <c r="C336" t="s">
        <v>20</v>
      </c>
      <c r="D336" t="s">
        <v>21</v>
      </c>
      <c r="E336" t="s">
        <v>44</v>
      </c>
      <c r="F336" t="s">
        <v>40</v>
      </c>
      <c r="G336" t="s">
        <v>31</v>
      </c>
      <c r="H336" t="s">
        <v>388</v>
      </c>
      <c r="I336">
        <v>1</v>
      </c>
      <c r="J336" s="3">
        <v>14108</v>
      </c>
      <c r="K336" s="4">
        <v>20</v>
      </c>
      <c r="L336" s="3">
        <v>14108</v>
      </c>
      <c r="M336" s="3">
        <v>2821.6</v>
      </c>
      <c r="N336" s="3">
        <v>11286.4</v>
      </c>
      <c r="O336" s="3">
        <v>9072.44</v>
      </c>
      <c r="P336" s="3">
        <v>2213.96</v>
      </c>
      <c r="Q336" t="s">
        <v>389</v>
      </c>
      <c r="R336">
        <v>2024</v>
      </c>
      <c r="S336">
        <v>11</v>
      </c>
    </row>
    <row r="337" spans="1:19" x14ac:dyDescent="0.3">
      <c r="A337" t="s">
        <v>394</v>
      </c>
      <c r="B337" s="2">
        <v>45607</v>
      </c>
      <c r="C337" t="s">
        <v>46</v>
      </c>
      <c r="D337" t="s">
        <v>21</v>
      </c>
      <c r="E337" t="s">
        <v>56</v>
      </c>
      <c r="F337" t="s">
        <v>35</v>
      </c>
      <c r="G337" t="s">
        <v>24</v>
      </c>
      <c r="H337" t="s">
        <v>388</v>
      </c>
      <c r="I337">
        <v>2</v>
      </c>
      <c r="J337" s="3">
        <v>12185</v>
      </c>
      <c r="K337" s="4">
        <v>10</v>
      </c>
      <c r="L337" s="3">
        <v>24370</v>
      </c>
      <c r="M337" s="3">
        <v>2437</v>
      </c>
      <c r="N337" s="3">
        <v>21933</v>
      </c>
      <c r="O337" s="3">
        <v>13863.7</v>
      </c>
      <c r="P337" s="3">
        <v>8069.3</v>
      </c>
      <c r="Q337" t="s">
        <v>389</v>
      </c>
      <c r="R337">
        <v>2024</v>
      </c>
      <c r="S337">
        <v>11</v>
      </c>
    </row>
    <row r="338" spans="1:19" x14ac:dyDescent="0.3">
      <c r="A338" t="s">
        <v>395</v>
      </c>
      <c r="B338" s="2">
        <v>45609</v>
      </c>
      <c r="C338" t="s">
        <v>33</v>
      </c>
      <c r="D338" t="s">
        <v>34</v>
      </c>
      <c r="E338" t="s">
        <v>56</v>
      </c>
      <c r="F338" t="s">
        <v>37</v>
      </c>
      <c r="G338" t="s">
        <v>31</v>
      </c>
      <c r="H338" t="s">
        <v>388</v>
      </c>
      <c r="I338">
        <v>1</v>
      </c>
      <c r="J338" s="3">
        <v>42706</v>
      </c>
      <c r="K338" s="4">
        <v>5</v>
      </c>
      <c r="L338" s="3">
        <v>42706</v>
      </c>
      <c r="M338" s="3">
        <v>2135.3000000000002</v>
      </c>
      <c r="N338" s="3">
        <v>40570.699999999997</v>
      </c>
      <c r="O338" s="3">
        <v>23049.9</v>
      </c>
      <c r="P338" s="3">
        <v>17520.8</v>
      </c>
      <c r="Q338" t="s">
        <v>389</v>
      </c>
      <c r="R338">
        <v>2024</v>
      </c>
      <c r="S338">
        <v>11</v>
      </c>
    </row>
    <row r="339" spans="1:19" x14ac:dyDescent="0.3">
      <c r="A339" t="s">
        <v>396</v>
      </c>
      <c r="B339" s="2">
        <v>45609</v>
      </c>
      <c r="C339" t="s">
        <v>71</v>
      </c>
      <c r="D339" t="s">
        <v>34</v>
      </c>
      <c r="E339" t="s">
        <v>44</v>
      </c>
      <c r="F339" t="s">
        <v>40</v>
      </c>
      <c r="G339" t="s">
        <v>24</v>
      </c>
      <c r="H339" t="s">
        <v>388</v>
      </c>
      <c r="I339">
        <v>4</v>
      </c>
      <c r="J339" s="3">
        <v>52613</v>
      </c>
      <c r="K339" s="4">
        <v>15</v>
      </c>
      <c r="L339" s="3">
        <v>210452</v>
      </c>
      <c r="M339" s="3">
        <v>31567.8</v>
      </c>
      <c r="N339" s="3">
        <v>178884.2</v>
      </c>
      <c r="O339" s="3">
        <v>113156.06</v>
      </c>
      <c r="P339" s="3">
        <v>65728.14</v>
      </c>
      <c r="Q339" t="s">
        <v>389</v>
      </c>
      <c r="R339">
        <v>2024</v>
      </c>
      <c r="S339">
        <v>11</v>
      </c>
    </row>
    <row r="340" spans="1:19" x14ac:dyDescent="0.3">
      <c r="A340" t="s">
        <v>397</v>
      </c>
      <c r="B340" s="2">
        <v>45609</v>
      </c>
      <c r="C340" t="s">
        <v>28</v>
      </c>
      <c r="D340" t="s">
        <v>29</v>
      </c>
      <c r="E340" t="s">
        <v>22</v>
      </c>
      <c r="F340" t="s">
        <v>30</v>
      </c>
      <c r="G340" t="s">
        <v>24</v>
      </c>
      <c r="H340" t="s">
        <v>388</v>
      </c>
      <c r="I340">
        <v>4</v>
      </c>
      <c r="J340" s="3">
        <v>69463</v>
      </c>
      <c r="K340" s="4">
        <v>15</v>
      </c>
      <c r="L340" s="3">
        <v>277852</v>
      </c>
      <c r="M340" s="3">
        <v>41677.800000000003</v>
      </c>
      <c r="N340" s="3">
        <v>236174.2</v>
      </c>
      <c r="O340" s="3">
        <v>176078.99</v>
      </c>
      <c r="P340" s="3">
        <v>60095.21</v>
      </c>
      <c r="Q340" t="s">
        <v>389</v>
      </c>
      <c r="R340">
        <v>2024</v>
      </c>
      <c r="S340">
        <v>11</v>
      </c>
    </row>
    <row r="341" spans="1:19" x14ac:dyDescent="0.3">
      <c r="A341" t="s">
        <v>398</v>
      </c>
      <c r="B341" s="2">
        <v>45611</v>
      </c>
      <c r="C341" t="s">
        <v>46</v>
      </c>
      <c r="D341" t="s">
        <v>21</v>
      </c>
      <c r="E341" t="s">
        <v>42</v>
      </c>
      <c r="F341" t="s">
        <v>35</v>
      </c>
      <c r="G341" t="s">
        <v>31</v>
      </c>
      <c r="H341" t="s">
        <v>25</v>
      </c>
      <c r="I341">
        <v>1</v>
      </c>
      <c r="J341" s="3">
        <v>11999</v>
      </c>
      <c r="K341" s="4">
        <v>0</v>
      </c>
      <c r="L341" s="3">
        <v>11999</v>
      </c>
      <c r="M341" s="3">
        <v>0</v>
      </c>
      <c r="N341" s="3">
        <v>11999</v>
      </c>
      <c r="O341" s="3">
        <v>6062.36</v>
      </c>
      <c r="P341" s="3">
        <v>5936.64</v>
      </c>
      <c r="Q341" t="s">
        <v>389</v>
      </c>
      <c r="R341">
        <v>2024</v>
      </c>
      <c r="S341">
        <v>11</v>
      </c>
    </row>
    <row r="342" spans="1:19" x14ac:dyDescent="0.3">
      <c r="A342" t="s">
        <v>399</v>
      </c>
      <c r="B342" s="2">
        <v>45612</v>
      </c>
      <c r="C342" t="s">
        <v>20</v>
      </c>
      <c r="D342" t="s">
        <v>21</v>
      </c>
      <c r="E342" t="s">
        <v>42</v>
      </c>
      <c r="F342" t="s">
        <v>40</v>
      </c>
      <c r="G342" t="s">
        <v>31</v>
      </c>
      <c r="H342" t="s">
        <v>388</v>
      </c>
      <c r="I342">
        <v>2</v>
      </c>
      <c r="J342" s="3">
        <v>13883</v>
      </c>
      <c r="K342" s="4">
        <v>20</v>
      </c>
      <c r="L342" s="3">
        <v>27766</v>
      </c>
      <c r="M342" s="3">
        <v>5553.2</v>
      </c>
      <c r="N342" s="3">
        <v>22212.799999999999</v>
      </c>
      <c r="O342" s="3">
        <v>16641.04</v>
      </c>
      <c r="P342" s="3">
        <v>5571.76</v>
      </c>
      <c r="Q342" t="s">
        <v>389</v>
      </c>
      <c r="R342">
        <v>2024</v>
      </c>
      <c r="S342">
        <v>11</v>
      </c>
    </row>
    <row r="343" spans="1:19" x14ac:dyDescent="0.3">
      <c r="A343" t="s">
        <v>400</v>
      </c>
      <c r="B343" s="2">
        <v>45612</v>
      </c>
      <c r="C343" t="s">
        <v>82</v>
      </c>
      <c r="D343" t="s">
        <v>21</v>
      </c>
      <c r="E343" t="s">
        <v>22</v>
      </c>
      <c r="F343" t="s">
        <v>30</v>
      </c>
      <c r="G343" t="s">
        <v>24</v>
      </c>
      <c r="H343" t="s">
        <v>388</v>
      </c>
      <c r="I343">
        <v>2</v>
      </c>
      <c r="J343" s="3">
        <v>44276</v>
      </c>
      <c r="K343" s="4">
        <v>15</v>
      </c>
      <c r="L343" s="3">
        <v>88552</v>
      </c>
      <c r="M343" s="3">
        <v>13282.8</v>
      </c>
      <c r="N343" s="3">
        <v>75269.2</v>
      </c>
      <c r="O343" s="3">
        <v>42696.43</v>
      </c>
      <c r="P343" s="3">
        <v>32572.77</v>
      </c>
      <c r="Q343" t="s">
        <v>389</v>
      </c>
      <c r="R343">
        <v>2024</v>
      </c>
      <c r="S343">
        <v>11</v>
      </c>
    </row>
    <row r="344" spans="1:19" x14ac:dyDescent="0.3">
      <c r="A344" t="s">
        <v>401</v>
      </c>
      <c r="B344" s="2">
        <v>45615</v>
      </c>
      <c r="C344" t="s">
        <v>28</v>
      </c>
      <c r="D344" t="s">
        <v>29</v>
      </c>
      <c r="E344" t="s">
        <v>56</v>
      </c>
      <c r="F344" t="s">
        <v>35</v>
      </c>
      <c r="G344" t="s">
        <v>24</v>
      </c>
      <c r="H344" t="s">
        <v>388</v>
      </c>
      <c r="I344">
        <v>4</v>
      </c>
      <c r="J344" s="3">
        <v>66783</v>
      </c>
      <c r="K344" s="4">
        <v>5</v>
      </c>
      <c r="L344" s="3">
        <v>267132</v>
      </c>
      <c r="M344" s="3">
        <v>13356.6</v>
      </c>
      <c r="N344" s="3">
        <v>0</v>
      </c>
      <c r="O344" s="3">
        <v>177624.14</v>
      </c>
      <c r="P344" s="3">
        <v>0</v>
      </c>
      <c r="Q344" t="s">
        <v>389</v>
      </c>
      <c r="R344">
        <v>2024</v>
      </c>
      <c r="S344">
        <v>11</v>
      </c>
    </row>
    <row r="345" spans="1:19" x14ac:dyDescent="0.3">
      <c r="A345" t="s">
        <v>402</v>
      </c>
      <c r="B345" s="2">
        <v>45615</v>
      </c>
      <c r="C345" t="s">
        <v>50</v>
      </c>
      <c r="D345" t="s">
        <v>34</v>
      </c>
      <c r="E345" t="s">
        <v>22</v>
      </c>
      <c r="F345" t="s">
        <v>40</v>
      </c>
      <c r="G345" t="s">
        <v>31</v>
      </c>
      <c r="H345" t="s">
        <v>388</v>
      </c>
      <c r="I345">
        <v>2</v>
      </c>
      <c r="J345" s="3">
        <v>19402</v>
      </c>
      <c r="K345" s="4">
        <v>15</v>
      </c>
      <c r="L345" s="3">
        <v>38804</v>
      </c>
      <c r="M345" s="3">
        <v>5820.6</v>
      </c>
      <c r="N345" s="3">
        <v>32983.4</v>
      </c>
      <c r="O345" s="3">
        <v>21201.78</v>
      </c>
      <c r="P345" s="3">
        <v>11781.62</v>
      </c>
      <c r="Q345" t="s">
        <v>389</v>
      </c>
      <c r="R345">
        <v>2024</v>
      </c>
      <c r="S345">
        <v>11</v>
      </c>
    </row>
    <row r="346" spans="1:19" x14ac:dyDescent="0.3">
      <c r="A346" t="s">
        <v>403</v>
      </c>
      <c r="B346" s="2">
        <v>45617</v>
      </c>
      <c r="C346" t="s">
        <v>28</v>
      </c>
      <c r="D346" t="s">
        <v>29</v>
      </c>
      <c r="E346" t="s">
        <v>22</v>
      </c>
      <c r="F346" t="s">
        <v>40</v>
      </c>
      <c r="G346" t="s">
        <v>24</v>
      </c>
      <c r="H346" t="s">
        <v>388</v>
      </c>
      <c r="I346">
        <v>1</v>
      </c>
      <c r="J346" s="3">
        <v>69786</v>
      </c>
      <c r="K346" s="4">
        <v>5</v>
      </c>
      <c r="L346" s="3">
        <v>69786</v>
      </c>
      <c r="M346" s="3">
        <v>3489.3</v>
      </c>
      <c r="N346" s="3">
        <v>66296.7</v>
      </c>
      <c r="O346" s="3">
        <v>44682.18</v>
      </c>
      <c r="P346" s="3">
        <v>21614.52</v>
      </c>
      <c r="Q346" t="s">
        <v>389</v>
      </c>
      <c r="R346">
        <v>2024</v>
      </c>
      <c r="S346">
        <v>11</v>
      </c>
    </row>
    <row r="347" spans="1:19" x14ac:dyDescent="0.3">
      <c r="A347" t="s">
        <v>404</v>
      </c>
      <c r="B347" s="2">
        <v>45618</v>
      </c>
      <c r="C347" t="s">
        <v>71</v>
      </c>
      <c r="D347" t="s">
        <v>34</v>
      </c>
      <c r="E347" t="s">
        <v>42</v>
      </c>
      <c r="F347" t="s">
        <v>37</v>
      </c>
      <c r="G347" t="s">
        <v>31</v>
      </c>
      <c r="H347" t="s">
        <v>388</v>
      </c>
      <c r="I347">
        <v>3</v>
      </c>
      <c r="J347" s="3">
        <v>48543</v>
      </c>
      <c r="K347" s="4">
        <v>20</v>
      </c>
      <c r="L347" s="3">
        <v>145629</v>
      </c>
      <c r="M347" s="3">
        <v>29125.8</v>
      </c>
      <c r="N347" s="3">
        <v>116503.2</v>
      </c>
      <c r="O347" s="3">
        <v>84793.88</v>
      </c>
      <c r="P347" s="3">
        <v>31709.32</v>
      </c>
      <c r="Q347" t="s">
        <v>389</v>
      </c>
      <c r="R347">
        <v>2024</v>
      </c>
      <c r="S347">
        <v>11</v>
      </c>
    </row>
    <row r="348" spans="1:19" x14ac:dyDescent="0.3">
      <c r="A348" t="s">
        <v>405</v>
      </c>
      <c r="B348" s="2">
        <v>45619</v>
      </c>
      <c r="C348" t="s">
        <v>71</v>
      </c>
      <c r="D348" t="s">
        <v>34</v>
      </c>
      <c r="E348" t="s">
        <v>44</v>
      </c>
      <c r="F348" t="s">
        <v>40</v>
      </c>
      <c r="G348" t="s">
        <v>24</v>
      </c>
      <c r="H348" t="s">
        <v>388</v>
      </c>
      <c r="I348">
        <v>2</v>
      </c>
      <c r="J348" s="3">
        <v>51896</v>
      </c>
      <c r="K348" s="4">
        <v>10</v>
      </c>
      <c r="L348" s="3">
        <v>103792</v>
      </c>
      <c r="M348" s="3">
        <v>10379.200000000001</v>
      </c>
      <c r="N348" s="3">
        <v>0</v>
      </c>
      <c r="O348" s="3">
        <v>55229.760000000002</v>
      </c>
      <c r="P348" s="3">
        <v>0</v>
      </c>
      <c r="Q348" t="s">
        <v>389</v>
      </c>
      <c r="R348">
        <v>2024</v>
      </c>
      <c r="S348">
        <v>11</v>
      </c>
    </row>
    <row r="349" spans="1:19" x14ac:dyDescent="0.3">
      <c r="A349" t="s">
        <v>406</v>
      </c>
      <c r="B349" s="2">
        <v>45619</v>
      </c>
      <c r="C349" t="s">
        <v>48</v>
      </c>
      <c r="D349" t="s">
        <v>34</v>
      </c>
      <c r="E349" t="s">
        <v>22</v>
      </c>
      <c r="F349" t="s">
        <v>37</v>
      </c>
      <c r="G349" t="s">
        <v>31</v>
      </c>
      <c r="H349" t="s">
        <v>388</v>
      </c>
      <c r="I349">
        <v>2</v>
      </c>
      <c r="J349" s="3">
        <v>23438</v>
      </c>
      <c r="K349" s="4">
        <v>15</v>
      </c>
      <c r="L349" s="3">
        <v>46876</v>
      </c>
      <c r="M349" s="3">
        <v>7031.4</v>
      </c>
      <c r="N349" s="3">
        <v>39844.6</v>
      </c>
      <c r="O349" s="3">
        <v>23774.44</v>
      </c>
      <c r="P349" s="3">
        <v>16070.16</v>
      </c>
      <c r="Q349" t="s">
        <v>389</v>
      </c>
      <c r="R349">
        <v>2024</v>
      </c>
      <c r="S349">
        <v>11</v>
      </c>
    </row>
    <row r="350" spans="1:19" x14ac:dyDescent="0.3">
      <c r="A350" t="s">
        <v>407</v>
      </c>
      <c r="B350" s="2">
        <v>45620</v>
      </c>
      <c r="C350" t="s">
        <v>71</v>
      </c>
      <c r="D350" t="s">
        <v>34</v>
      </c>
      <c r="E350" t="s">
        <v>56</v>
      </c>
      <c r="F350" t="s">
        <v>23</v>
      </c>
      <c r="G350" t="s">
        <v>31</v>
      </c>
      <c r="H350" t="s">
        <v>388</v>
      </c>
      <c r="I350">
        <v>1</v>
      </c>
      <c r="J350" s="3">
        <v>51186</v>
      </c>
      <c r="K350" s="4">
        <v>15</v>
      </c>
      <c r="L350" s="3">
        <v>51186</v>
      </c>
      <c r="M350" s="3">
        <v>7677.9</v>
      </c>
      <c r="N350" s="3">
        <v>43508.1</v>
      </c>
      <c r="O350" s="3">
        <v>26285.26</v>
      </c>
      <c r="P350" s="3">
        <v>17222.84</v>
      </c>
      <c r="Q350" t="s">
        <v>389</v>
      </c>
      <c r="R350">
        <v>2024</v>
      </c>
      <c r="S350">
        <v>11</v>
      </c>
    </row>
    <row r="351" spans="1:19" x14ac:dyDescent="0.3">
      <c r="A351" t="s">
        <v>408</v>
      </c>
      <c r="B351" s="2">
        <v>45620</v>
      </c>
      <c r="C351" t="s">
        <v>75</v>
      </c>
      <c r="D351" t="s">
        <v>34</v>
      </c>
      <c r="E351" t="s">
        <v>22</v>
      </c>
      <c r="F351" t="s">
        <v>23</v>
      </c>
      <c r="G351" t="s">
        <v>31</v>
      </c>
      <c r="H351" t="s">
        <v>25</v>
      </c>
      <c r="I351">
        <v>2</v>
      </c>
      <c r="J351" s="3">
        <v>40345</v>
      </c>
      <c r="K351" s="4">
        <v>0</v>
      </c>
      <c r="L351" s="3">
        <v>80690</v>
      </c>
      <c r="M351" s="3">
        <v>0</v>
      </c>
      <c r="N351" s="3">
        <v>80690</v>
      </c>
      <c r="O351" s="3">
        <v>41370.5</v>
      </c>
      <c r="P351" s="3">
        <v>39319.5</v>
      </c>
      <c r="Q351" t="s">
        <v>389</v>
      </c>
      <c r="R351">
        <v>2024</v>
      </c>
      <c r="S351">
        <v>11</v>
      </c>
    </row>
    <row r="352" spans="1:19" x14ac:dyDescent="0.3">
      <c r="A352" t="s">
        <v>409</v>
      </c>
      <c r="B352" s="2">
        <v>45621</v>
      </c>
      <c r="C352" t="s">
        <v>82</v>
      </c>
      <c r="D352" t="s">
        <v>21</v>
      </c>
      <c r="E352" t="s">
        <v>42</v>
      </c>
      <c r="F352" t="s">
        <v>40</v>
      </c>
      <c r="G352" t="s">
        <v>31</v>
      </c>
      <c r="H352" t="s">
        <v>388</v>
      </c>
      <c r="I352">
        <v>2</v>
      </c>
      <c r="J352" s="3">
        <v>47357</v>
      </c>
      <c r="K352" s="4">
        <v>15</v>
      </c>
      <c r="L352" s="3">
        <v>94714</v>
      </c>
      <c r="M352" s="3">
        <v>14207.1</v>
      </c>
      <c r="N352" s="3">
        <v>80506.899999999994</v>
      </c>
      <c r="O352" s="3">
        <v>46697.79</v>
      </c>
      <c r="P352" s="3">
        <v>33809.11</v>
      </c>
      <c r="Q352" t="s">
        <v>389</v>
      </c>
      <c r="R352">
        <v>2024</v>
      </c>
      <c r="S352">
        <v>11</v>
      </c>
    </row>
    <row r="353" spans="1:19" x14ac:dyDescent="0.3">
      <c r="A353" t="s">
        <v>410</v>
      </c>
      <c r="B353" s="2">
        <v>45621</v>
      </c>
      <c r="C353" t="s">
        <v>82</v>
      </c>
      <c r="D353" t="s">
        <v>21</v>
      </c>
      <c r="E353" t="s">
        <v>56</v>
      </c>
      <c r="F353" t="s">
        <v>23</v>
      </c>
      <c r="G353" t="s">
        <v>24</v>
      </c>
      <c r="H353" t="s">
        <v>388</v>
      </c>
      <c r="I353">
        <v>2</v>
      </c>
      <c r="J353" s="3">
        <v>42902</v>
      </c>
      <c r="K353" s="4">
        <v>5</v>
      </c>
      <c r="L353" s="3">
        <v>85804</v>
      </c>
      <c r="M353" s="3">
        <v>4290.2</v>
      </c>
      <c r="N353" s="3">
        <v>81513.8</v>
      </c>
      <c r="O353" s="3">
        <v>42661.3</v>
      </c>
      <c r="P353" s="3">
        <v>38852.5</v>
      </c>
      <c r="Q353" t="s">
        <v>389</v>
      </c>
      <c r="R353">
        <v>2024</v>
      </c>
      <c r="S353">
        <v>11</v>
      </c>
    </row>
    <row r="354" spans="1:19" x14ac:dyDescent="0.3">
      <c r="A354" t="s">
        <v>411</v>
      </c>
      <c r="B354" s="2">
        <v>45622</v>
      </c>
      <c r="C354" t="s">
        <v>28</v>
      </c>
      <c r="D354" t="s">
        <v>29</v>
      </c>
      <c r="E354" t="s">
        <v>42</v>
      </c>
      <c r="F354" t="s">
        <v>30</v>
      </c>
      <c r="G354" t="s">
        <v>24</v>
      </c>
      <c r="H354" t="s">
        <v>388</v>
      </c>
      <c r="I354">
        <v>1</v>
      </c>
      <c r="J354" s="3">
        <v>60500</v>
      </c>
      <c r="K354" s="4">
        <v>15</v>
      </c>
      <c r="L354" s="3">
        <v>60500</v>
      </c>
      <c r="M354" s="3">
        <v>9075</v>
      </c>
      <c r="N354" s="3">
        <v>51425</v>
      </c>
      <c r="O354" s="3">
        <v>33225.18</v>
      </c>
      <c r="P354" s="3">
        <v>18199.82</v>
      </c>
      <c r="Q354" t="s">
        <v>389</v>
      </c>
      <c r="R354">
        <v>2024</v>
      </c>
      <c r="S354">
        <v>11</v>
      </c>
    </row>
    <row r="355" spans="1:19" x14ac:dyDescent="0.3">
      <c r="A355" t="s">
        <v>412</v>
      </c>
      <c r="B355" s="2">
        <v>45625</v>
      </c>
      <c r="C355" t="s">
        <v>28</v>
      </c>
      <c r="D355" t="s">
        <v>29</v>
      </c>
      <c r="E355" t="s">
        <v>44</v>
      </c>
      <c r="F355" t="s">
        <v>40</v>
      </c>
      <c r="G355" t="s">
        <v>24</v>
      </c>
      <c r="H355" t="s">
        <v>25</v>
      </c>
      <c r="I355">
        <v>2</v>
      </c>
      <c r="J355" s="3">
        <v>66242</v>
      </c>
      <c r="K355" s="4">
        <v>0</v>
      </c>
      <c r="L355" s="3">
        <v>132484</v>
      </c>
      <c r="M355" s="3">
        <v>0</v>
      </c>
      <c r="N355" s="3">
        <v>132484</v>
      </c>
      <c r="O355" s="3">
        <v>75033.77</v>
      </c>
      <c r="P355" s="3">
        <v>57450.23</v>
      </c>
      <c r="Q355" t="s">
        <v>389</v>
      </c>
      <c r="R355">
        <v>2024</v>
      </c>
      <c r="S355">
        <v>11</v>
      </c>
    </row>
    <row r="356" spans="1:19" x14ac:dyDescent="0.3">
      <c r="A356" t="s">
        <v>413</v>
      </c>
      <c r="B356" s="2">
        <v>45626</v>
      </c>
      <c r="C356" t="s">
        <v>64</v>
      </c>
      <c r="D356" t="s">
        <v>29</v>
      </c>
      <c r="E356" t="s">
        <v>44</v>
      </c>
      <c r="F356" t="s">
        <v>40</v>
      </c>
      <c r="G356" t="s">
        <v>24</v>
      </c>
      <c r="H356" t="s">
        <v>388</v>
      </c>
      <c r="I356">
        <v>1</v>
      </c>
      <c r="J356" s="3">
        <v>29100</v>
      </c>
      <c r="K356" s="4">
        <v>10</v>
      </c>
      <c r="L356" s="3">
        <v>29100</v>
      </c>
      <c r="M356" s="3">
        <v>2910</v>
      </c>
      <c r="N356" s="3">
        <v>26190</v>
      </c>
      <c r="O356" s="3">
        <v>18968.439999999999</v>
      </c>
      <c r="P356" s="3">
        <v>7221.56</v>
      </c>
      <c r="Q356" t="s">
        <v>389</v>
      </c>
      <c r="R356">
        <v>2024</v>
      </c>
      <c r="S356">
        <v>11</v>
      </c>
    </row>
    <row r="357" spans="1:19" x14ac:dyDescent="0.3">
      <c r="A357" t="s">
        <v>414</v>
      </c>
      <c r="B357" s="2">
        <v>45627</v>
      </c>
      <c r="C357" t="s">
        <v>28</v>
      </c>
      <c r="D357" t="s">
        <v>29</v>
      </c>
      <c r="E357" t="s">
        <v>42</v>
      </c>
      <c r="F357" t="s">
        <v>23</v>
      </c>
      <c r="G357" t="s">
        <v>24</v>
      </c>
      <c r="H357" t="s">
        <v>415</v>
      </c>
      <c r="I357">
        <v>2</v>
      </c>
      <c r="J357" s="3">
        <v>69956</v>
      </c>
      <c r="K357" s="4">
        <v>10</v>
      </c>
      <c r="L357" s="3">
        <v>139912</v>
      </c>
      <c r="M357" s="3">
        <v>13991.2</v>
      </c>
      <c r="N357" s="3">
        <v>125920.8</v>
      </c>
      <c r="O357" s="3">
        <v>93308.54</v>
      </c>
      <c r="P357" s="3">
        <v>32612.26</v>
      </c>
      <c r="Q357" t="s">
        <v>416</v>
      </c>
      <c r="R357">
        <v>2024</v>
      </c>
      <c r="S357">
        <v>12</v>
      </c>
    </row>
    <row r="358" spans="1:19" x14ac:dyDescent="0.3">
      <c r="A358" t="s">
        <v>417</v>
      </c>
      <c r="B358" s="2">
        <v>45628</v>
      </c>
      <c r="C358" t="s">
        <v>75</v>
      </c>
      <c r="D358" t="s">
        <v>34</v>
      </c>
      <c r="E358" t="s">
        <v>42</v>
      </c>
      <c r="F358" t="s">
        <v>40</v>
      </c>
      <c r="G358" t="s">
        <v>31</v>
      </c>
      <c r="H358" t="s">
        <v>415</v>
      </c>
      <c r="I358">
        <v>2</v>
      </c>
      <c r="J358" s="3">
        <v>39602</v>
      </c>
      <c r="K358" s="4">
        <v>10</v>
      </c>
      <c r="L358" s="3">
        <v>79204</v>
      </c>
      <c r="M358" s="3">
        <v>7920.4</v>
      </c>
      <c r="N358" s="3">
        <v>71283.600000000006</v>
      </c>
      <c r="O358" s="3">
        <v>48457.56</v>
      </c>
      <c r="P358" s="3">
        <v>22826.04</v>
      </c>
      <c r="Q358" t="s">
        <v>416</v>
      </c>
      <c r="R358">
        <v>2024</v>
      </c>
      <c r="S358">
        <v>12</v>
      </c>
    </row>
    <row r="359" spans="1:19" x14ac:dyDescent="0.3">
      <c r="A359" t="s">
        <v>418</v>
      </c>
      <c r="B359" s="2">
        <v>45629</v>
      </c>
      <c r="C359" t="s">
        <v>75</v>
      </c>
      <c r="D359" t="s">
        <v>34</v>
      </c>
      <c r="E359" t="s">
        <v>44</v>
      </c>
      <c r="F359" t="s">
        <v>40</v>
      </c>
      <c r="G359" t="s">
        <v>24</v>
      </c>
      <c r="H359" t="s">
        <v>415</v>
      </c>
      <c r="I359">
        <v>3</v>
      </c>
      <c r="J359" s="3">
        <v>39003</v>
      </c>
      <c r="K359" s="4">
        <v>10</v>
      </c>
      <c r="L359" s="3">
        <v>117009</v>
      </c>
      <c r="M359" s="3">
        <v>11700.9</v>
      </c>
      <c r="N359" s="3">
        <v>105308.1</v>
      </c>
      <c r="O359" s="3">
        <v>73547.759999999995</v>
      </c>
      <c r="P359" s="3">
        <v>31760.34</v>
      </c>
      <c r="Q359" t="s">
        <v>416</v>
      </c>
      <c r="R359">
        <v>2024</v>
      </c>
      <c r="S359">
        <v>12</v>
      </c>
    </row>
    <row r="360" spans="1:19" x14ac:dyDescent="0.3">
      <c r="A360" t="s">
        <v>419</v>
      </c>
      <c r="B360" s="2">
        <v>45629</v>
      </c>
      <c r="C360" t="s">
        <v>28</v>
      </c>
      <c r="D360" t="s">
        <v>29</v>
      </c>
      <c r="E360" t="s">
        <v>56</v>
      </c>
      <c r="F360" t="s">
        <v>30</v>
      </c>
      <c r="G360" t="s">
        <v>31</v>
      </c>
      <c r="H360" t="s">
        <v>415</v>
      </c>
      <c r="I360">
        <v>2</v>
      </c>
      <c r="J360" s="3">
        <v>65854</v>
      </c>
      <c r="K360" s="4">
        <v>15</v>
      </c>
      <c r="L360" s="3">
        <v>131708</v>
      </c>
      <c r="M360" s="3">
        <v>19756.2</v>
      </c>
      <c r="N360" s="3">
        <v>111951.8</v>
      </c>
      <c r="O360" s="3">
        <v>68216.710000000006</v>
      </c>
      <c r="P360" s="3">
        <v>43735.09</v>
      </c>
      <c r="Q360" t="s">
        <v>416</v>
      </c>
      <c r="R360">
        <v>2024</v>
      </c>
      <c r="S360">
        <v>12</v>
      </c>
    </row>
    <row r="361" spans="1:19" x14ac:dyDescent="0.3">
      <c r="A361" t="s">
        <v>420</v>
      </c>
      <c r="B361" s="2">
        <v>45629</v>
      </c>
      <c r="C361" t="s">
        <v>82</v>
      </c>
      <c r="D361" t="s">
        <v>21</v>
      </c>
      <c r="E361" t="s">
        <v>42</v>
      </c>
      <c r="F361" t="s">
        <v>35</v>
      </c>
      <c r="G361" t="s">
        <v>24</v>
      </c>
      <c r="H361" t="s">
        <v>415</v>
      </c>
      <c r="I361">
        <v>3</v>
      </c>
      <c r="J361" s="3">
        <v>48194</v>
      </c>
      <c r="K361" s="4">
        <v>20</v>
      </c>
      <c r="L361" s="3">
        <v>144582</v>
      </c>
      <c r="M361" s="3">
        <v>28916.400000000001</v>
      </c>
      <c r="N361" s="3">
        <v>115665.60000000001</v>
      </c>
      <c r="O361" s="3">
        <v>84478.1</v>
      </c>
      <c r="P361" s="3">
        <v>31187.5</v>
      </c>
      <c r="Q361" t="s">
        <v>416</v>
      </c>
      <c r="R361">
        <v>2024</v>
      </c>
      <c r="S361">
        <v>12</v>
      </c>
    </row>
    <row r="362" spans="1:19" x14ac:dyDescent="0.3">
      <c r="A362" t="s">
        <v>421</v>
      </c>
      <c r="B362" s="2">
        <v>45630</v>
      </c>
      <c r="C362" t="s">
        <v>82</v>
      </c>
      <c r="D362" t="s">
        <v>21</v>
      </c>
      <c r="E362" t="s">
        <v>22</v>
      </c>
      <c r="F362" t="s">
        <v>35</v>
      </c>
      <c r="G362" t="s">
        <v>31</v>
      </c>
      <c r="H362" t="s">
        <v>415</v>
      </c>
      <c r="I362">
        <v>2</v>
      </c>
      <c r="J362" s="3">
        <v>43309</v>
      </c>
      <c r="K362" s="4">
        <v>5</v>
      </c>
      <c r="L362" s="3">
        <v>86618</v>
      </c>
      <c r="M362" s="3">
        <v>4330.8999999999996</v>
      </c>
      <c r="N362" s="3">
        <v>82287.100000000006</v>
      </c>
      <c r="O362" s="3">
        <v>47243.040000000001</v>
      </c>
      <c r="P362" s="3">
        <v>35044.06</v>
      </c>
      <c r="Q362" t="s">
        <v>416</v>
      </c>
      <c r="R362">
        <v>2024</v>
      </c>
      <c r="S362">
        <v>12</v>
      </c>
    </row>
    <row r="363" spans="1:19" x14ac:dyDescent="0.3">
      <c r="A363" t="s">
        <v>422</v>
      </c>
      <c r="B363" s="2">
        <v>45630</v>
      </c>
      <c r="C363" t="s">
        <v>46</v>
      </c>
      <c r="D363" t="s">
        <v>21</v>
      </c>
      <c r="E363" t="s">
        <v>44</v>
      </c>
      <c r="F363" t="s">
        <v>40</v>
      </c>
      <c r="G363" t="s">
        <v>24</v>
      </c>
      <c r="H363" t="s">
        <v>25</v>
      </c>
      <c r="I363">
        <v>1</v>
      </c>
      <c r="J363" s="3">
        <v>12759</v>
      </c>
      <c r="K363" s="4">
        <v>0</v>
      </c>
      <c r="L363" s="3">
        <v>12759</v>
      </c>
      <c r="M363" s="3">
        <v>0</v>
      </c>
      <c r="N363" s="3">
        <v>12759</v>
      </c>
      <c r="O363" s="3">
        <v>7255.89</v>
      </c>
      <c r="P363" s="3">
        <v>5503.11</v>
      </c>
      <c r="Q363" t="s">
        <v>416</v>
      </c>
      <c r="R363">
        <v>2024</v>
      </c>
      <c r="S363">
        <v>12</v>
      </c>
    </row>
    <row r="364" spans="1:19" x14ac:dyDescent="0.3">
      <c r="A364" t="s">
        <v>423</v>
      </c>
      <c r="B364" s="2">
        <v>45631</v>
      </c>
      <c r="C364" t="s">
        <v>28</v>
      </c>
      <c r="D364" t="s">
        <v>29</v>
      </c>
      <c r="E364" t="s">
        <v>22</v>
      </c>
      <c r="F364" t="s">
        <v>35</v>
      </c>
      <c r="G364" t="s">
        <v>31</v>
      </c>
      <c r="H364" t="s">
        <v>415</v>
      </c>
      <c r="I364">
        <v>2</v>
      </c>
      <c r="J364" s="3">
        <v>61760</v>
      </c>
      <c r="K364" s="4">
        <v>20</v>
      </c>
      <c r="L364" s="3">
        <v>123520</v>
      </c>
      <c r="M364" s="3">
        <v>24704</v>
      </c>
      <c r="N364" s="3">
        <v>98816</v>
      </c>
      <c r="O364" s="3">
        <v>62516.55</v>
      </c>
      <c r="P364" s="3">
        <v>36299.449999999997</v>
      </c>
      <c r="Q364" t="s">
        <v>416</v>
      </c>
      <c r="R364">
        <v>2024</v>
      </c>
      <c r="S364">
        <v>12</v>
      </c>
    </row>
    <row r="365" spans="1:19" x14ac:dyDescent="0.3">
      <c r="A365" t="s">
        <v>424</v>
      </c>
      <c r="B365" s="2">
        <v>45632</v>
      </c>
      <c r="C365" t="s">
        <v>82</v>
      </c>
      <c r="D365" t="s">
        <v>21</v>
      </c>
      <c r="E365" t="s">
        <v>42</v>
      </c>
      <c r="F365" t="s">
        <v>23</v>
      </c>
      <c r="G365" t="s">
        <v>31</v>
      </c>
      <c r="H365" t="s">
        <v>415</v>
      </c>
      <c r="I365">
        <v>1</v>
      </c>
      <c r="J365" s="3">
        <v>48291</v>
      </c>
      <c r="K365" s="4">
        <v>5</v>
      </c>
      <c r="L365" s="3">
        <v>48291</v>
      </c>
      <c r="M365" s="3">
        <v>2414.5500000000002</v>
      </c>
      <c r="N365" s="3">
        <v>45876.45</v>
      </c>
      <c r="O365" s="3">
        <v>29479.48</v>
      </c>
      <c r="P365" s="3">
        <v>16396.97</v>
      </c>
      <c r="Q365" t="s">
        <v>416</v>
      </c>
      <c r="R365">
        <v>2024</v>
      </c>
      <c r="S365">
        <v>12</v>
      </c>
    </row>
    <row r="366" spans="1:19" x14ac:dyDescent="0.3">
      <c r="A366" t="s">
        <v>425</v>
      </c>
      <c r="B366" s="2">
        <v>45633</v>
      </c>
      <c r="C366" t="s">
        <v>20</v>
      </c>
      <c r="D366" t="s">
        <v>21</v>
      </c>
      <c r="E366" t="s">
        <v>42</v>
      </c>
      <c r="F366" t="s">
        <v>40</v>
      </c>
      <c r="G366" t="s">
        <v>24</v>
      </c>
      <c r="H366" t="s">
        <v>25</v>
      </c>
      <c r="I366">
        <v>2</v>
      </c>
      <c r="J366" s="3">
        <v>15356</v>
      </c>
      <c r="K366" s="4">
        <v>0</v>
      </c>
      <c r="L366" s="3">
        <v>30712</v>
      </c>
      <c r="M366" s="3">
        <v>0</v>
      </c>
      <c r="N366" s="3">
        <v>30712</v>
      </c>
      <c r="O366" s="3">
        <v>19338.23</v>
      </c>
      <c r="P366" s="3">
        <v>11373.77</v>
      </c>
      <c r="Q366" t="s">
        <v>416</v>
      </c>
      <c r="R366">
        <v>2024</v>
      </c>
      <c r="S366">
        <v>12</v>
      </c>
    </row>
    <row r="367" spans="1:19" x14ac:dyDescent="0.3">
      <c r="A367" t="s">
        <v>426</v>
      </c>
      <c r="B367" s="2">
        <v>45633</v>
      </c>
      <c r="C367" t="s">
        <v>64</v>
      </c>
      <c r="D367" t="s">
        <v>29</v>
      </c>
      <c r="E367" t="s">
        <v>42</v>
      </c>
      <c r="F367" t="s">
        <v>35</v>
      </c>
      <c r="G367" t="s">
        <v>24</v>
      </c>
      <c r="H367" t="s">
        <v>25</v>
      </c>
      <c r="I367">
        <v>2</v>
      </c>
      <c r="J367" s="3">
        <v>31138</v>
      </c>
      <c r="K367" s="4">
        <v>0</v>
      </c>
      <c r="L367" s="3">
        <v>62276</v>
      </c>
      <c r="M367" s="3">
        <v>0</v>
      </c>
      <c r="N367" s="3">
        <v>62276</v>
      </c>
      <c r="O367" s="3">
        <v>32959.83</v>
      </c>
      <c r="P367" s="3">
        <v>29316.17</v>
      </c>
      <c r="Q367" t="s">
        <v>416</v>
      </c>
      <c r="R367">
        <v>2024</v>
      </c>
      <c r="S367">
        <v>12</v>
      </c>
    </row>
    <row r="368" spans="1:19" x14ac:dyDescent="0.3">
      <c r="A368" t="s">
        <v>427</v>
      </c>
      <c r="B368" s="2">
        <v>45635</v>
      </c>
      <c r="C368" t="s">
        <v>48</v>
      </c>
      <c r="D368" t="s">
        <v>34</v>
      </c>
      <c r="E368" t="s">
        <v>42</v>
      </c>
      <c r="F368" t="s">
        <v>40</v>
      </c>
      <c r="G368" t="s">
        <v>24</v>
      </c>
      <c r="H368" t="s">
        <v>415</v>
      </c>
      <c r="I368">
        <v>4</v>
      </c>
      <c r="J368" s="3">
        <v>26872</v>
      </c>
      <c r="K368" s="4">
        <v>10</v>
      </c>
      <c r="L368" s="3">
        <v>107488</v>
      </c>
      <c r="M368" s="3">
        <v>10748.8</v>
      </c>
      <c r="N368" s="3">
        <v>96739.199999999997</v>
      </c>
      <c r="O368" s="3">
        <v>70267.55</v>
      </c>
      <c r="P368" s="3">
        <v>26471.65</v>
      </c>
      <c r="Q368" t="s">
        <v>416</v>
      </c>
      <c r="R368">
        <v>2024</v>
      </c>
      <c r="S368">
        <v>12</v>
      </c>
    </row>
    <row r="369" spans="1:19" x14ac:dyDescent="0.3">
      <c r="A369" t="s">
        <v>428</v>
      </c>
      <c r="B369" s="2">
        <v>45637</v>
      </c>
      <c r="C369" t="s">
        <v>75</v>
      </c>
      <c r="D369" t="s">
        <v>34</v>
      </c>
      <c r="E369" t="s">
        <v>42</v>
      </c>
      <c r="F369" t="s">
        <v>35</v>
      </c>
      <c r="G369" t="s">
        <v>24</v>
      </c>
      <c r="H369" t="s">
        <v>25</v>
      </c>
      <c r="I369">
        <v>2</v>
      </c>
      <c r="J369" s="3">
        <v>35592</v>
      </c>
      <c r="K369" s="4">
        <v>15</v>
      </c>
      <c r="L369" s="3">
        <v>71184</v>
      </c>
      <c r="M369" s="3">
        <v>10677.6</v>
      </c>
      <c r="N369" s="3">
        <v>60506.400000000001</v>
      </c>
      <c r="O369" s="3">
        <v>46842.21</v>
      </c>
      <c r="P369" s="3">
        <v>13664.19</v>
      </c>
      <c r="Q369" t="s">
        <v>416</v>
      </c>
      <c r="R369">
        <v>2024</v>
      </c>
      <c r="S369">
        <v>12</v>
      </c>
    </row>
    <row r="370" spans="1:19" x14ac:dyDescent="0.3">
      <c r="A370" t="s">
        <v>429</v>
      </c>
      <c r="B370" s="2">
        <v>45637</v>
      </c>
      <c r="C370" t="s">
        <v>28</v>
      </c>
      <c r="D370" t="s">
        <v>29</v>
      </c>
      <c r="E370" t="s">
        <v>42</v>
      </c>
      <c r="F370" t="s">
        <v>40</v>
      </c>
      <c r="G370" t="s">
        <v>24</v>
      </c>
      <c r="H370" t="s">
        <v>25</v>
      </c>
      <c r="I370">
        <v>2</v>
      </c>
      <c r="J370" s="3">
        <v>63984</v>
      </c>
      <c r="K370" s="4">
        <v>0</v>
      </c>
      <c r="L370" s="3">
        <v>127968</v>
      </c>
      <c r="M370" s="3">
        <v>0</v>
      </c>
      <c r="N370" s="3">
        <v>127968</v>
      </c>
      <c r="O370" s="3">
        <v>64453.75</v>
      </c>
      <c r="P370" s="3">
        <v>63514.25</v>
      </c>
      <c r="Q370" t="s">
        <v>416</v>
      </c>
      <c r="R370">
        <v>2024</v>
      </c>
      <c r="S370">
        <v>12</v>
      </c>
    </row>
    <row r="371" spans="1:19" x14ac:dyDescent="0.3">
      <c r="A371" t="s">
        <v>430</v>
      </c>
      <c r="B371" s="2">
        <v>45637</v>
      </c>
      <c r="C371" t="s">
        <v>50</v>
      </c>
      <c r="D371" t="s">
        <v>34</v>
      </c>
      <c r="E371" t="s">
        <v>42</v>
      </c>
      <c r="F371" t="s">
        <v>23</v>
      </c>
      <c r="G371" t="s">
        <v>31</v>
      </c>
      <c r="H371" t="s">
        <v>25</v>
      </c>
      <c r="I371">
        <v>2</v>
      </c>
      <c r="J371" s="3">
        <v>18230</v>
      </c>
      <c r="K371" s="4">
        <v>0</v>
      </c>
      <c r="L371" s="3">
        <v>36460</v>
      </c>
      <c r="M371" s="3">
        <v>0</v>
      </c>
      <c r="N371" s="3">
        <v>36460</v>
      </c>
      <c r="O371" s="3">
        <v>23033.8</v>
      </c>
      <c r="P371" s="3">
        <v>13426.2</v>
      </c>
      <c r="Q371" t="s">
        <v>416</v>
      </c>
      <c r="R371">
        <v>2024</v>
      </c>
      <c r="S371">
        <v>12</v>
      </c>
    </row>
    <row r="372" spans="1:19" x14ac:dyDescent="0.3">
      <c r="A372" t="s">
        <v>431</v>
      </c>
      <c r="B372" s="2">
        <v>45638</v>
      </c>
      <c r="C372" t="s">
        <v>71</v>
      </c>
      <c r="D372" t="s">
        <v>34</v>
      </c>
      <c r="E372" t="s">
        <v>42</v>
      </c>
      <c r="F372" t="s">
        <v>40</v>
      </c>
      <c r="G372" t="s">
        <v>31</v>
      </c>
      <c r="H372" t="s">
        <v>415</v>
      </c>
      <c r="I372">
        <v>2</v>
      </c>
      <c r="J372" s="3">
        <v>51613</v>
      </c>
      <c r="K372" s="4">
        <v>5</v>
      </c>
      <c r="L372" s="3">
        <v>103226</v>
      </c>
      <c r="M372" s="3">
        <v>5161.3</v>
      </c>
      <c r="N372" s="3">
        <v>0</v>
      </c>
      <c r="O372" s="3">
        <v>50772.92</v>
      </c>
      <c r="P372" s="3">
        <v>0</v>
      </c>
      <c r="Q372" t="s">
        <v>416</v>
      </c>
      <c r="R372">
        <v>2024</v>
      </c>
      <c r="S372">
        <v>12</v>
      </c>
    </row>
    <row r="373" spans="1:19" x14ac:dyDescent="0.3">
      <c r="A373" t="s">
        <v>432</v>
      </c>
      <c r="B373" s="2">
        <v>45639</v>
      </c>
      <c r="C373" t="s">
        <v>28</v>
      </c>
      <c r="D373" t="s">
        <v>29</v>
      </c>
      <c r="E373" t="s">
        <v>22</v>
      </c>
      <c r="F373" t="s">
        <v>35</v>
      </c>
      <c r="G373" t="s">
        <v>31</v>
      </c>
      <c r="H373" t="s">
        <v>415</v>
      </c>
      <c r="I373">
        <v>1</v>
      </c>
      <c r="J373" s="3">
        <v>60213</v>
      </c>
      <c r="K373" s="4">
        <v>15</v>
      </c>
      <c r="L373" s="3">
        <v>60213</v>
      </c>
      <c r="M373" s="3">
        <v>9031.9500000000007</v>
      </c>
      <c r="N373" s="3">
        <v>51181.05</v>
      </c>
      <c r="O373" s="3">
        <v>39375.64</v>
      </c>
      <c r="P373" s="3">
        <v>11805.41</v>
      </c>
      <c r="Q373" t="s">
        <v>416</v>
      </c>
      <c r="R373">
        <v>2024</v>
      </c>
      <c r="S373">
        <v>12</v>
      </c>
    </row>
    <row r="374" spans="1:19" x14ac:dyDescent="0.3">
      <c r="A374" t="s">
        <v>433</v>
      </c>
      <c r="B374" s="2">
        <v>45641</v>
      </c>
      <c r="C374" t="s">
        <v>46</v>
      </c>
      <c r="D374" t="s">
        <v>21</v>
      </c>
      <c r="E374" t="s">
        <v>44</v>
      </c>
      <c r="F374" t="s">
        <v>40</v>
      </c>
      <c r="G374" t="s">
        <v>31</v>
      </c>
      <c r="H374" t="s">
        <v>415</v>
      </c>
      <c r="I374">
        <v>1</v>
      </c>
      <c r="J374" s="3">
        <v>12898</v>
      </c>
      <c r="K374" s="4">
        <v>15</v>
      </c>
      <c r="L374" s="3">
        <v>12898</v>
      </c>
      <c r="M374" s="3">
        <v>1934.7</v>
      </c>
      <c r="N374" s="3">
        <v>10963.3</v>
      </c>
      <c r="O374" s="3">
        <v>6248.95</v>
      </c>
      <c r="P374" s="3">
        <v>4714.3500000000004</v>
      </c>
      <c r="Q374" t="s">
        <v>416</v>
      </c>
      <c r="R374">
        <v>2024</v>
      </c>
      <c r="S374">
        <v>12</v>
      </c>
    </row>
    <row r="375" spans="1:19" x14ac:dyDescent="0.3">
      <c r="A375" t="s">
        <v>434</v>
      </c>
      <c r="B375" s="2">
        <v>45641</v>
      </c>
      <c r="C375" t="s">
        <v>48</v>
      </c>
      <c r="D375" t="s">
        <v>34</v>
      </c>
      <c r="E375" t="s">
        <v>42</v>
      </c>
      <c r="F375" t="s">
        <v>40</v>
      </c>
      <c r="G375" t="s">
        <v>31</v>
      </c>
      <c r="H375" t="s">
        <v>415</v>
      </c>
      <c r="I375">
        <v>1</v>
      </c>
      <c r="J375" s="3">
        <v>23919</v>
      </c>
      <c r="K375" s="4">
        <v>10</v>
      </c>
      <c r="L375" s="3">
        <v>23919</v>
      </c>
      <c r="M375" s="3">
        <v>2391.9</v>
      </c>
      <c r="N375" s="3">
        <v>21527.1</v>
      </c>
      <c r="O375" s="3">
        <v>12693.78</v>
      </c>
      <c r="P375" s="3">
        <v>8833.32</v>
      </c>
      <c r="Q375" t="s">
        <v>416</v>
      </c>
      <c r="R375">
        <v>2024</v>
      </c>
      <c r="S375">
        <v>12</v>
      </c>
    </row>
    <row r="376" spans="1:19" x14ac:dyDescent="0.3">
      <c r="A376" t="s">
        <v>435</v>
      </c>
      <c r="B376" s="2">
        <v>45647</v>
      </c>
      <c r="C376" t="s">
        <v>48</v>
      </c>
      <c r="D376" t="s">
        <v>34</v>
      </c>
      <c r="E376" t="s">
        <v>22</v>
      </c>
      <c r="F376" t="s">
        <v>37</v>
      </c>
      <c r="G376" t="s">
        <v>31</v>
      </c>
      <c r="H376" t="s">
        <v>415</v>
      </c>
      <c r="I376">
        <v>2</v>
      </c>
      <c r="J376" s="3">
        <v>26943</v>
      </c>
      <c r="K376" s="4">
        <v>15</v>
      </c>
      <c r="L376" s="3">
        <v>53886</v>
      </c>
      <c r="M376" s="3">
        <v>8082.9</v>
      </c>
      <c r="N376" s="3">
        <v>45803.1</v>
      </c>
      <c r="O376" s="3">
        <v>35156.870000000003</v>
      </c>
      <c r="P376" s="3">
        <v>10646.23</v>
      </c>
      <c r="Q376" t="s">
        <v>416</v>
      </c>
      <c r="R376">
        <v>2024</v>
      </c>
      <c r="S376">
        <v>12</v>
      </c>
    </row>
    <row r="377" spans="1:19" x14ac:dyDescent="0.3">
      <c r="A377" t="s">
        <v>436</v>
      </c>
      <c r="B377" s="2">
        <v>45648</v>
      </c>
      <c r="C377" t="s">
        <v>82</v>
      </c>
      <c r="D377" t="s">
        <v>21</v>
      </c>
      <c r="E377" t="s">
        <v>22</v>
      </c>
      <c r="F377" t="s">
        <v>37</v>
      </c>
      <c r="G377" t="s">
        <v>31</v>
      </c>
      <c r="H377" t="s">
        <v>415</v>
      </c>
      <c r="I377">
        <v>1</v>
      </c>
      <c r="J377" s="3">
        <v>46662</v>
      </c>
      <c r="K377" s="4">
        <v>10</v>
      </c>
      <c r="L377" s="3">
        <v>46662</v>
      </c>
      <c r="M377" s="3">
        <v>4666.2</v>
      </c>
      <c r="N377" s="3">
        <v>41995.8</v>
      </c>
      <c r="O377" s="3">
        <v>27894.73</v>
      </c>
      <c r="P377" s="3">
        <v>14101.07</v>
      </c>
      <c r="Q377" t="s">
        <v>416</v>
      </c>
      <c r="R377">
        <v>2024</v>
      </c>
      <c r="S377">
        <v>12</v>
      </c>
    </row>
    <row r="378" spans="1:19" x14ac:dyDescent="0.3">
      <c r="A378" t="s">
        <v>437</v>
      </c>
      <c r="B378" s="2">
        <v>45649</v>
      </c>
      <c r="C378" t="s">
        <v>82</v>
      </c>
      <c r="D378" t="s">
        <v>21</v>
      </c>
      <c r="E378" t="s">
        <v>42</v>
      </c>
      <c r="F378" t="s">
        <v>35</v>
      </c>
      <c r="G378" t="s">
        <v>31</v>
      </c>
      <c r="H378" t="s">
        <v>415</v>
      </c>
      <c r="I378">
        <v>2</v>
      </c>
      <c r="J378" s="3">
        <v>43882</v>
      </c>
      <c r="K378" s="4">
        <v>15</v>
      </c>
      <c r="L378" s="3">
        <v>87764</v>
      </c>
      <c r="M378" s="3">
        <v>13164.6</v>
      </c>
      <c r="N378" s="3">
        <v>74599.399999999994</v>
      </c>
      <c r="O378" s="3">
        <v>57766.65</v>
      </c>
      <c r="P378" s="3">
        <v>16832.75</v>
      </c>
      <c r="Q378" t="s">
        <v>416</v>
      </c>
      <c r="R378">
        <v>2024</v>
      </c>
      <c r="S378">
        <v>12</v>
      </c>
    </row>
    <row r="379" spans="1:19" x14ac:dyDescent="0.3">
      <c r="A379" t="s">
        <v>438</v>
      </c>
      <c r="B379" s="2">
        <v>45651</v>
      </c>
      <c r="C379" t="s">
        <v>20</v>
      </c>
      <c r="D379" t="s">
        <v>21</v>
      </c>
      <c r="E379" t="s">
        <v>42</v>
      </c>
      <c r="F379" t="s">
        <v>40</v>
      </c>
      <c r="G379" t="s">
        <v>31</v>
      </c>
      <c r="H379" t="s">
        <v>25</v>
      </c>
      <c r="I379">
        <v>3</v>
      </c>
      <c r="J379" s="3">
        <v>14527</v>
      </c>
      <c r="K379" s="4">
        <v>0</v>
      </c>
      <c r="L379" s="3">
        <v>43581</v>
      </c>
      <c r="M379" s="3">
        <v>0</v>
      </c>
      <c r="N379" s="3">
        <v>43581</v>
      </c>
      <c r="O379" s="3">
        <v>25021.65</v>
      </c>
      <c r="P379" s="3">
        <v>18559.349999999999</v>
      </c>
      <c r="Q379" t="s">
        <v>416</v>
      </c>
      <c r="R379">
        <v>2024</v>
      </c>
      <c r="S379">
        <v>12</v>
      </c>
    </row>
    <row r="380" spans="1:19" x14ac:dyDescent="0.3">
      <c r="A380" t="s">
        <v>439</v>
      </c>
      <c r="B380" s="2">
        <v>45654</v>
      </c>
      <c r="C380" t="s">
        <v>64</v>
      </c>
      <c r="D380" t="s">
        <v>29</v>
      </c>
      <c r="E380" t="s">
        <v>22</v>
      </c>
      <c r="F380" t="s">
        <v>40</v>
      </c>
      <c r="G380" t="s">
        <v>31</v>
      </c>
      <c r="H380" t="s">
        <v>415</v>
      </c>
      <c r="I380">
        <v>2</v>
      </c>
      <c r="J380" s="3">
        <v>31761</v>
      </c>
      <c r="K380" s="4">
        <v>10</v>
      </c>
      <c r="L380" s="3">
        <v>63522</v>
      </c>
      <c r="M380" s="3">
        <v>6352.2</v>
      </c>
      <c r="N380" s="3">
        <v>57169.8</v>
      </c>
      <c r="O380" s="3">
        <v>35634.06</v>
      </c>
      <c r="P380" s="3">
        <v>21535.74</v>
      </c>
      <c r="Q380" t="s">
        <v>416</v>
      </c>
      <c r="R380">
        <v>2024</v>
      </c>
      <c r="S380">
        <v>12</v>
      </c>
    </row>
    <row r="381" spans="1:19" x14ac:dyDescent="0.3">
      <c r="A381" t="s">
        <v>440</v>
      </c>
      <c r="B381" s="2">
        <v>45654</v>
      </c>
      <c r="C381" t="s">
        <v>33</v>
      </c>
      <c r="D381" t="s">
        <v>34</v>
      </c>
      <c r="E381" t="s">
        <v>22</v>
      </c>
      <c r="F381" t="s">
        <v>40</v>
      </c>
      <c r="G381" t="s">
        <v>24</v>
      </c>
      <c r="H381" t="s">
        <v>415</v>
      </c>
      <c r="I381">
        <v>1</v>
      </c>
      <c r="J381" s="3">
        <v>41206</v>
      </c>
      <c r="K381" s="4">
        <v>10</v>
      </c>
      <c r="L381" s="3">
        <v>41206</v>
      </c>
      <c r="M381" s="3">
        <v>4120.6000000000004</v>
      </c>
      <c r="N381" s="3">
        <v>37085.4</v>
      </c>
      <c r="O381" s="3">
        <v>20722.77</v>
      </c>
      <c r="P381" s="3">
        <v>16362.63</v>
      </c>
      <c r="Q381" t="s">
        <v>416</v>
      </c>
      <c r="R381">
        <v>2024</v>
      </c>
      <c r="S381">
        <v>12</v>
      </c>
    </row>
    <row r="382" spans="1:19" x14ac:dyDescent="0.3">
      <c r="A382" t="s">
        <v>441</v>
      </c>
      <c r="B382" s="2">
        <v>45655</v>
      </c>
      <c r="C382" t="s">
        <v>28</v>
      </c>
      <c r="D382" t="s">
        <v>29</v>
      </c>
      <c r="E382" t="s">
        <v>44</v>
      </c>
      <c r="F382" t="s">
        <v>37</v>
      </c>
      <c r="G382" t="s">
        <v>24</v>
      </c>
      <c r="H382" t="s">
        <v>415</v>
      </c>
      <c r="I382">
        <v>3</v>
      </c>
      <c r="J382" s="3">
        <v>66862</v>
      </c>
      <c r="K382" s="4">
        <v>15</v>
      </c>
      <c r="L382" s="3">
        <v>200586</v>
      </c>
      <c r="M382" s="3">
        <v>30087.9</v>
      </c>
      <c r="N382" s="3">
        <v>170498.1</v>
      </c>
      <c r="O382" s="3">
        <v>118939.99</v>
      </c>
      <c r="P382" s="3">
        <v>51558.11</v>
      </c>
      <c r="Q382" t="s">
        <v>416</v>
      </c>
      <c r="R382">
        <v>2024</v>
      </c>
      <c r="S382">
        <v>12</v>
      </c>
    </row>
    <row r="383" spans="1:19" x14ac:dyDescent="0.3">
      <c r="A383" t="s">
        <v>442</v>
      </c>
      <c r="B383" s="2">
        <v>45656</v>
      </c>
      <c r="C383" t="s">
        <v>75</v>
      </c>
      <c r="D383" t="s">
        <v>34</v>
      </c>
      <c r="E383" t="s">
        <v>56</v>
      </c>
      <c r="F383" t="s">
        <v>40</v>
      </c>
      <c r="G383" t="s">
        <v>24</v>
      </c>
      <c r="H383" t="s">
        <v>415</v>
      </c>
      <c r="I383">
        <v>1</v>
      </c>
      <c r="J383" s="3">
        <v>36164</v>
      </c>
      <c r="K383" s="4">
        <v>20</v>
      </c>
      <c r="L383" s="3">
        <v>36164</v>
      </c>
      <c r="M383" s="3">
        <v>7232.8</v>
      </c>
      <c r="N383" s="3">
        <v>0</v>
      </c>
      <c r="O383" s="3">
        <v>17505.400000000001</v>
      </c>
      <c r="P383" s="3">
        <v>0</v>
      </c>
      <c r="Q383" t="s">
        <v>416</v>
      </c>
      <c r="R383">
        <v>2024</v>
      </c>
      <c r="S383">
        <v>12</v>
      </c>
    </row>
    <row r="384" spans="1:19" x14ac:dyDescent="0.3">
      <c r="A384" t="s">
        <v>443</v>
      </c>
      <c r="B384" s="2">
        <v>45656</v>
      </c>
      <c r="C384" t="s">
        <v>20</v>
      </c>
      <c r="D384" t="s">
        <v>21</v>
      </c>
      <c r="E384" t="s">
        <v>42</v>
      </c>
      <c r="F384" t="s">
        <v>35</v>
      </c>
      <c r="G384" t="s">
        <v>31</v>
      </c>
      <c r="H384" t="s">
        <v>415</v>
      </c>
      <c r="I384">
        <v>1</v>
      </c>
      <c r="J384" s="3">
        <v>14964</v>
      </c>
      <c r="K384" s="4">
        <v>15</v>
      </c>
      <c r="L384" s="3">
        <v>14964</v>
      </c>
      <c r="M384" s="3">
        <v>2244.6</v>
      </c>
      <c r="N384" s="3">
        <v>12719.4</v>
      </c>
      <c r="O384" s="3">
        <v>8094.81</v>
      </c>
      <c r="P384" s="3">
        <v>4624.59</v>
      </c>
      <c r="Q384" t="s">
        <v>416</v>
      </c>
      <c r="R384">
        <v>2024</v>
      </c>
      <c r="S384">
        <v>12</v>
      </c>
    </row>
    <row r="385" spans="1:19" x14ac:dyDescent="0.3">
      <c r="A385" t="s">
        <v>444</v>
      </c>
      <c r="B385" s="2">
        <v>45661</v>
      </c>
      <c r="C385" t="s">
        <v>28</v>
      </c>
      <c r="D385" t="s">
        <v>29</v>
      </c>
      <c r="E385" t="s">
        <v>22</v>
      </c>
      <c r="F385" t="s">
        <v>35</v>
      </c>
      <c r="G385" t="s">
        <v>31</v>
      </c>
      <c r="H385" t="s">
        <v>25</v>
      </c>
      <c r="I385">
        <v>1</v>
      </c>
      <c r="J385" s="3">
        <v>61125</v>
      </c>
      <c r="K385" s="4">
        <v>10</v>
      </c>
      <c r="L385" s="3">
        <v>61125</v>
      </c>
      <c r="M385" s="3">
        <v>6112.5</v>
      </c>
      <c r="N385" s="3">
        <v>55012.5</v>
      </c>
      <c r="O385" s="3">
        <v>39890.29</v>
      </c>
      <c r="P385" s="3">
        <v>15122.21</v>
      </c>
      <c r="Q385" t="s">
        <v>26</v>
      </c>
      <c r="R385">
        <v>2025</v>
      </c>
      <c r="S385">
        <v>1</v>
      </c>
    </row>
    <row r="386" spans="1:19" x14ac:dyDescent="0.3">
      <c r="A386" t="s">
        <v>445</v>
      </c>
      <c r="B386" s="2">
        <v>45662</v>
      </c>
      <c r="C386" t="s">
        <v>75</v>
      </c>
      <c r="D386" t="s">
        <v>34</v>
      </c>
      <c r="E386" t="s">
        <v>56</v>
      </c>
      <c r="F386" t="s">
        <v>37</v>
      </c>
      <c r="G386" t="s">
        <v>24</v>
      </c>
      <c r="H386" t="s">
        <v>25</v>
      </c>
      <c r="I386">
        <v>2</v>
      </c>
      <c r="J386" s="3">
        <v>35232</v>
      </c>
      <c r="K386" s="4">
        <v>0</v>
      </c>
      <c r="L386" s="3">
        <v>70464</v>
      </c>
      <c r="M386" s="3">
        <v>0</v>
      </c>
      <c r="N386" s="3">
        <v>70464</v>
      </c>
      <c r="O386" s="3">
        <v>37770.589999999997</v>
      </c>
      <c r="P386" s="3">
        <v>32693.41</v>
      </c>
      <c r="Q386" t="s">
        <v>26</v>
      </c>
      <c r="R386">
        <v>2025</v>
      </c>
      <c r="S386">
        <v>1</v>
      </c>
    </row>
    <row r="387" spans="1:19" x14ac:dyDescent="0.3">
      <c r="A387" t="s">
        <v>446</v>
      </c>
      <c r="B387" s="2">
        <v>45663</v>
      </c>
      <c r="C387" t="s">
        <v>46</v>
      </c>
      <c r="D387" t="s">
        <v>21</v>
      </c>
      <c r="E387" t="s">
        <v>56</v>
      </c>
      <c r="F387" t="s">
        <v>23</v>
      </c>
      <c r="G387" t="s">
        <v>31</v>
      </c>
      <c r="H387" t="s">
        <v>25</v>
      </c>
      <c r="I387">
        <v>3</v>
      </c>
      <c r="J387" s="3">
        <v>12848</v>
      </c>
      <c r="K387" s="4">
        <v>0</v>
      </c>
      <c r="L387" s="3">
        <v>38544</v>
      </c>
      <c r="M387" s="3">
        <v>0</v>
      </c>
      <c r="N387" s="3">
        <v>38544</v>
      </c>
      <c r="O387" s="3">
        <v>24909.63</v>
      </c>
      <c r="P387" s="3">
        <v>13634.37</v>
      </c>
      <c r="Q387" t="s">
        <v>26</v>
      </c>
      <c r="R387">
        <v>2025</v>
      </c>
      <c r="S387">
        <v>1</v>
      </c>
    </row>
    <row r="388" spans="1:19" x14ac:dyDescent="0.3">
      <c r="A388" t="s">
        <v>447</v>
      </c>
      <c r="B388" s="2">
        <v>45664</v>
      </c>
      <c r="C388" t="s">
        <v>20</v>
      </c>
      <c r="D388" t="s">
        <v>21</v>
      </c>
      <c r="E388" t="s">
        <v>22</v>
      </c>
      <c r="F388" t="s">
        <v>30</v>
      </c>
      <c r="G388" t="s">
        <v>24</v>
      </c>
      <c r="H388" t="s">
        <v>25</v>
      </c>
      <c r="I388">
        <v>2</v>
      </c>
      <c r="J388" s="3">
        <v>14279</v>
      </c>
      <c r="K388" s="4">
        <v>0</v>
      </c>
      <c r="L388" s="3">
        <v>28558</v>
      </c>
      <c r="M388" s="3">
        <v>0</v>
      </c>
      <c r="N388" s="3">
        <v>28558</v>
      </c>
      <c r="O388" s="3">
        <v>17971.09</v>
      </c>
      <c r="P388" s="3">
        <v>10586.91</v>
      </c>
      <c r="Q388" t="s">
        <v>26</v>
      </c>
      <c r="R388">
        <v>2025</v>
      </c>
      <c r="S388">
        <v>1</v>
      </c>
    </row>
    <row r="389" spans="1:19" x14ac:dyDescent="0.3">
      <c r="A389" t="s">
        <v>448</v>
      </c>
      <c r="B389" s="2">
        <v>45665</v>
      </c>
      <c r="C389" t="s">
        <v>28</v>
      </c>
      <c r="D389" t="s">
        <v>29</v>
      </c>
      <c r="E389" t="s">
        <v>42</v>
      </c>
      <c r="F389" t="s">
        <v>30</v>
      </c>
      <c r="G389" t="s">
        <v>31</v>
      </c>
      <c r="H389" t="s">
        <v>25</v>
      </c>
      <c r="I389">
        <v>1</v>
      </c>
      <c r="J389" s="3">
        <v>66438</v>
      </c>
      <c r="K389" s="4">
        <v>0</v>
      </c>
      <c r="L389" s="3">
        <v>66438</v>
      </c>
      <c r="M389" s="3">
        <v>0</v>
      </c>
      <c r="N389" s="3">
        <v>66438</v>
      </c>
      <c r="O389" s="3">
        <v>33378.61</v>
      </c>
      <c r="P389" s="3">
        <v>33059.39</v>
      </c>
      <c r="Q389" t="s">
        <v>26</v>
      </c>
      <c r="R389">
        <v>2025</v>
      </c>
      <c r="S389">
        <v>1</v>
      </c>
    </row>
    <row r="390" spans="1:19" x14ac:dyDescent="0.3">
      <c r="A390" t="s">
        <v>449</v>
      </c>
      <c r="B390" s="2">
        <v>45665</v>
      </c>
      <c r="C390" t="s">
        <v>20</v>
      </c>
      <c r="D390" t="s">
        <v>21</v>
      </c>
      <c r="E390" t="s">
        <v>42</v>
      </c>
      <c r="F390" t="s">
        <v>40</v>
      </c>
      <c r="G390" t="s">
        <v>31</v>
      </c>
      <c r="H390" t="s">
        <v>25</v>
      </c>
      <c r="I390">
        <v>1</v>
      </c>
      <c r="J390" s="3">
        <v>15386</v>
      </c>
      <c r="K390" s="4">
        <v>0</v>
      </c>
      <c r="L390" s="3">
        <v>15386</v>
      </c>
      <c r="M390" s="3">
        <v>0</v>
      </c>
      <c r="N390" s="3">
        <v>0</v>
      </c>
      <c r="O390" s="3">
        <v>9959.65</v>
      </c>
      <c r="P390" s="3">
        <v>0</v>
      </c>
      <c r="Q390" t="s">
        <v>26</v>
      </c>
      <c r="R390">
        <v>2025</v>
      </c>
      <c r="S390">
        <v>1</v>
      </c>
    </row>
    <row r="391" spans="1:19" x14ac:dyDescent="0.3">
      <c r="A391" t="s">
        <v>450</v>
      </c>
      <c r="B391" s="2">
        <v>45667</v>
      </c>
      <c r="C391" t="s">
        <v>75</v>
      </c>
      <c r="D391" t="s">
        <v>34</v>
      </c>
      <c r="E391" t="s">
        <v>22</v>
      </c>
      <c r="F391" t="s">
        <v>40</v>
      </c>
      <c r="G391" t="s">
        <v>31</v>
      </c>
      <c r="H391" t="s">
        <v>25</v>
      </c>
      <c r="I391">
        <v>1</v>
      </c>
      <c r="J391" s="3">
        <v>39569</v>
      </c>
      <c r="K391" s="4">
        <v>0</v>
      </c>
      <c r="L391" s="3">
        <v>39569</v>
      </c>
      <c r="M391" s="3">
        <v>0</v>
      </c>
      <c r="N391" s="3">
        <v>39569</v>
      </c>
      <c r="O391" s="3">
        <v>19110.48</v>
      </c>
      <c r="P391" s="3">
        <v>20458.52</v>
      </c>
      <c r="Q391" t="s">
        <v>26</v>
      </c>
      <c r="R391">
        <v>2025</v>
      </c>
      <c r="S391">
        <v>1</v>
      </c>
    </row>
    <row r="392" spans="1:19" x14ac:dyDescent="0.3">
      <c r="A392" t="s">
        <v>451</v>
      </c>
      <c r="B392" s="2">
        <v>45667</v>
      </c>
      <c r="C392" t="s">
        <v>48</v>
      </c>
      <c r="D392" t="s">
        <v>34</v>
      </c>
      <c r="E392" t="s">
        <v>56</v>
      </c>
      <c r="F392" t="s">
        <v>40</v>
      </c>
      <c r="G392" t="s">
        <v>31</v>
      </c>
      <c r="H392" t="s">
        <v>25</v>
      </c>
      <c r="I392">
        <v>1</v>
      </c>
      <c r="J392" s="3">
        <v>25303</v>
      </c>
      <c r="K392" s="4">
        <v>0</v>
      </c>
      <c r="L392" s="3">
        <v>25303</v>
      </c>
      <c r="M392" s="3">
        <v>0</v>
      </c>
      <c r="N392" s="3">
        <v>25303</v>
      </c>
      <c r="O392" s="3">
        <v>12777.61</v>
      </c>
      <c r="P392" s="3">
        <v>12525.39</v>
      </c>
      <c r="Q392" t="s">
        <v>26</v>
      </c>
      <c r="R392">
        <v>2025</v>
      </c>
      <c r="S392">
        <v>1</v>
      </c>
    </row>
    <row r="393" spans="1:19" x14ac:dyDescent="0.3">
      <c r="A393" t="s">
        <v>452</v>
      </c>
      <c r="B393" s="2">
        <v>45668</v>
      </c>
      <c r="C393" t="s">
        <v>64</v>
      </c>
      <c r="D393" t="s">
        <v>29</v>
      </c>
      <c r="E393" t="s">
        <v>22</v>
      </c>
      <c r="F393" t="s">
        <v>40</v>
      </c>
      <c r="G393" t="s">
        <v>31</v>
      </c>
      <c r="H393" t="s">
        <v>25</v>
      </c>
      <c r="I393">
        <v>3</v>
      </c>
      <c r="J393" s="3">
        <v>30799</v>
      </c>
      <c r="K393" s="4">
        <v>0</v>
      </c>
      <c r="L393" s="3">
        <v>92397</v>
      </c>
      <c r="M393" s="3">
        <v>0</v>
      </c>
      <c r="N393" s="3">
        <v>92397</v>
      </c>
      <c r="O393" s="3">
        <v>60429.59</v>
      </c>
      <c r="P393" s="3">
        <v>31967.41</v>
      </c>
      <c r="Q393" t="s">
        <v>26</v>
      </c>
      <c r="R393">
        <v>2025</v>
      </c>
      <c r="S393">
        <v>1</v>
      </c>
    </row>
    <row r="394" spans="1:19" x14ac:dyDescent="0.3">
      <c r="A394" t="s">
        <v>453</v>
      </c>
      <c r="B394" s="2">
        <v>45670</v>
      </c>
      <c r="C394" t="s">
        <v>64</v>
      </c>
      <c r="D394" t="s">
        <v>29</v>
      </c>
      <c r="E394" t="s">
        <v>56</v>
      </c>
      <c r="F394" t="s">
        <v>35</v>
      </c>
      <c r="G394" t="s">
        <v>31</v>
      </c>
      <c r="H394" t="s">
        <v>25</v>
      </c>
      <c r="I394">
        <v>2</v>
      </c>
      <c r="J394" s="3">
        <v>31412</v>
      </c>
      <c r="K394" s="4">
        <v>0</v>
      </c>
      <c r="L394" s="3">
        <v>62824</v>
      </c>
      <c r="M394" s="3">
        <v>0</v>
      </c>
      <c r="N394" s="3">
        <v>62824</v>
      </c>
      <c r="O394" s="3">
        <v>37546.160000000003</v>
      </c>
      <c r="P394" s="3">
        <v>25277.84</v>
      </c>
      <c r="Q394" t="s">
        <v>26</v>
      </c>
      <c r="R394">
        <v>2025</v>
      </c>
      <c r="S394">
        <v>1</v>
      </c>
    </row>
    <row r="395" spans="1:19" x14ac:dyDescent="0.3">
      <c r="A395" t="s">
        <v>454</v>
      </c>
      <c r="B395" s="2">
        <v>45671</v>
      </c>
      <c r="C395" t="s">
        <v>82</v>
      </c>
      <c r="D395" t="s">
        <v>21</v>
      </c>
      <c r="E395" t="s">
        <v>22</v>
      </c>
      <c r="F395" t="s">
        <v>23</v>
      </c>
      <c r="G395" t="s">
        <v>24</v>
      </c>
      <c r="H395" t="s">
        <v>25</v>
      </c>
      <c r="I395">
        <v>1</v>
      </c>
      <c r="J395" s="3">
        <v>42348</v>
      </c>
      <c r="K395" s="4">
        <v>0</v>
      </c>
      <c r="L395" s="3">
        <v>42348</v>
      </c>
      <c r="M395" s="3">
        <v>0</v>
      </c>
      <c r="N395" s="3">
        <v>42348</v>
      </c>
      <c r="O395" s="3">
        <v>26611.29</v>
      </c>
      <c r="P395" s="3">
        <v>15736.71</v>
      </c>
      <c r="Q395" t="s">
        <v>26</v>
      </c>
      <c r="R395">
        <v>2025</v>
      </c>
      <c r="S395">
        <v>1</v>
      </c>
    </row>
    <row r="396" spans="1:19" x14ac:dyDescent="0.3">
      <c r="A396" t="s">
        <v>455</v>
      </c>
      <c r="B396" s="2">
        <v>45671</v>
      </c>
      <c r="C396" t="s">
        <v>33</v>
      </c>
      <c r="D396" t="s">
        <v>34</v>
      </c>
      <c r="E396" t="s">
        <v>42</v>
      </c>
      <c r="F396" t="s">
        <v>40</v>
      </c>
      <c r="G396" t="s">
        <v>24</v>
      </c>
      <c r="H396" t="s">
        <v>25</v>
      </c>
      <c r="I396">
        <v>3</v>
      </c>
      <c r="J396" s="3">
        <v>38780</v>
      </c>
      <c r="K396" s="4">
        <v>0</v>
      </c>
      <c r="L396" s="3">
        <v>116340</v>
      </c>
      <c r="M396" s="3">
        <v>0</v>
      </c>
      <c r="N396" s="3">
        <v>116340</v>
      </c>
      <c r="O396" s="3">
        <v>78363.37</v>
      </c>
      <c r="P396" s="3">
        <v>37976.629999999997</v>
      </c>
      <c r="Q396" t="s">
        <v>26</v>
      </c>
      <c r="R396">
        <v>2025</v>
      </c>
      <c r="S396">
        <v>1</v>
      </c>
    </row>
    <row r="397" spans="1:19" x14ac:dyDescent="0.3">
      <c r="A397" t="s">
        <v>456</v>
      </c>
      <c r="B397" s="2">
        <v>45676</v>
      </c>
      <c r="C397" t="s">
        <v>75</v>
      </c>
      <c r="D397" t="s">
        <v>34</v>
      </c>
      <c r="E397" t="s">
        <v>44</v>
      </c>
      <c r="F397" t="s">
        <v>23</v>
      </c>
      <c r="G397" t="s">
        <v>31</v>
      </c>
      <c r="H397" t="s">
        <v>25</v>
      </c>
      <c r="I397">
        <v>3</v>
      </c>
      <c r="J397" s="3">
        <v>38963</v>
      </c>
      <c r="K397" s="4">
        <v>0</v>
      </c>
      <c r="L397" s="3">
        <v>116889</v>
      </c>
      <c r="M397" s="3">
        <v>0</v>
      </c>
      <c r="N397" s="3">
        <v>116889</v>
      </c>
      <c r="O397" s="3">
        <v>75882.5</v>
      </c>
      <c r="P397" s="3">
        <v>41006.5</v>
      </c>
      <c r="Q397" t="s">
        <v>26</v>
      </c>
      <c r="R397">
        <v>2025</v>
      </c>
      <c r="S397">
        <v>1</v>
      </c>
    </row>
    <row r="398" spans="1:19" x14ac:dyDescent="0.3">
      <c r="A398" t="s">
        <v>457</v>
      </c>
      <c r="B398" s="2">
        <v>45676</v>
      </c>
      <c r="C398" t="s">
        <v>33</v>
      </c>
      <c r="D398" t="s">
        <v>34</v>
      </c>
      <c r="E398" t="s">
        <v>22</v>
      </c>
      <c r="F398" t="s">
        <v>23</v>
      </c>
      <c r="G398" t="s">
        <v>24</v>
      </c>
      <c r="H398" t="s">
        <v>25</v>
      </c>
      <c r="I398">
        <v>1</v>
      </c>
      <c r="J398" s="3">
        <v>43479</v>
      </c>
      <c r="K398" s="4">
        <v>0</v>
      </c>
      <c r="L398" s="3">
        <v>43479</v>
      </c>
      <c r="M398" s="3">
        <v>0</v>
      </c>
      <c r="N398" s="3">
        <v>43479</v>
      </c>
      <c r="O398" s="3">
        <v>24903.119999999999</v>
      </c>
      <c r="P398" s="3">
        <v>18575.88</v>
      </c>
      <c r="Q398" t="s">
        <v>26</v>
      </c>
      <c r="R398">
        <v>2025</v>
      </c>
      <c r="S398">
        <v>1</v>
      </c>
    </row>
    <row r="399" spans="1:19" x14ac:dyDescent="0.3">
      <c r="A399" t="s">
        <v>458</v>
      </c>
      <c r="B399" s="2">
        <v>45677</v>
      </c>
      <c r="C399" t="s">
        <v>46</v>
      </c>
      <c r="D399" t="s">
        <v>21</v>
      </c>
      <c r="E399" t="s">
        <v>42</v>
      </c>
      <c r="F399" t="s">
        <v>35</v>
      </c>
      <c r="G399" t="s">
        <v>24</v>
      </c>
      <c r="H399" t="s">
        <v>25</v>
      </c>
      <c r="I399">
        <v>1</v>
      </c>
      <c r="J399" s="3">
        <v>11473</v>
      </c>
      <c r="K399" s="4">
        <v>0</v>
      </c>
      <c r="L399" s="3">
        <v>11473</v>
      </c>
      <c r="M399" s="3">
        <v>0</v>
      </c>
      <c r="N399" s="3">
        <v>11473</v>
      </c>
      <c r="O399" s="3">
        <v>7002.02</v>
      </c>
      <c r="P399" s="3">
        <v>4470.9799999999996</v>
      </c>
      <c r="Q399" t="s">
        <v>26</v>
      </c>
      <c r="R399">
        <v>2025</v>
      </c>
      <c r="S399">
        <v>1</v>
      </c>
    </row>
    <row r="400" spans="1:19" x14ac:dyDescent="0.3">
      <c r="A400" t="s">
        <v>459</v>
      </c>
      <c r="B400" s="2">
        <v>45677</v>
      </c>
      <c r="C400" t="s">
        <v>71</v>
      </c>
      <c r="D400" t="s">
        <v>34</v>
      </c>
      <c r="E400" t="s">
        <v>22</v>
      </c>
      <c r="F400" t="s">
        <v>35</v>
      </c>
      <c r="G400" t="s">
        <v>24</v>
      </c>
      <c r="H400" t="s">
        <v>25</v>
      </c>
      <c r="I400">
        <v>1</v>
      </c>
      <c r="J400" s="3">
        <v>48405</v>
      </c>
      <c r="K400" s="4">
        <v>15</v>
      </c>
      <c r="L400" s="3">
        <v>48405</v>
      </c>
      <c r="M400" s="3">
        <v>7260.75</v>
      </c>
      <c r="N400" s="3">
        <v>41144.25</v>
      </c>
      <c r="O400" s="3">
        <v>26873.86</v>
      </c>
      <c r="P400" s="3">
        <v>14270.39</v>
      </c>
      <c r="Q400" t="s">
        <v>26</v>
      </c>
      <c r="R400">
        <v>2025</v>
      </c>
      <c r="S400">
        <v>1</v>
      </c>
    </row>
    <row r="401" spans="1:19" x14ac:dyDescent="0.3">
      <c r="A401" t="s">
        <v>460</v>
      </c>
      <c r="B401" s="2">
        <v>45678</v>
      </c>
      <c r="C401" t="s">
        <v>71</v>
      </c>
      <c r="D401" t="s">
        <v>34</v>
      </c>
      <c r="E401" t="s">
        <v>42</v>
      </c>
      <c r="F401" t="s">
        <v>37</v>
      </c>
      <c r="G401" t="s">
        <v>24</v>
      </c>
      <c r="H401" t="s">
        <v>25</v>
      </c>
      <c r="I401">
        <v>1</v>
      </c>
      <c r="J401" s="3">
        <v>53848</v>
      </c>
      <c r="K401" s="4">
        <v>0</v>
      </c>
      <c r="L401" s="3">
        <v>53848</v>
      </c>
      <c r="M401" s="3">
        <v>0</v>
      </c>
      <c r="N401" s="3">
        <v>53848</v>
      </c>
      <c r="O401" s="3">
        <v>34644.620000000003</v>
      </c>
      <c r="P401" s="3">
        <v>19203.38</v>
      </c>
      <c r="Q401" t="s">
        <v>26</v>
      </c>
      <c r="R401">
        <v>2025</v>
      </c>
      <c r="S401">
        <v>1</v>
      </c>
    </row>
    <row r="402" spans="1:19" x14ac:dyDescent="0.3">
      <c r="A402" t="s">
        <v>461</v>
      </c>
      <c r="B402" s="2">
        <v>45679</v>
      </c>
      <c r="C402" t="s">
        <v>64</v>
      </c>
      <c r="D402" t="s">
        <v>29</v>
      </c>
      <c r="E402" t="s">
        <v>56</v>
      </c>
      <c r="F402" t="s">
        <v>23</v>
      </c>
      <c r="G402" t="s">
        <v>24</v>
      </c>
      <c r="H402" t="s">
        <v>25</v>
      </c>
      <c r="I402">
        <v>3</v>
      </c>
      <c r="J402" s="3">
        <v>31144</v>
      </c>
      <c r="K402" s="4">
        <v>15</v>
      </c>
      <c r="L402" s="3">
        <v>93432</v>
      </c>
      <c r="M402" s="3">
        <v>14014.8</v>
      </c>
      <c r="N402" s="3">
        <v>79417.2</v>
      </c>
      <c r="O402" s="3">
        <v>52399.29</v>
      </c>
      <c r="P402" s="3">
        <v>27017.91</v>
      </c>
      <c r="Q402" t="s">
        <v>26</v>
      </c>
      <c r="R402">
        <v>2025</v>
      </c>
      <c r="S402">
        <v>1</v>
      </c>
    </row>
    <row r="403" spans="1:19" x14ac:dyDescent="0.3">
      <c r="A403" t="s">
        <v>462</v>
      </c>
      <c r="B403" s="2">
        <v>45680</v>
      </c>
      <c r="C403" t="s">
        <v>33</v>
      </c>
      <c r="D403" t="s">
        <v>34</v>
      </c>
      <c r="E403" t="s">
        <v>42</v>
      </c>
      <c r="F403" t="s">
        <v>23</v>
      </c>
      <c r="G403" t="s">
        <v>24</v>
      </c>
      <c r="H403" t="s">
        <v>25</v>
      </c>
      <c r="I403">
        <v>1</v>
      </c>
      <c r="J403" s="3">
        <v>40619</v>
      </c>
      <c r="K403" s="4">
        <v>0</v>
      </c>
      <c r="L403" s="3">
        <v>40619</v>
      </c>
      <c r="M403" s="3">
        <v>0</v>
      </c>
      <c r="N403" s="3">
        <v>40619</v>
      </c>
      <c r="O403" s="3">
        <v>19707.490000000002</v>
      </c>
      <c r="P403" s="3">
        <v>20911.509999999998</v>
      </c>
      <c r="Q403" t="s">
        <v>26</v>
      </c>
      <c r="R403">
        <v>2025</v>
      </c>
      <c r="S403">
        <v>1</v>
      </c>
    </row>
    <row r="404" spans="1:19" x14ac:dyDescent="0.3">
      <c r="A404" t="s">
        <v>463</v>
      </c>
      <c r="B404" s="2">
        <v>45680</v>
      </c>
      <c r="C404" t="s">
        <v>20</v>
      </c>
      <c r="D404" t="s">
        <v>21</v>
      </c>
      <c r="E404" t="s">
        <v>44</v>
      </c>
      <c r="F404" t="s">
        <v>40</v>
      </c>
      <c r="G404" t="s">
        <v>31</v>
      </c>
      <c r="H404" t="s">
        <v>25</v>
      </c>
      <c r="I404">
        <v>2</v>
      </c>
      <c r="J404" s="3">
        <v>15652</v>
      </c>
      <c r="K404" s="4">
        <v>0</v>
      </c>
      <c r="L404" s="3">
        <v>31304</v>
      </c>
      <c r="M404" s="3">
        <v>0</v>
      </c>
      <c r="N404" s="3">
        <v>31304</v>
      </c>
      <c r="O404" s="3">
        <v>18364.18</v>
      </c>
      <c r="P404" s="3">
        <v>12939.82</v>
      </c>
      <c r="Q404" t="s">
        <v>26</v>
      </c>
      <c r="R404">
        <v>2025</v>
      </c>
      <c r="S404">
        <v>1</v>
      </c>
    </row>
    <row r="405" spans="1:19" x14ac:dyDescent="0.3">
      <c r="A405" t="s">
        <v>464</v>
      </c>
      <c r="B405" s="2">
        <v>45681</v>
      </c>
      <c r="C405" t="s">
        <v>20</v>
      </c>
      <c r="D405" t="s">
        <v>21</v>
      </c>
      <c r="E405" t="s">
        <v>42</v>
      </c>
      <c r="F405" t="s">
        <v>37</v>
      </c>
      <c r="G405" t="s">
        <v>31</v>
      </c>
      <c r="H405" t="s">
        <v>25</v>
      </c>
      <c r="I405">
        <v>1</v>
      </c>
      <c r="J405" s="3">
        <v>16105</v>
      </c>
      <c r="K405" s="4">
        <v>0</v>
      </c>
      <c r="L405" s="3">
        <v>16105</v>
      </c>
      <c r="M405" s="3">
        <v>0</v>
      </c>
      <c r="N405" s="3">
        <v>16105</v>
      </c>
      <c r="O405" s="3">
        <v>9974.65</v>
      </c>
      <c r="P405" s="3">
        <v>6130.35</v>
      </c>
      <c r="Q405" t="s">
        <v>26</v>
      </c>
      <c r="R405">
        <v>2025</v>
      </c>
      <c r="S405">
        <v>1</v>
      </c>
    </row>
    <row r="406" spans="1:19" x14ac:dyDescent="0.3">
      <c r="A406" t="s">
        <v>465</v>
      </c>
      <c r="B406" s="2">
        <v>45682</v>
      </c>
      <c r="C406" t="s">
        <v>48</v>
      </c>
      <c r="D406" t="s">
        <v>34</v>
      </c>
      <c r="E406" t="s">
        <v>44</v>
      </c>
      <c r="F406" t="s">
        <v>40</v>
      </c>
      <c r="G406" t="s">
        <v>24</v>
      </c>
      <c r="H406" t="s">
        <v>25</v>
      </c>
      <c r="I406">
        <v>1</v>
      </c>
      <c r="J406" s="3">
        <v>25542</v>
      </c>
      <c r="K406" s="4">
        <v>0</v>
      </c>
      <c r="L406" s="3">
        <v>25542</v>
      </c>
      <c r="M406" s="3">
        <v>0</v>
      </c>
      <c r="N406" s="3">
        <v>25542</v>
      </c>
      <c r="O406" s="3">
        <v>16173.82</v>
      </c>
      <c r="P406" s="3">
        <v>9368.18</v>
      </c>
      <c r="Q406" t="s">
        <v>26</v>
      </c>
      <c r="R406">
        <v>2025</v>
      </c>
      <c r="S406">
        <v>1</v>
      </c>
    </row>
    <row r="407" spans="1:19" x14ac:dyDescent="0.3">
      <c r="A407" t="s">
        <v>466</v>
      </c>
      <c r="B407" s="2">
        <v>45682</v>
      </c>
      <c r="C407" t="s">
        <v>71</v>
      </c>
      <c r="D407" t="s">
        <v>34</v>
      </c>
      <c r="E407" t="s">
        <v>42</v>
      </c>
      <c r="F407" t="s">
        <v>40</v>
      </c>
      <c r="G407" t="s">
        <v>31</v>
      </c>
      <c r="H407" t="s">
        <v>25</v>
      </c>
      <c r="I407">
        <v>1</v>
      </c>
      <c r="J407" s="3">
        <v>48971</v>
      </c>
      <c r="K407" s="4">
        <v>0</v>
      </c>
      <c r="L407" s="3">
        <v>48971</v>
      </c>
      <c r="M407" s="3">
        <v>0</v>
      </c>
      <c r="N407" s="3">
        <v>48971</v>
      </c>
      <c r="O407" s="3">
        <v>28767.22</v>
      </c>
      <c r="P407" s="3">
        <v>20203.78</v>
      </c>
      <c r="Q407" t="s">
        <v>26</v>
      </c>
      <c r="R407">
        <v>2025</v>
      </c>
      <c r="S407">
        <v>1</v>
      </c>
    </row>
    <row r="408" spans="1:19" x14ac:dyDescent="0.3">
      <c r="A408" t="s">
        <v>467</v>
      </c>
      <c r="B408" s="2">
        <v>45683</v>
      </c>
      <c r="C408" t="s">
        <v>71</v>
      </c>
      <c r="D408" t="s">
        <v>34</v>
      </c>
      <c r="E408" t="s">
        <v>22</v>
      </c>
      <c r="F408" t="s">
        <v>40</v>
      </c>
      <c r="G408" t="s">
        <v>24</v>
      </c>
      <c r="H408" t="s">
        <v>25</v>
      </c>
      <c r="I408">
        <v>3</v>
      </c>
      <c r="J408" s="3">
        <v>51503</v>
      </c>
      <c r="K408" s="4">
        <v>0</v>
      </c>
      <c r="L408" s="3">
        <v>154509</v>
      </c>
      <c r="M408" s="3">
        <v>0</v>
      </c>
      <c r="N408" s="3">
        <v>154509</v>
      </c>
      <c r="O408" s="3">
        <v>90810.99</v>
      </c>
      <c r="P408" s="3">
        <v>63698.01</v>
      </c>
      <c r="Q408" t="s">
        <v>26</v>
      </c>
      <c r="R408">
        <v>2025</v>
      </c>
      <c r="S408">
        <v>1</v>
      </c>
    </row>
    <row r="409" spans="1:19" x14ac:dyDescent="0.3">
      <c r="A409" t="s">
        <v>468</v>
      </c>
      <c r="B409" s="2">
        <v>45684</v>
      </c>
      <c r="C409" t="s">
        <v>82</v>
      </c>
      <c r="D409" t="s">
        <v>21</v>
      </c>
      <c r="E409" t="s">
        <v>22</v>
      </c>
      <c r="F409" t="s">
        <v>40</v>
      </c>
      <c r="G409" t="s">
        <v>24</v>
      </c>
      <c r="H409" t="s">
        <v>25</v>
      </c>
      <c r="I409">
        <v>2</v>
      </c>
      <c r="J409" s="3">
        <v>45965</v>
      </c>
      <c r="K409" s="4">
        <v>0</v>
      </c>
      <c r="L409" s="3">
        <v>91930</v>
      </c>
      <c r="M409" s="3">
        <v>0</v>
      </c>
      <c r="N409" s="3">
        <v>91930</v>
      </c>
      <c r="O409" s="3">
        <v>56558.6</v>
      </c>
      <c r="P409" s="3">
        <v>35371.4</v>
      </c>
      <c r="Q409" t="s">
        <v>26</v>
      </c>
      <c r="R409">
        <v>2025</v>
      </c>
      <c r="S409">
        <v>1</v>
      </c>
    </row>
    <row r="410" spans="1:19" x14ac:dyDescent="0.3">
      <c r="A410" t="s">
        <v>469</v>
      </c>
      <c r="B410" s="2">
        <v>45687</v>
      </c>
      <c r="C410" t="s">
        <v>50</v>
      </c>
      <c r="D410" t="s">
        <v>34</v>
      </c>
      <c r="E410" t="s">
        <v>44</v>
      </c>
      <c r="F410" t="s">
        <v>40</v>
      </c>
      <c r="G410" t="s">
        <v>24</v>
      </c>
      <c r="H410" t="s">
        <v>25</v>
      </c>
      <c r="I410">
        <v>4</v>
      </c>
      <c r="J410" s="3">
        <v>18901</v>
      </c>
      <c r="K410" s="4">
        <v>10</v>
      </c>
      <c r="L410" s="3">
        <v>75604</v>
      </c>
      <c r="M410" s="3">
        <v>7560.4</v>
      </c>
      <c r="N410" s="3">
        <v>68043.600000000006</v>
      </c>
      <c r="O410" s="3">
        <v>48070.44</v>
      </c>
      <c r="P410" s="3">
        <v>19973.16</v>
      </c>
      <c r="Q410" t="s">
        <v>26</v>
      </c>
      <c r="R410">
        <v>2025</v>
      </c>
      <c r="S410">
        <v>1</v>
      </c>
    </row>
    <row r="411" spans="1:19" x14ac:dyDescent="0.3">
      <c r="A411" t="s">
        <v>470</v>
      </c>
      <c r="B411" s="2">
        <v>45687</v>
      </c>
      <c r="C411" t="s">
        <v>82</v>
      </c>
      <c r="D411" t="s">
        <v>21</v>
      </c>
      <c r="E411" t="s">
        <v>42</v>
      </c>
      <c r="F411" t="s">
        <v>40</v>
      </c>
      <c r="G411" t="s">
        <v>31</v>
      </c>
      <c r="H411" t="s">
        <v>25</v>
      </c>
      <c r="I411">
        <v>1</v>
      </c>
      <c r="J411" s="3">
        <v>41556</v>
      </c>
      <c r="K411" s="4">
        <v>0</v>
      </c>
      <c r="L411" s="3">
        <v>41556</v>
      </c>
      <c r="M411" s="3">
        <v>0</v>
      </c>
      <c r="N411" s="3">
        <v>41556</v>
      </c>
      <c r="O411" s="3">
        <v>23202.97</v>
      </c>
      <c r="P411" s="3">
        <v>18353.03</v>
      </c>
      <c r="Q411" t="s">
        <v>26</v>
      </c>
      <c r="R411">
        <v>2025</v>
      </c>
      <c r="S411">
        <v>1</v>
      </c>
    </row>
    <row r="412" spans="1:19" x14ac:dyDescent="0.3">
      <c r="A412" t="s">
        <v>471</v>
      </c>
      <c r="B412" s="2">
        <v>45687</v>
      </c>
      <c r="C412" t="s">
        <v>82</v>
      </c>
      <c r="D412" t="s">
        <v>21</v>
      </c>
      <c r="E412" t="s">
        <v>56</v>
      </c>
      <c r="F412" t="s">
        <v>23</v>
      </c>
      <c r="G412" t="s">
        <v>24</v>
      </c>
      <c r="H412" t="s">
        <v>25</v>
      </c>
      <c r="I412">
        <v>4</v>
      </c>
      <c r="J412" s="3">
        <v>47535</v>
      </c>
      <c r="K412" s="4">
        <v>0</v>
      </c>
      <c r="L412" s="3">
        <v>190140</v>
      </c>
      <c r="M412" s="3">
        <v>0</v>
      </c>
      <c r="N412" s="3">
        <v>0</v>
      </c>
      <c r="O412" s="3">
        <v>93155.73</v>
      </c>
      <c r="P412" s="3">
        <v>0</v>
      </c>
      <c r="Q412" t="s">
        <v>26</v>
      </c>
      <c r="R412">
        <v>2025</v>
      </c>
      <c r="S412">
        <v>1</v>
      </c>
    </row>
    <row r="413" spans="1:19" x14ac:dyDescent="0.3">
      <c r="A413" t="s">
        <v>472</v>
      </c>
      <c r="B413" s="2">
        <v>45687</v>
      </c>
      <c r="C413" t="s">
        <v>20</v>
      </c>
      <c r="D413" t="s">
        <v>21</v>
      </c>
      <c r="E413" t="s">
        <v>42</v>
      </c>
      <c r="F413" t="s">
        <v>30</v>
      </c>
      <c r="G413" t="s">
        <v>31</v>
      </c>
      <c r="H413" t="s">
        <v>25</v>
      </c>
      <c r="I413">
        <v>5</v>
      </c>
      <c r="J413" s="3">
        <v>15740</v>
      </c>
      <c r="K413" s="4">
        <v>0</v>
      </c>
      <c r="L413" s="3">
        <v>78700</v>
      </c>
      <c r="M413" s="3">
        <v>0</v>
      </c>
      <c r="N413" s="3">
        <v>78700</v>
      </c>
      <c r="O413" s="3">
        <v>37914.15</v>
      </c>
      <c r="P413" s="3">
        <v>40785.85</v>
      </c>
      <c r="Q413" t="s">
        <v>26</v>
      </c>
      <c r="R413">
        <v>2025</v>
      </c>
      <c r="S413">
        <v>1</v>
      </c>
    </row>
    <row r="414" spans="1:19" x14ac:dyDescent="0.3">
      <c r="A414" t="s">
        <v>473</v>
      </c>
      <c r="B414" s="2">
        <v>45688</v>
      </c>
      <c r="C414" t="s">
        <v>46</v>
      </c>
      <c r="D414" t="s">
        <v>21</v>
      </c>
      <c r="E414" t="s">
        <v>42</v>
      </c>
      <c r="F414" t="s">
        <v>30</v>
      </c>
      <c r="G414" t="s">
        <v>24</v>
      </c>
      <c r="H414" t="s">
        <v>25</v>
      </c>
      <c r="I414">
        <v>5</v>
      </c>
      <c r="J414" s="3">
        <v>11465</v>
      </c>
      <c r="K414" s="4">
        <v>0</v>
      </c>
      <c r="L414" s="3">
        <v>57325</v>
      </c>
      <c r="M414" s="3">
        <v>0</v>
      </c>
      <c r="N414" s="3">
        <v>0</v>
      </c>
      <c r="O414" s="3">
        <v>30446.9</v>
      </c>
      <c r="P414" s="3">
        <v>0</v>
      </c>
      <c r="Q414" t="s">
        <v>26</v>
      </c>
      <c r="R414">
        <v>2025</v>
      </c>
      <c r="S414">
        <v>1</v>
      </c>
    </row>
    <row r="415" spans="1:19" x14ac:dyDescent="0.3">
      <c r="A415" t="s">
        <v>474</v>
      </c>
      <c r="B415" s="2">
        <v>45688</v>
      </c>
      <c r="C415" t="s">
        <v>64</v>
      </c>
      <c r="D415" t="s">
        <v>29</v>
      </c>
      <c r="E415" t="s">
        <v>22</v>
      </c>
      <c r="F415" t="s">
        <v>40</v>
      </c>
      <c r="G415" t="s">
        <v>31</v>
      </c>
      <c r="H415" t="s">
        <v>25</v>
      </c>
      <c r="I415">
        <v>3</v>
      </c>
      <c r="J415" s="3">
        <v>29053</v>
      </c>
      <c r="K415" s="4">
        <v>0</v>
      </c>
      <c r="L415" s="3">
        <v>87159</v>
      </c>
      <c r="M415" s="3">
        <v>0</v>
      </c>
      <c r="N415" s="3">
        <v>87159</v>
      </c>
      <c r="O415" s="3">
        <v>51675.12</v>
      </c>
      <c r="P415" s="3">
        <v>35483.879999999997</v>
      </c>
      <c r="Q415" t="s">
        <v>26</v>
      </c>
      <c r="R415">
        <v>2025</v>
      </c>
      <c r="S415">
        <v>1</v>
      </c>
    </row>
    <row r="416" spans="1:19" x14ac:dyDescent="0.3">
      <c r="A416" t="s">
        <v>475</v>
      </c>
      <c r="B416" s="2">
        <v>45689</v>
      </c>
      <c r="C416" t="s">
        <v>28</v>
      </c>
      <c r="D416" t="s">
        <v>29</v>
      </c>
      <c r="E416" t="s">
        <v>22</v>
      </c>
      <c r="F416" t="s">
        <v>37</v>
      </c>
      <c r="G416" t="s">
        <v>24</v>
      </c>
      <c r="H416" t="s">
        <v>25</v>
      </c>
      <c r="I416">
        <v>1</v>
      </c>
      <c r="J416" s="3">
        <v>61749</v>
      </c>
      <c r="K416" s="4">
        <v>0</v>
      </c>
      <c r="L416" s="3">
        <v>61749</v>
      </c>
      <c r="M416" s="3">
        <v>0</v>
      </c>
      <c r="N416" s="3">
        <v>61749</v>
      </c>
      <c r="O416" s="3">
        <v>39754.79</v>
      </c>
      <c r="P416" s="3">
        <v>21994.21</v>
      </c>
      <c r="Q416" t="s">
        <v>91</v>
      </c>
      <c r="R416">
        <v>2025</v>
      </c>
      <c r="S416">
        <v>2</v>
      </c>
    </row>
    <row r="417" spans="1:19" x14ac:dyDescent="0.3">
      <c r="A417" t="s">
        <v>476</v>
      </c>
      <c r="B417" s="2">
        <v>45689</v>
      </c>
      <c r="C417" t="s">
        <v>75</v>
      </c>
      <c r="D417" t="s">
        <v>34</v>
      </c>
      <c r="E417" t="s">
        <v>22</v>
      </c>
      <c r="F417" t="s">
        <v>35</v>
      </c>
      <c r="G417" t="s">
        <v>24</v>
      </c>
      <c r="H417" t="s">
        <v>25</v>
      </c>
      <c r="I417">
        <v>2</v>
      </c>
      <c r="J417" s="3">
        <v>37496</v>
      </c>
      <c r="K417" s="4">
        <v>5</v>
      </c>
      <c r="L417" s="3">
        <v>74992</v>
      </c>
      <c r="M417" s="3">
        <v>3749.6</v>
      </c>
      <c r="N417" s="3">
        <v>71242.399999999994</v>
      </c>
      <c r="O417" s="3">
        <v>39055.75</v>
      </c>
      <c r="P417" s="3">
        <v>32186.65</v>
      </c>
      <c r="Q417" t="s">
        <v>91</v>
      </c>
      <c r="R417">
        <v>2025</v>
      </c>
      <c r="S417">
        <v>2</v>
      </c>
    </row>
    <row r="418" spans="1:19" x14ac:dyDescent="0.3">
      <c r="A418" t="s">
        <v>477</v>
      </c>
      <c r="B418" s="2">
        <v>45689</v>
      </c>
      <c r="C418" t="s">
        <v>20</v>
      </c>
      <c r="D418" t="s">
        <v>21</v>
      </c>
      <c r="E418" t="s">
        <v>42</v>
      </c>
      <c r="F418" t="s">
        <v>40</v>
      </c>
      <c r="G418" t="s">
        <v>24</v>
      </c>
      <c r="H418" t="s">
        <v>94</v>
      </c>
      <c r="I418">
        <v>2</v>
      </c>
      <c r="J418" s="3">
        <v>14684</v>
      </c>
      <c r="K418" s="4">
        <v>10</v>
      </c>
      <c r="L418" s="3">
        <v>29368</v>
      </c>
      <c r="M418" s="3">
        <v>2936.8</v>
      </c>
      <c r="N418" s="3">
        <v>26431.200000000001</v>
      </c>
      <c r="O418" s="3">
        <v>18011.18</v>
      </c>
      <c r="P418" s="3">
        <v>8420.02</v>
      </c>
      <c r="Q418" t="s">
        <v>91</v>
      </c>
      <c r="R418">
        <v>2025</v>
      </c>
      <c r="S418">
        <v>2</v>
      </c>
    </row>
    <row r="419" spans="1:19" x14ac:dyDescent="0.3">
      <c r="A419" t="s">
        <v>478</v>
      </c>
      <c r="B419" s="2">
        <v>45690</v>
      </c>
      <c r="C419" t="s">
        <v>20</v>
      </c>
      <c r="D419" t="s">
        <v>21</v>
      </c>
      <c r="E419" t="s">
        <v>22</v>
      </c>
      <c r="F419" t="s">
        <v>23</v>
      </c>
      <c r="G419" t="s">
        <v>24</v>
      </c>
      <c r="H419" t="s">
        <v>25</v>
      </c>
      <c r="I419">
        <v>2</v>
      </c>
      <c r="J419" s="3">
        <v>15651</v>
      </c>
      <c r="K419" s="4">
        <v>0</v>
      </c>
      <c r="L419" s="3">
        <v>31302</v>
      </c>
      <c r="M419" s="3">
        <v>0</v>
      </c>
      <c r="N419" s="3">
        <v>31302</v>
      </c>
      <c r="O419" s="3">
        <v>19434.7</v>
      </c>
      <c r="P419" s="3">
        <v>11867.3</v>
      </c>
      <c r="Q419" t="s">
        <v>91</v>
      </c>
      <c r="R419">
        <v>2025</v>
      </c>
      <c r="S419">
        <v>2</v>
      </c>
    </row>
    <row r="420" spans="1:19" x14ac:dyDescent="0.3">
      <c r="A420" t="s">
        <v>479</v>
      </c>
      <c r="B420" s="2">
        <v>45691</v>
      </c>
      <c r="C420" t="s">
        <v>48</v>
      </c>
      <c r="D420" t="s">
        <v>34</v>
      </c>
      <c r="E420" t="s">
        <v>22</v>
      </c>
      <c r="F420" t="s">
        <v>40</v>
      </c>
      <c r="G420" t="s">
        <v>24</v>
      </c>
      <c r="H420" t="s">
        <v>94</v>
      </c>
      <c r="I420">
        <v>1</v>
      </c>
      <c r="J420" s="3">
        <v>25271</v>
      </c>
      <c r="K420" s="4">
        <v>5</v>
      </c>
      <c r="L420" s="3">
        <v>25271</v>
      </c>
      <c r="M420" s="3">
        <v>1263.55</v>
      </c>
      <c r="N420" s="3">
        <v>24007.45</v>
      </c>
      <c r="O420" s="3">
        <v>16872.52</v>
      </c>
      <c r="P420" s="3">
        <v>7134.93</v>
      </c>
      <c r="Q420" t="s">
        <v>91</v>
      </c>
      <c r="R420">
        <v>2025</v>
      </c>
      <c r="S420">
        <v>2</v>
      </c>
    </row>
    <row r="421" spans="1:19" x14ac:dyDescent="0.3">
      <c r="A421" t="s">
        <v>480</v>
      </c>
      <c r="B421" s="2">
        <v>45692</v>
      </c>
      <c r="C421" t="s">
        <v>46</v>
      </c>
      <c r="D421" t="s">
        <v>21</v>
      </c>
      <c r="E421" t="s">
        <v>22</v>
      </c>
      <c r="F421" t="s">
        <v>40</v>
      </c>
      <c r="G421" t="s">
        <v>31</v>
      </c>
      <c r="H421" t="s">
        <v>94</v>
      </c>
      <c r="I421">
        <v>1</v>
      </c>
      <c r="J421" s="3">
        <v>12397</v>
      </c>
      <c r="K421" s="4">
        <v>10</v>
      </c>
      <c r="L421" s="3">
        <v>12397</v>
      </c>
      <c r="M421" s="3">
        <v>1239.7</v>
      </c>
      <c r="N421" s="3">
        <v>11157.3</v>
      </c>
      <c r="O421" s="3">
        <v>8031.62</v>
      </c>
      <c r="P421" s="3">
        <v>3125.68</v>
      </c>
      <c r="Q421" t="s">
        <v>91</v>
      </c>
      <c r="R421">
        <v>2025</v>
      </c>
      <c r="S421">
        <v>2</v>
      </c>
    </row>
    <row r="422" spans="1:19" x14ac:dyDescent="0.3">
      <c r="A422" t="s">
        <v>481</v>
      </c>
      <c r="B422" s="2">
        <v>45692</v>
      </c>
      <c r="C422" t="s">
        <v>48</v>
      </c>
      <c r="D422" t="s">
        <v>34</v>
      </c>
      <c r="E422" t="s">
        <v>42</v>
      </c>
      <c r="F422" t="s">
        <v>40</v>
      </c>
      <c r="G422" t="s">
        <v>31</v>
      </c>
      <c r="H422" t="s">
        <v>94</v>
      </c>
      <c r="I422">
        <v>2</v>
      </c>
      <c r="J422" s="3">
        <v>24731</v>
      </c>
      <c r="K422" s="4">
        <v>10</v>
      </c>
      <c r="L422" s="3">
        <v>49462</v>
      </c>
      <c r="M422" s="3">
        <v>4946.2</v>
      </c>
      <c r="N422" s="3">
        <v>44515.8</v>
      </c>
      <c r="O422" s="3">
        <v>29167.58</v>
      </c>
      <c r="P422" s="3">
        <v>15348.22</v>
      </c>
      <c r="Q422" t="s">
        <v>91</v>
      </c>
      <c r="R422">
        <v>2025</v>
      </c>
      <c r="S422">
        <v>2</v>
      </c>
    </row>
    <row r="423" spans="1:19" x14ac:dyDescent="0.3">
      <c r="A423" t="s">
        <v>482</v>
      </c>
      <c r="B423" s="2">
        <v>45692</v>
      </c>
      <c r="C423" t="s">
        <v>20</v>
      </c>
      <c r="D423" t="s">
        <v>21</v>
      </c>
      <c r="E423" t="s">
        <v>42</v>
      </c>
      <c r="F423" t="s">
        <v>40</v>
      </c>
      <c r="G423" t="s">
        <v>31</v>
      </c>
      <c r="H423" t="s">
        <v>25</v>
      </c>
      <c r="I423">
        <v>4</v>
      </c>
      <c r="J423" s="3">
        <v>14007</v>
      </c>
      <c r="K423" s="4">
        <v>0</v>
      </c>
      <c r="L423" s="3">
        <v>56028</v>
      </c>
      <c r="M423" s="3">
        <v>0</v>
      </c>
      <c r="N423" s="3">
        <v>56028</v>
      </c>
      <c r="O423" s="3">
        <v>31491.14</v>
      </c>
      <c r="P423" s="3">
        <v>24536.86</v>
      </c>
      <c r="Q423" t="s">
        <v>91</v>
      </c>
      <c r="R423">
        <v>2025</v>
      </c>
      <c r="S423">
        <v>2</v>
      </c>
    </row>
    <row r="424" spans="1:19" x14ac:dyDescent="0.3">
      <c r="A424" t="s">
        <v>483</v>
      </c>
      <c r="B424" s="2">
        <v>45692</v>
      </c>
      <c r="C424" t="s">
        <v>48</v>
      </c>
      <c r="D424" t="s">
        <v>34</v>
      </c>
      <c r="E424" t="s">
        <v>44</v>
      </c>
      <c r="F424" t="s">
        <v>40</v>
      </c>
      <c r="G424" t="s">
        <v>31</v>
      </c>
      <c r="H424" t="s">
        <v>94</v>
      </c>
      <c r="I424">
        <v>1</v>
      </c>
      <c r="J424" s="3">
        <v>23224</v>
      </c>
      <c r="K424" s="4">
        <v>10</v>
      </c>
      <c r="L424" s="3">
        <v>23224</v>
      </c>
      <c r="M424" s="3">
        <v>2322.4</v>
      </c>
      <c r="N424" s="3">
        <v>20901.599999999999</v>
      </c>
      <c r="O424" s="3">
        <v>15453.76</v>
      </c>
      <c r="P424" s="3">
        <v>5447.84</v>
      </c>
      <c r="Q424" t="s">
        <v>91</v>
      </c>
      <c r="R424">
        <v>2025</v>
      </c>
      <c r="S424">
        <v>2</v>
      </c>
    </row>
    <row r="425" spans="1:19" x14ac:dyDescent="0.3">
      <c r="A425" t="s">
        <v>484</v>
      </c>
      <c r="B425" s="2">
        <v>45693</v>
      </c>
      <c r="C425" t="s">
        <v>20</v>
      </c>
      <c r="D425" t="s">
        <v>21</v>
      </c>
      <c r="E425" t="s">
        <v>22</v>
      </c>
      <c r="F425" t="s">
        <v>30</v>
      </c>
      <c r="G425" t="s">
        <v>31</v>
      </c>
      <c r="H425" t="s">
        <v>94</v>
      </c>
      <c r="I425">
        <v>1</v>
      </c>
      <c r="J425" s="3">
        <v>16024</v>
      </c>
      <c r="K425" s="4">
        <v>20</v>
      </c>
      <c r="L425" s="3">
        <v>16024</v>
      </c>
      <c r="M425" s="3">
        <v>3204.8</v>
      </c>
      <c r="N425" s="3">
        <v>12819.2</v>
      </c>
      <c r="O425" s="3">
        <v>10390.07</v>
      </c>
      <c r="P425" s="3">
        <v>2429.13</v>
      </c>
      <c r="Q425" t="s">
        <v>91</v>
      </c>
      <c r="R425">
        <v>2025</v>
      </c>
      <c r="S425">
        <v>2</v>
      </c>
    </row>
    <row r="426" spans="1:19" x14ac:dyDescent="0.3">
      <c r="A426" t="s">
        <v>485</v>
      </c>
      <c r="B426" s="2">
        <v>45693</v>
      </c>
      <c r="C426" t="s">
        <v>46</v>
      </c>
      <c r="D426" t="s">
        <v>21</v>
      </c>
      <c r="E426" t="s">
        <v>56</v>
      </c>
      <c r="F426" t="s">
        <v>40</v>
      </c>
      <c r="G426" t="s">
        <v>31</v>
      </c>
      <c r="H426" t="s">
        <v>94</v>
      </c>
      <c r="I426">
        <v>3</v>
      </c>
      <c r="J426" s="3">
        <v>12833</v>
      </c>
      <c r="K426" s="4">
        <v>5</v>
      </c>
      <c r="L426" s="3">
        <v>38499</v>
      </c>
      <c r="M426" s="3">
        <v>1924.95</v>
      </c>
      <c r="N426" s="3">
        <v>36574.050000000003</v>
      </c>
      <c r="O426" s="3">
        <v>24633.49</v>
      </c>
      <c r="P426" s="3">
        <v>11940.56</v>
      </c>
      <c r="Q426" t="s">
        <v>91</v>
      </c>
      <c r="R426">
        <v>2025</v>
      </c>
      <c r="S426">
        <v>2</v>
      </c>
    </row>
    <row r="427" spans="1:19" x14ac:dyDescent="0.3">
      <c r="A427" t="s">
        <v>486</v>
      </c>
      <c r="B427" s="2">
        <v>45693</v>
      </c>
      <c r="C427" t="s">
        <v>33</v>
      </c>
      <c r="D427" t="s">
        <v>34</v>
      </c>
      <c r="E427" t="s">
        <v>22</v>
      </c>
      <c r="F427" t="s">
        <v>37</v>
      </c>
      <c r="G427" t="s">
        <v>24</v>
      </c>
      <c r="H427" t="s">
        <v>94</v>
      </c>
      <c r="I427">
        <v>3</v>
      </c>
      <c r="J427" s="3">
        <v>44193</v>
      </c>
      <c r="K427" s="4">
        <v>10</v>
      </c>
      <c r="L427" s="3">
        <v>132579</v>
      </c>
      <c r="M427" s="3">
        <v>13257.9</v>
      </c>
      <c r="N427" s="3">
        <v>119321.1</v>
      </c>
      <c r="O427" s="3">
        <v>70997.289999999994</v>
      </c>
      <c r="P427" s="3">
        <v>48323.81</v>
      </c>
      <c r="Q427" t="s">
        <v>91</v>
      </c>
      <c r="R427">
        <v>2025</v>
      </c>
      <c r="S427">
        <v>2</v>
      </c>
    </row>
    <row r="428" spans="1:19" x14ac:dyDescent="0.3">
      <c r="A428" t="s">
        <v>487</v>
      </c>
      <c r="B428" s="2">
        <v>45694</v>
      </c>
      <c r="C428" t="s">
        <v>64</v>
      </c>
      <c r="D428" t="s">
        <v>29</v>
      </c>
      <c r="E428" t="s">
        <v>56</v>
      </c>
      <c r="F428" t="s">
        <v>40</v>
      </c>
      <c r="G428" t="s">
        <v>31</v>
      </c>
      <c r="H428" t="s">
        <v>94</v>
      </c>
      <c r="I428">
        <v>2</v>
      </c>
      <c r="J428" s="3">
        <v>30375</v>
      </c>
      <c r="K428" s="4">
        <v>15</v>
      </c>
      <c r="L428" s="3">
        <v>60750</v>
      </c>
      <c r="M428" s="3">
        <v>9112.5</v>
      </c>
      <c r="N428" s="3">
        <v>51637.5</v>
      </c>
      <c r="O428" s="3">
        <v>39015.15</v>
      </c>
      <c r="P428" s="3">
        <v>12622.35</v>
      </c>
      <c r="Q428" t="s">
        <v>91</v>
      </c>
      <c r="R428">
        <v>2025</v>
      </c>
      <c r="S428">
        <v>2</v>
      </c>
    </row>
    <row r="429" spans="1:19" x14ac:dyDescent="0.3">
      <c r="A429" t="s">
        <v>488</v>
      </c>
      <c r="B429" s="2">
        <v>45695</v>
      </c>
      <c r="C429" t="s">
        <v>71</v>
      </c>
      <c r="D429" t="s">
        <v>34</v>
      </c>
      <c r="E429" t="s">
        <v>22</v>
      </c>
      <c r="F429" t="s">
        <v>23</v>
      </c>
      <c r="G429" t="s">
        <v>31</v>
      </c>
      <c r="H429" t="s">
        <v>94</v>
      </c>
      <c r="I429">
        <v>2</v>
      </c>
      <c r="J429" s="3">
        <v>50274</v>
      </c>
      <c r="K429" s="4">
        <v>15</v>
      </c>
      <c r="L429" s="3">
        <v>100548</v>
      </c>
      <c r="M429" s="3">
        <v>15082.2</v>
      </c>
      <c r="N429" s="3">
        <v>85465.8</v>
      </c>
      <c r="O429" s="3">
        <v>56902.04</v>
      </c>
      <c r="P429" s="3">
        <v>28563.759999999998</v>
      </c>
      <c r="Q429" t="s">
        <v>91</v>
      </c>
      <c r="R429">
        <v>2025</v>
      </c>
      <c r="S429">
        <v>2</v>
      </c>
    </row>
    <row r="430" spans="1:19" x14ac:dyDescent="0.3">
      <c r="A430" t="s">
        <v>489</v>
      </c>
      <c r="B430" s="2">
        <v>45696</v>
      </c>
      <c r="C430" t="s">
        <v>82</v>
      </c>
      <c r="D430" t="s">
        <v>21</v>
      </c>
      <c r="E430" t="s">
        <v>56</v>
      </c>
      <c r="F430" t="s">
        <v>40</v>
      </c>
      <c r="G430" t="s">
        <v>31</v>
      </c>
      <c r="H430" t="s">
        <v>94</v>
      </c>
      <c r="I430">
        <v>1</v>
      </c>
      <c r="J430" s="3">
        <v>46246</v>
      </c>
      <c r="K430" s="4">
        <v>20</v>
      </c>
      <c r="L430" s="3">
        <v>46246</v>
      </c>
      <c r="M430" s="3">
        <v>9249.2000000000007</v>
      </c>
      <c r="N430" s="3">
        <v>36996.800000000003</v>
      </c>
      <c r="O430" s="3">
        <v>30363.49</v>
      </c>
      <c r="P430" s="3">
        <v>6633.31</v>
      </c>
      <c r="Q430" t="s">
        <v>91</v>
      </c>
      <c r="R430">
        <v>2025</v>
      </c>
      <c r="S430">
        <v>2</v>
      </c>
    </row>
    <row r="431" spans="1:19" x14ac:dyDescent="0.3">
      <c r="A431" t="s">
        <v>490</v>
      </c>
      <c r="B431" s="2">
        <v>45697</v>
      </c>
      <c r="C431" t="s">
        <v>33</v>
      </c>
      <c r="D431" t="s">
        <v>34</v>
      </c>
      <c r="E431" t="s">
        <v>56</v>
      </c>
      <c r="F431" t="s">
        <v>35</v>
      </c>
      <c r="G431" t="s">
        <v>31</v>
      </c>
      <c r="H431" t="s">
        <v>94</v>
      </c>
      <c r="I431">
        <v>1</v>
      </c>
      <c r="J431" s="3">
        <v>40739</v>
      </c>
      <c r="K431" s="4">
        <v>5</v>
      </c>
      <c r="L431" s="3">
        <v>40739</v>
      </c>
      <c r="M431" s="3">
        <v>2036.95</v>
      </c>
      <c r="N431" s="3">
        <v>38702.050000000003</v>
      </c>
      <c r="O431" s="3">
        <v>24351.81</v>
      </c>
      <c r="P431" s="3">
        <v>14350.24</v>
      </c>
      <c r="Q431" t="s">
        <v>91</v>
      </c>
      <c r="R431">
        <v>2025</v>
      </c>
      <c r="S431">
        <v>2</v>
      </c>
    </row>
    <row r="432" spans="1:19" x14ac:dyDescent="0.3">
      <c r="A432" t="s">
        <v>491</v>
      </c>
      <c r="B432" s="2">
        <v>45698</v>
      </c>
      <c r="C432" t="s">
        <v>20</v>
      </c>
      <c r="D432" t="s">
        <v>21</v>
      </c>
      <c r="E432" t="s">
        <v>56</v>
      </c>
      <c r="F432" t="s">
        <v>40</v>
      </c>
      <c r="G432" t="s">
        <v>24</v>
      </c>
      <c r="H432" t="s">
        <v>25</v>
      </c>
      <c r="I432">
        <v>1</v>
      </c>
      <c r="J432" s="3">
        <v>14340</v>
      </c>
      <c r="K432" s="4">
        <v>5</v>
      </c>
      <c r="L432" s="3">
        <v>14340</v>
      </c>
      <c r="M432" s="3">
        <v>717</v>
      </c>
      <c r="N432" s="3">
        <v>13623</v>
      </c>
      <c r="O432" s="3">
        <v>9322.77</v>
      </c>
      <c r="P432" s="3">
        <v>4300.2299999999996</v>
      </c>
      <c r="Q432" t="s">
        <v>91</v>
      </c>
      <c r="R432">
        <v>2025</v>
      </c>
      <c r="S432">
        <v>2</v>
      </c>
    </row>
    <row r="433" spans="1:19" x14ac:dyDescent="0.3">
      <c r="A433" t="s">
        <v>492</v>
      </c>
      <c r="B433" s="2">
        <v>45699</v>
      </c>
      <c r="C433" t="s">
        <v>75</v>
      </c>
      <c r="D433" t="s">
        <v>34</v>
      </c>
      <c r="E433" t="s">
        <v>56</v>
      </c>
      <c r="F433" t="s">
        <v>30</v>
      </c>
      <c r="G433" t="s">
        <v>31</v>
      </c>
      <c r="H433" t="s">
        <v>94</v>
      </c>
      <c r="I433">
        <v>2</v>
      </c>
      <c r="J433" s="3">
        <v>37069</v>
      </c>
      <c r="K433" s="4">
        <v>10</v>
      </c>
      <c r="L433" s="3">
        <v>74138</v>
      </c>
      <c r="M433" s="3">
        <v>7413.8</v>
      </c>
      <c r="N433" s="3">
        <v>66724.2</v>
      </c>
      <c r="O433" s="3">
        <v>47366.48</v>
      </c>
      <c r="P433" s="3">
        <v>19357.72</v>
      </c>
      <c r="Q433" t="s">
        <v>91</v>
      </c>
      <c r="R433">
        <v>2025</v>
      </c>
      <c r="S433">
        <v>2</v>
      </c>
    </row>
    <row r="434" spans="1:19" x14ac:dyDescent="0.3">
      <c r="A434" t="s">
        <v>493</v>
      </c>
      <c r="B434" s="2">
        <v>45704</v>
      </c>
      <c r="C434" t="s">
        <v>64</v>
      </c>
      <c r="D434" t="s">
        <v>29</v>
      </c>
      <c r="E434" t="s">
        <v>22</v>
      </c>
      <c r="F434" t="s">
        <v>37</v>
      </c>
      <c r="G434" t="s">
        <v>24</v>
      </c>
      <c r="H434" t="s">
        <v>94</v>
      </c>
      <c r="I434">
        <v>2</v>
      </c>
      <c r="J434" s="3">
        <v>28658</v>
      </c>
      <c r="K434" s="4">
        <v>15</v>
      </c>
      <c r="L434" s="3">
        <v>57316</v>
      </c>
      <c r="M434" s="3">
        <v>8597.4</v>
      </c>
      <c r="N434" s="3">
        <v>48718.6</v>
      </c>
      <c r="O434" s="3">
        <v>38411.1</v>
      </c>
      <c r="P434" s="3">
        <v>10307.5</v>
      </c>
      <c r="Q434" t="s">
        <v>91</v>
      </c>
      <c r="R434">
        <v>2025</v>
      </c>
      <c r="S434">
        <v>2</v>
      </c>
    </row>
    <row r="435" spans="1:19" x14ac:dyDescent="0.3">
      <c r="A435" t="s">
        <v>494</v>
      </c>
      <c r="B435" s="2">
        <v>45705</v>
      </c>
      <c r="C435" t="s">
        <v>28</v>
      </c>
      <c r="D435" t="s">
        <v>29</v>
      </c>
      <c r="E435" t="s">
        <v>44</v>
      </c>
      <c r="F435" t="s">
        <v>37</v>
      </c>
      <c r="G435" t="s">
        <v>31</v>
      </c>
      <c r="H435" t="s">
        <v>25</v>
      </c>
      <c r="I435">
        <v>4</v>
      </c>
      <c r="J435" s="3">
        <v>60253</v>
      </c>
      <c r="K435" s="4">
        <v>0</v>
      </c>
      <c r="L435" s="3">
        <v>241012</v>
      </c>
      <c r="M435" s="3">
        <v>0</v>
      </c>
      <c r="N435" s="3">
        <v>241012</v>
      </c>
      <c r="O435" s="3">
        <v>149225.1</v>
      </c>
      <c r="P435" s="3">
        <v>91786.9</v>
      </c>
      <c r="Q435" t="s">
        <v>91</v>
      </c>
      <c r="R435">
        <v>2025</v>
      </c>
      <c r="S435">
        <v>2</v>
      </c>
    </row>
    <row r="436" spans="1:19" x14ac:dyDescent="0.3">
      <c r="A436" t="s">
        <v>495</v>
      </c>
      <c r="B436" s="2">
        <v>45709</v>
      </c>
      <c r="C436" t="s">
        <v>64</v>
      </c>
      <c r="D436" t="s">
        <v>29</v>
      </c>
      <c r="E436" t="s">
        <v>56</v>
      </c>
      <c r="F436" t="s">
        <v>23</v>
      </c>
      <c r="G436" t="s">
        <v>31</v>
      </c>
      <c r="H436" t="s">
        <v>94</v>
      </c>
      <c r="I436">
        <v>2</v>
      </c>
      <c r="J436" s="3">
        <v>28465</v>
      </c>
      <c r="K436" s="4">
        <v>10</v>
      </c>
      <c r="L436" s="3">
        <v>56930</v>
      </c>
      <c r="M436" s="3">
        <v>5693</v>
      </c>
      <c r="N436" s="3">
        <v>51237</v>
      </c>
      <c r="O436" s="3">
        <v>27451.97</v>
      </c>
      <c r="P436" s="3">
        <v>23785.03</v>
      </c>
      <c r="Q436" t="s">
        <v>91</v>
      </c>
      <c r="R436">
        <v>2025</v>
      </c>
      <c r="S436">
        <v>2</v>
      </c>
    </row>
    <row r="437" spans="1:19" x14ac:dyDescent="0.3">
      <c r="A437" t="s">
        <v>496</v>
      </c>
      <c r="B437" s="2">
        <v>45709</v>
      </c>
      <c r="C437" t="s">
        <v>48</v>
      </c>
      <c r="D437" t="s">
        <v>34</v>
      </c>
      <c r="E437" t="s">
        <v>56</v>
      </c>
      <c r="F437" t="s">
        <v>40</v>
      </c>
      <c r="G437" t="s">
        <v>31</v>
      </c>
      <c r="H437" t="s">
        <v>94</v>
      </c>
      <c r="I437">
        <v>3</v>
      </c>
      <c r="J437" s="3">
        <v>25539</v>
      </c>
      <c r="K437" s="4">
        <v>5</v>
      </c>
      <c r="L437" s="3">
        <v>76617</v>
      </c>
      <c r="M437" s="3">
        <v>3830.85</v>
      </c>
      <c r="N437" s="3">
        <v>72786.149999999994</v>
      </c>
      <c r="O437" s="3">
        <v>37857.01</v>
      </c>
      <c r="P437" s="3">
        <v>34929.14</v>
      </c>
      <c r="Q437" t="s">
        <v>91</v>
      </c>
      <c r="R437">
        <v>2025</v>
      </c>
      <c r="S437">
        <v>2</v>
      </c>
    </row>
    <row r="438" spans="1:19" x14ac:dyDescent="0.3">
      <c r="A438" t="s">
        <v>497</v>
      </c>
      <c r="B438" s="2">
        <v>45710</v>
      </c>
      <c r="C438" t="s">
        <v>33</v>
      </c>
      <c r="D438" t="s">
        <v>34</v>
      </c>
      <c r="E438" t="s">
        <v>56</v>
      </c>
      <c r="F438" t="s">
        <v>37</v>
      </c>
      <c r="G438" t="s">
        <v>24</v>
      </c>
      <c r="H438" t="s">
        <v>94</v>
      </c>
      <c r="I438">
        <v>3</v>
      </c>
      <c r="J438" s="3">
        <v>42697</v>
      </c>
      <c r="K438" s="4">
        <v>10</v>
      </c>
      <c r="L438" s="3">
        <v>128091</v>
      </c>
      <c r="M438" s="3">
        <v>12809.1</v>
      </c>
      <c r="N438" s="3">
        <v>115281.9</v>
      </c>
      <c r="O438" s="3">
        <v>82569.91</v>
      </c>
      <c r="P438" s="3">
        <v>32711.99</v>
      </c>
      <c r="Q438" t="s">
        <v>91</v>
      </c>
      <c r="R438">
        <v>2025</v>
      </c>
      <c r="S438">
        <v>2</v>
      </c>
    </row>
    <row r="439" spans="1:19" x14ac:dyDescent="0.3">
      <c r="A439" t="s">
        <v>498</v>
      </c>
      <c r="B439" s="2">
        <v>45710</v>
      </c>
      <c r="C439" t="s">
        <v>75</v>
      </c>
      <c r="D439" t="s">
        <v>34</v>
      </c>
      <c r="E439" t="s">
        <v>42</v>
      </c>
      <c r="F439" t="s">
        <v>23</v>
      </c>
      <c r="G439" t="s">
        <v>31</v>
      </c>
      <c r="H439" t="s">
        <v>25</v>
      </c>
      <c r="I439">
        <v>1</v>
      </c>
      <c r="J439" s="3">
        <v>37197</v>
      </c>
      <c r="K439" s="4">
        <v>0</v>
      </c>
      <c r="L439" s="3">
        <v>37197</v>
      </c>
      <c r="M439" s="3">
        <v>0</v>
      </c>
      <c r="N439" s="3">
        <v>37197</v>
      </c>
      <c r="O439" s="3">
        <v>18962.2</v>
      </c>
      <c r="P439" s="3">
        <v>18234.8</v>
      </c>
      <c r="Q439" t="s">
        <v>91</v>
      </c>
      <c r="R439">
        <v>2025</v>
      </c>
      <c r="S439">
        <v>2</v>
      </c>
    </row>
    <row r="440" spans="1:19" x14ac:dyDescent="0.3">
      <c r="A440" t="s">
        <v>499</v>
      </c>
      <c r="B440" s="2">
        <v>45711</v>
      </c>
      <c r="C440" t="s">
        <v>33</v>
      </c>
      <c r="D440" t="s">
        <v>34</v>
      </c>
      <c r="E440" t="s">
        <v>42</v>
      </c>
      <c r="F440" t="s">
        <v>40</v>
      </c>
      <c r="G440" t="s">
        <v>31</v>
      </c>
      <c r="H440" t="s">
        <v>25</v>
      </c>
      <c r="I440">
        <v>3</v>
      </c>
      <c r="J440" s="3">
        <v>39265</v>
      </c>
      <c r="K440" s="4">
        <v>0</v>
      </c>
      <c r="L440" s="3">
        <v>117795</v>
      </c>
      <c r="M440" s="3">
        <v>0</v>
      </c>
      <c r="N440" s="3">
        <v>117795</v>
      </c>
      <c r="O440" s="3">
        <v>69077.77</v>
      </c>
      <c r="P440" s="3">
        <v>48717.23</v>
      </c>
      <c r="Q440" t="s">
        <v>91</v>
      </c>
      <c r="R440">
        <v>2025</v>
      </c>
      <c r="S440">
        <v>2</v>
      </c>
    </row>
    <row r="441" spans="1:19" x14ac:dyDescent="0.3">
      <c r="A441" t="s">
        <v>500</v>
      </c>
      <c r="B441" s="2">
        <v>45711</v>
      </c>
      <c r="C441" t="s">
        <v>82</v>
      </c>
      <c r="D441" t="s">
        <v>21</v>
      </c>
      <c r="E441" t="s">
        <v>22</v>
      </c>
      <c r="F441" t="s">
        <v>37</v>
      </c>
      <c r="G441" t="s">
        <v>31</v>
      </c>
      <c r="H441" t="s">
        <v>25</v>
      </c>
      <c r="I441">
        <v>3</v>
      </c>
      <c r="J441" s="3">
        <v>43108</v>
      </c>
      <c r="K441" s="4">
        <v>0</v>
      </c>
      <c r="L441" s="3">
        <v>129324</v>
      </c>
      <c r="M441" s="3">
        <v>0</v>
      </c>
      <c r="N441" s="3">
        <v>129324</v>
      </c>
      <c r="O441" s="3">
        <v>75122.27</v>
      </c>
      <c r="P441" s="3">
        <v>54201.73</v>
      </c>
      <c r="Q441" t="s">
        <v>91</v>
      </c>
      <c r="R441">
        <v>2025</v>
      </c>
      <c r="S441">
        <v>2</v>
      </c>
    </row>
    <row r="442" spans="1:19" x14ac:dyDescent="0.3">
      <c r="A442" t="s">
        <v>501</v>
      </c>
      <c r="B442" s="2">
        <v>45713</v>
      </c>
      <c r="C442" t="s">
        <v>28</v>
      </c>
      <c r="D442" t="s">
        <v>29</v>
      </c>
      <c r="E442" t="s">
        <v>42</v>
      </c>
      <c r="F442" t="s">
        <v>37</v>
      </c>
      <c r="G442" t="s">
        <v>24</v>
      </c>
      <c r="H442" t="s">
        <v>25</v>
      </c>
      <c r="I442">
        <v>1</v>
      </c>
      <c r="J442" s="3">
        <v>67055</v>
      </c>
      <c r="K442" s="4">
        <v>0</v>
      </c>
      <c r="L442" s="3">
        <v>67055</v>
      </c>
      <c r="M442" s="3">
        <v>0</v>
      </c>
      <c r="N442" s="3">
        <v>67055</v>
      </c>
      <c r="O442" s="3">
        <v>37439.160000000003</v>
      </c>
      <c r="P442" s="3">
        <v>29615.84</v>
      </c>
      <c r="Q442" t="s">
        <v>91</v>
      </c>
      <c r="R442">
        <v>2025</v>
      </c>
      <c r="S442">
        <v>2</v>
      </c>
    </row>
    <row r="443" spans="1:19" x14ac:dyDescent="0.3">
      <c r="A443" t="s">
        <v>502</v>
      </c>
      <c r="B443" s="2">
        <v>45716</v>
      </c>
      <c r="C443" t="s">
        <v>28</v>
      </c>
      <c r="D443" t="s">
        <v>29</v>
      </c>
      <c r="E443" t="s">
        <v>42</v>
      </c>
      <c r="F443" t="s">
        <v>35</v>
      </c>
      <c r="G443" t="s">
        <v>31</v>
      </c>
      <c r="H443" t="s">
        <v>94</v>
      </c>
      <c r="I443">
        <v>1</v>
      </c>
      <c r="J443" s="3">
        <v>61645</v>
      </c>
      <c r="K443" s="4">
        <v>10</v>
      </c>
      <c r="L443" s="3">
        <v>61645</v>
      </c>
      <c r="M443" s="3">
        <v>6164.5</v>
      </c>
      <c r="N443" s="3">
        <v>55480.5</v>
      </c>
      <c r="O443" s="3">
        <v>36580.550000000003</v>
      </c>
      <c r="P443" s="3">
        <v>18899.95</v>
      </c>
      <c r="Q443" t="s">
        <v>91</v>
      </c>
      <c r="R443">
        <v>2025</v>
      </c>
      <c r="S443">
        <v>2</v>
      </c>
    </row>
    <row r="444" spans="1:19" x14ac:dyDescent="0.3">
      <c r="A444" t="s">
        <v>503</v>
      </c>
      <c r="B444" s="2">
        <v>45720</v>
      </c>
      <c r="C444" t="s">
        <v>71</v>
      </c>
      <c r="D444" t="s">
        <v>34</v>
      </c>
      <c r="E444" t="s">
        <v>56</v>
      </c>
      <c r="F444" t="s">
        <v>37</v>
      </c>
      <c r="G444" t="s">
        <v>31</v>
      </c>
      <c r="H444" t="s">
        <v>133</v>
      </c>
      <c r="I444">
        <v>2</v>
      </c>
      <c r="J444" s="3">
        <v>52736</v>
      </c>
      <c r="K444" s="4">
        <v>10</v>
      </c>
      <c r="L444" s="3">
        <v>105472</v>
      </c>
      <c r="M444" s="3">
        <v>10547.2</v>
      </c>
      <c r="N444" s="3">
        <v>94924.800000000003</v>
      </c>
      <c r="O444" s="3">
        <v>68318.53</v>
      </c>
      <c r="P444" s="3">
        <v>26606.27</v>
      </c>
      <c r="Q444" t="s">
        <v>131</v>
      </c>
      <c r="R444">
        <v>2025</v>
      </c>
      <c r="S444">
        <v>3</v>
      </c>
    </row>
    <row r="445" spans="1:19" x14ac:dyDescent="0.3">
      <c r="A445" t="s">
        <v>504</v>
      </c>
      <c r="B445" s="2">
        <v>45723</v>
      </c>
      <c r="C445" t="s">
        <v>71</v>
      </c>
      <c r="D445" t="s">
        <v>34</v>
      </c>
      <c r="E445" t="s">
        <v>44</v>
      </c>
      <c r="F445" t="s">
        <v>23</v>
      </c>
      <c r="G445" t="s">
        <v>31</v>
      </c>
      <c r="H445" t="s">
        <v>133</v>
      </c>
      <c r="I445">
        <v>2</v>
      </c>
      <c r="J445" s="3">
        <v>47447</v>
      </c>
      <c r="K445" s="4">
        <v>20</v>
      </c>
      <c r="L445" s="3">
        <v>94894</v>
      </c>
      <c r="M445" s="3">
        <v>18978.8</v>
      </c>
      <c r="N445" s="3">
        <v>75915.199999999997</v>
      </c>
      <c r="O445" s="3">
        <v>51891.7</v>
      </c>
      <c r="P445" s="3">
        <v>24023.5</v>
      </c>
      <c r="Q445" t="s">
        <v>131</v>
      </c>
      <c r="R445">
        <v>2025</v>
      </c>
      <c r="S445">
        <v>3</v>
      </c>
    </row>
    <row r="446" spans="1:19" x14ac:dyDescent="0.3">
      <c r="A446" t="s">
        <v>505</v>
      </c>
      <c r="B446" s="2">
        <v>45723</v>
      </c>
      <c r="C446" t="s">
        <v>28</v>
      </c>
      <c r="D446" t="s">
        <v>29</v>
      </c>
      <c r="E446" t="s">
        <v>56</v>
      </c>
      <c r="F446" t="s">
        <v>37</v>
      </c>
      <c r="G446" t="s">
        <v>31</v>
      </c>
      <c r="H446" t="s">
        <v>25</v>
      </c>
      <c r="I446">
        <v>1</v>
      </c>
      <c r="J446" s="3">
        <v>64798</v>
      </c>
      <c r="K446" s="4">
        <v>0</v>
      </c>
      <c r="L446" s="3">
        <v>64798</v>
      </c>
      <c r="M446" s="3">
        <v>0</v>
      </c>
      <c r="N446" s="3">
        <v>64798</v>
      </c>
      <c r="O446" s="3">
        <v>41702.39</v>
      </c>
      <c r="P446" s="3">
        <v>23095.61</v>
      </c>
      <c r="Q446" t="s">
        <v>131</v>
      </c>
      <c r="R446">
        <v>2025</v>
      </c>
      <c r="S446">
        <v>3</v>
      </c>
    </row>
    <row r="447" spans="1:19" x14ac:dyDescent="0.3">
      <c r="A447" t="s">
        <v>506</v>
      </c>
      <c r="B447" s="2">
        <v>45726</v>
      </c>
      <c r="C447" t="s">
        <v>46</v>
      </c>
      <c r="D447" t="s">
        <v>21</v>
      </c>
      <c r="E447" t="s">
        <v>44</v>
      </c>
      <c r="F447" t="s">
        <v>40</v>
      </c>
      <c r="G447" t="s">
        <v>24</v>
      </c>
      <c r="H447" t="s">
        <v>133</v>
      </c>
      <c r="I447">
        <v>1</v>
      </c>
      <c r="J447" s="3">
        <v>11842</v>
      </c>
      <c r="K447" s="4">
        <v>10</v>
      </c>
      <c r="L447" s="3">
        <v>11842</v>
      </c>
      <c r="M447" s="3">
        <v>1184.2</v>
      </c>
      <c r="N447" s="3">
        <v>10657.8</v>
      </c>
      <c r="O447" s="3">
        <v>6443.39</v>
      </c>
      <c r="P447" s="3">
        <v>4214.41</v>
      </c>
      <c r="Q447" t="s">
        <v>131</v>
      </c>
      <c r="R447">
        <v>2025</v>
      </c>
      <c r="S447">
        <v>3</v>
      </c>
    </row>
    <row r="448" spans="1:19" x14ac:dyDescent="0.3">
      <c r="A448" t="s">
        <v>507</v>
      </c>
      <c r="B448" s="2">
        <v>45726</v>
      </c>
      <c r="C448" t="s">
        <v>28</v>
      </c>
      <c r="D448" t="s">
        <v>29</v>
      </c>
      <c r="E448" t="s">
        <v>42</v>
      </c>
      <c r="F448" t="s">
        <v>35</v>
      </c>
      <c r="G448" t="s">
        <v>24</v>
      </c>
      <c r="H448" t="s">
        <v>133</v>
      </c>
      <c r="I448">
        <v>2</v>
      </c>
      <c r="J448" s="3">
        <v>64730</v>
      </c>
      <c r="K448" s="4">
        <v>15</v>
      </c>
      <c r="L448" s="3">
        <v>129460</v>
      </c>
      <c r="M448" s="3">
        <v>19419</v>
      </c>
      <c r="N448" s="3">
        <v>0</v>
      </c>
      <c r="O448" s="3">
        <v>62425.96</v>
      </c>
      <c r="P448" s="3">
        <v>0</v>
      </c>
      <c r="Q448" t="s">
        <v>131</v>
      </c>
      <c r="R448">
        <v>2025</v>
      </c>
      <c r="S448">
        <v>3</v>
      </c>
    </row>
    <row r="449" spans="1:19" x14ac:dyDescent="0.3">
      <c r="A449" t="s">
        <v>508</v>
      </c>
      <c r="B449" s="2">
        <v>45726</v>
      </c>
      <c r="C449" t="s">
        <v>64</v>
      </c>
      <c r="D449" t="s">
        <v>29</v>
      </c>
      <c r="E449" t="s">
        <v>22</v>
      </c>
      <c r="F449" t="s">
        <v>37</v>
      </c>
      <c r="G449" t="s">
        <v>31</v>
      </c>
      <c r="H449" t="s">
        <v>133</v>
      </c>
      <c r="I449">
        <v>2</v>
      </c>
      <c r="J449" s="3">
        <v>27930</v>
      </c>
      <c r="K449" s="4">
        <v>20</v>
      </c>
      <c r="L449" s="3">
        <v>55860</v>
      </c>
      <c r="M449" s="3">
        <v>11172</v>
      </c>
      <c r="N449" s="3">
        <v>44688</v>
      </c>
      <c r="O449" s="3">
        <v>30487.49</v>
      </c>
      <c r="P449" s="3">
        <v>14200.51</v>
      </c>
      <c r="Q449" t="s">
        <v>131</v>
      </c>
      <c r="R449">
        <v>2025</v>
      </c>
      <c r="S449">
        <v>3</v>
      </c>
    </row>
    <row r="450" spans="1:19" x14ac:dyDescent="0.3">
      <c r="A450" t="s">
        <v>509</v>
      </c>
      <c r="B450" s="2">
        <v>45729</v>
      </c>
      <c r="C450" t="s">
        <v>46</v>
      </c>
      <c r="D450" t="s">
        <v>21</v>
      </c>
      <c r="E450" t="s">
        <v>22</v>
      </c>
      <c r="F450" t="s">
        <v>35</v>
      </c>
      <c r="G450" t="s">
        <v>24</v>
      </c>
      <c r="H450" t="s">
        <v>25</v>
      </c>
      <c r="I450">
        <v>4</v>
      </c>
      <c r="J450" s="3">
        <v>11284</v>
      </c>
      <c r="K450" s="4">
        <v>0</v>
      </c>
      <c r="L450" s="3">
        <v>45136</v>
      </c>
      <c r="M450" s="3">
        <v>0</v>
      </c>
      <c r="N450" s="3">
        <v>45136</v>
      </c>
      <c r="O450" s="3">
        <v>26463.94</v>
      </c>
      <c r="P450" s="3">
        <v>18672.060000000001</v>
      </c>
      <c r="Q450" t="s">
        <v>131</v>
      </c>
      <c r="R450">
        <v>2025</v>
      </c>
      <c r="S450">
        <v>3</v>
      </c>
    </row>
    <row r="451" spans="1:19" x14ac:dyDescent="0.3">
      <c r="A451" t="s">
        <v>510</v>
      </c>
      <c r="B451" s="2">
        <v>45729</v>
      </c>
      <c r="C451" t="s">
        <v>71</v>
      </c>
      <c r="D451" t="s">
        <v>34</v>
      </c>
      <c r="E451" t="s">
        <v>22</v>
      </c>
      <c r="F451" t="s">
        <v>40</v>
      </c>
      <c r="G451" t="s">
        <v>31</v>
      </c>
      <c r="H451" t="s">
        <v>133</v>
      </c>
      <c r="I451">
        <v>4</v>
      </c>
      <c r="J451" s="3">
        <v>47161</v>
      </c>
      <c r="K451" s="4">
        <v>10</v>
      </c>
      <c r="L451" s="3">
        <v>188644</v>
      </c>
      <c r="M451" s="3">
        <v>18864.400000000001</v>
      </c>
      <c r="N451" s="3">
        <v>169779.6</v>
      </c>
      <c r="O451" s="3">
        <v>126880.37</v>
      </c>
      <c r="P451" s="3">
        <v>42899.23</v>
      </c>
      <c r="Q451" t="s">
        <v>131</v>
      </c>
      <c r="R451">
        <v>2025</v>
      </c>
      <c r="S451">
        <v>3</v>
      </c>
    </row>
    <row r="452" spans="1:19" x14ac:dyDescent="0.3">
      <c r="A452" t="s">
        <v>511</v>
      </c>
      <c r="B452" s="2">
        <v>45733</v>
      </c>
      <c r="C452" t="s">
        <v>48</v>
      </c>
      <c r="D452" t="s">
        <v>34</v>
      </c>
      <c r="E452" t="s">
        <v>56</v>
      </c>
      <c r="F452" t="s">
        <v>35</v>
      </c>
      <c r="G452" t="s">
        <v>24</v>
      </c>
      <c r="H452" t="s">
        <v>25</v>
      </c>
      <c r="I452">
        <v>1</v>
      </c>
      <c r="J452" s="3">
        <v>26641</v>
      </c>
      <c r="K452" s="4">
        <v>0</v>
      </c>
      <c r="L452" s="3">
        <v>26641</v>
      </c>
      <c r="M452" s="3">
        <v>0</v>
      </c>
      <c r="N452" s="3">
        <v>26641</v>
      </c>
      <c r="O452" s="3">
        <v>15445.02</v>
      </c>
      <c r="P452" s="3">
        <v>11195.98</v>
      </c>
      <c r="Q452" t="s">
        <v>131</v>
      </c>
      <c r="R452">
        <v>2025</v>
      </c>
      <c r="S452">
        <v>3</v>
      </c>
    </row>
    <row r="453" spans="1:19" x14ac:dyDescent="0.3">
      <c r="A453" t="s">
        <v>512</v>
      </c>
      <c r="B453" s="2">
        <v>45733</v>
      </c>
      <c r="C453" t="s">
        <v>33</v>
      </c>
      <c r="D453" t="s">
        <v>34</v>
      </c>
      <c r="E453" t="s">
        <v>42</v>
      </c>
      <c r="F453" t="s">
        <v>35</v>
      </c>
      <c r="G453" t="s">
        <v>24</v>
      </c>
      <c r="H453" t="s">
        <v>133</v>
      </c>
      <c r="I453">
        <v>3</v>
      </c>
      <c r="J453" s="3">
        <v>43897</v>
      </c>
      <c r="K453" s="4">
        <v>10</v>
      </c>
      <c r="L453" s="3">
        <v>131691</v>
      </c>
      <c r="M453" s="3">
        <v>13169.1</v>
      </c>
      <c r="N453" s="3">
        <v>118521.9</v>
      </c>
      <c r="O453" s="3">
        <v>71126.03</v>
      </c>
      <c r="P453" s="3">
        <v>47395.87</v>
      </c>
      <c r="Q453" t="s">
        <v>131</v>
      </c>
      <c r="R453">
        <v>2025</v>
      </c>
      <c r="S453">
        <v>3</v>
      </c>
    </row>
    <row r="454" spans="1:19" x14ac:dyDescent="0.3">
      <c r="A454" t="s">
        <v>513</v>
      </c>
      <c r="B454" s="2">
        <v>45733</v>
      </c>
      <c r="C454" t="s">
        <v>75</v>
      </c>
      <c r="D454" t="s">
        <v>34</v>
      </c>
      <c r="E454" t="s">
        <v>56</v>
      </c>
      <c r="F454" t="s">
        <v>37</v>
      </c>
      <c r="G454" t="s">
        <v>24</v>
      </c>
      <c r="H454" t="s">
        <v>133</v>
      </c>
      <c r="I454">
        <v>1</v>
      </c>
      <c r="J454" s="3">
        <v>38468</v>
      </c>
      <c r="K454" s="4">
        <v>15</v>
      </c>
      <c r="L454" s="3">
        <v>38468</v>
      </c>
      <c r="M454" s="3">
        <v>5770.2</v>
      </c>
      <c r="N454" s="3">
        <v>32697.8</v>
      </c>
      <c r="O454" s="3">
        <v>23057.3</v>
      </c>
      <c r="P454" s="3">
        <v>9640.5</v>
      </c>
      <c r="Q454" t="s">
        <v>131</v>
      </c>
      <c r="R454">
        <v>2025</v>
      </c>
      <c r="S454">
        <v>3</v>
      </c>
    </row>
    <row r="455" spans="1:19" x14ac:dyDescent="0.3">
      <c r="A455" t="s">
        <v>514</v>
      </c>
      <c r="B455" s="2">
        <v>45734</v>
      </c>
      <c r="C455" t="s">
        <v>71</v>
      </c>
      <c r="D455" t="s">
        <v>34</v>
      </c>
      <c r="E455" t="s">
        <v>22</v>
      </c>
      <c r="F455" t="s">
        <v>40</v>
      </c>
      <c r="G455" t="s">
        <v>24</v>
      </c>
      <c r="H455" t="s">
        <v>133</v>
      </c>
      <c r="I455">
        <v>1</v>
      </c>
      <c r="J455" s="3">
        <v>52412</v>
      </c>
      <c r="K455" s="4">
        <v>15</v>
      </c>
      <c r="L455" s="3">
        <v>52412</v>
      </c>
      <c r="M455" s="3">
        <v>7861.8</v>
      </c>
      <c r="N455" s="3">
        <v>44550.2</v>
      </c>
      <c r="O455" s="3">
        <v>35406.129999999997</v>
      </c>
      <c r="P455" s="3">
        <v>9144.07</v>
      </c>
      <c r="Q455" t="s">
        <v>131</v>
      </c>
      <c r="R455">
        <v>2025</v>
      </c>
      <c r="S455">
        <v>3</v>
      </c>
    </row>
    <row r="456" spans="1:19" x14ac:dyDescent="0.3">
      <c r="A456" t="s">
        <v>515</v>
      </c>
      <c r="B456" s="2">
        <v>45735</v>
      </c>
      <c r="C456" t="s">
        <v>28</v>
      </c>
      <c r="D456" t="s">
        <v>29</v>
      </c>
      <c r="E456" t="s">
        <v>44</v>
      </c>
      <c r="F456" t="s">
        <v>30</v>
      </c>
      <c r="G456" t="s">
        <v>31</v>
      </c>
      <c r="H456" t="s">
        <v>133</v>
      </c>
      <c r="I456">
        <v>4</v>
      </c>
      <c r="J456" s="3">
        <v>64164</v>
      </c>
      <c r="K456" s="4">
        <v>20</v>
      </c>
      <c r="L456" s="3">
        <v>256656</v>
      </c>
      <c r="M456" s="3">
        <v>51331.199999999997</v>
      </c>
      <c r="N456" s="3">
        <v>205324.79999999999</v>
      </c>
      <c r="O456" s="3">
        <v>125216.91</v>
      </c>
      <c r="P456" s="3">
        <v>80107.89</v>
      </c>
      <c r="Q456" t="s">
        <v>131</v>
      </c>
      <c r="R456">
        <v>2025</v>
      </c>
      <c r="S456">
        <v>3</v>
      </c>
    </row>
    <row r="457" spans="1:19" x14ac:dyDescent="0.3">
      <c r="A457" t="s">
        <v>516</v>
      </c>
      <c r="B457" s="2">
        <v>45736</v>
      </c>
      <c r="C457" t="s">
        <v>33</v>
      </c>
      <c r="D457" t="s">
        <v>34</v>
      </c>
      <c r="E457" t="s">
        <v>22</v>
      </c>
      <c r="F457" t="s">
        <v>37</v>
      </c>
      <c r="G457" t="s">
        <v>31</v>
      </c>
      <c r="H457" t="s">
        <v>25</v>
      </c>
      <c r="I457">
        <v>2</v>
      </c>
      <c r="J457" s="3">
        <v>40230</v>
      </c>
      <c r="K457" s="4">
        <v>0</v>
      </c>
      <c r="L457" s="3">
        <v>80460</v>
      </c>
      <c r="M457" s="3">
        <v>0</v>
      </c>
      <c r="N457" s="3">
        <v>80460</v>
      </c>
      <c r="O457" s="3">
        <v>45526.67</v>
      </c>
      <c r="P457" s="3">
        <v>34933.33</v>
      </c>
      <c r="Q457" t="s">
        <v>131</v>
      </c>
      <c r="R457">
        <v>2025</v>
      </c>
      <c r="S457">
        <v>3</v>
      </c>
    </row>
    <row r="458" spans="1:19" x14ac:dyDescent="0.3">
      <c r="A458" t="s">
        <v>517</v>
      </c>
      <c r="B458" s="2">
        <v>45736</v>
      </c>
      <c r="C458" t="s">
        <v>50</v>
      </c>
      <c r="D458" t="s">
        <v>34</v>
      </c>
      <c r="E458" t="s">
        <v>22</v>
      </c>
      <c r="F458" t="s">
        <v>37</v>
      </c>
      <c r="G458" t="s">
        <v>31</v>
      </c>
      <c r="H458" t="s">
        <v>133</v>
      </c>
      <c r="I458">
        <v>1</v>
      </c>
      <c r="J458" s="3">
        <v>17744</v>
      </c>
      <c r="K458" s="4">
        <v>10</v>
      </c>
      <c r="L458" s="3">
        <v>17744</v>
      </c>
      <c r="M458" s="3">
        <v>1774.4</v>
      </c>
      <c r="N458" s="3">
        <v>15969.6</v>
      </c>
      <c r="O458" s="3">
        <v>9288.82</v>
      </c>
      <c r="P458" s="3">
        <v>6680.78</v>
      </c>
      <c r="Q458" t="s">
        <v>131</v>
      </c>
      <c r="R458">
        <v>2025</v>
      </c>
      <c r="S458">
        <v>3</v>
      </c>
    </row>
    <row r="459" spans="1:19" x14ac:dyDescent="0.3">
      <c r="A459" t="s">
        <v>518</v>
      </c>
      <c r="B459" s="2">
        <v>45738</v>
      </c>
      <c r="C459" t="s">
        <v>71</v>
      </c>
      <c r="D459" t="s">
        <v>34</v>
      </c>
      <c r="E459" t="s">
        <v>56</v>
      </c>
      <c r="F459" t="s">
        <v>40</v>
      </c>
      <c r="G459" t="s">
        <v>31</v>
      </c>
      <c r="H459" t="s">
        <v>25</v>
      </c>
      <c r="I459">
        <v>1</v>
      </c>
      <c r="J459" s="3">
        <v>53507</v>
      </c>
      <c r="K459" s="4">
        <v>0</v>
      </c>
      <c r="L459" s="3">
        <v>53507</v>
      </c>
      <c r="M459" s="3">
        <v>0</v>
      </c>
      <c r="N459" s="3">
        <v>53507</v>
      </c>
      <c r="O459" s="3">
        <v>26895.22</v>
      </c>
      <c r="P459" s="3">
        <v>26611.78</v>
      </c>
      <c r="Q459" t="s">
        <v>131</v>
      </c>
      <c r="R459">
        <v>2025</v>
      </c>
      <c r="S459">
        <v>3</v>
      </c>
    </row>
    <row r="460" spans="1:19" x14ac:dyDescent="0.3">
      <c r="A460" t="s">
        <v>519</v>
      </c>
      <c r="B460" s="2">
        <v>45740</v>
      </c>
      <c r="C460" t="s">
        <v>64</v>
      </c>
      <c r="D460" t="s">
        <v>29</v>
      </c>
      <c r="E460" t="s">
        <v>56</v>
      </c>
      <c r="F460" t="s">
        <v>40</v>
      </c>
      <c r="G460" t="s">
        <v>24</v>
      </c>
      <c r="H460" t="s">
        <v>133</v>
      </c>
      <c r="I460">
        <v>1</v>
      </c>
      <c r="J460" s="3">
        <v>28202</v>
      </c>
      <c r="K460" s="4">
        <v>5</v>
      </c>
      <c r="L460" s="3">
        <v>28202</v>
      </c>
      <c r="M460" s="3">
        <v>1410.1</v>
      </c>
      <c r="N460" s="3">
        <v>26791.9</v>
      </c>
      <c r="O460" s="3">
        <v>18533.919999999998</v>
      </c>
      <c r="P460" s="3">
        <v>8257.98</v>
      </c>
      <c r="Q460" t="s">
        <v>131</v>
      </c>
      <c r="R460">
        <v>2025</v>
      </c>
      <c r="S460">
        <v>3</v>
      </c>
    </row>
    <row r="461" spans="1:19" x14ac:dyDescent="0.3">
      <c r="A461" t="s">
        <v>520</v>
      </c>
      <c r="B461" s="2">
        <v>45741</v>
      </c>
      <c r="C461" t="s">
        <v>33</v>
      </c>
      <c r="D461" t="s">
        <v>34</v>
      </c>
      <c r="E461" t="s">
        <v>42</v>
      </c>
      <c r="F461" t="s">
        <v>23</v>
      </c>
      <c r="G461" t="s">
        <v>31</v>
      </c>
      <c r="H461" t="s">
        <v>133</v>
      </c>
      <c r="I461">
        <v>1</v>
      </c>
      <c r="J461" s="3">
        <v>45019</v>
      </c>
      <c r="K461" s="4">
        <v>10</v>
      </c>
      <c r="L461" s="3">
        <v>45019</v>
      </c>
      <c r="M461" s="3">
        <v>4501.8999999999996</v>
      </c>
      <c r="N461" s="3">
        <v>40517.1</v>
      </c>
      <c r="O461" s="3">
        <v>23129.5</v>
      </c>
      <c r="P461" s="3">
        <v>17387.599999999999</v>
      </c>
      <c r="Q461" t="s">
        <v>131</v>
      </c>
      <c r="R461">
        <v>2025</v>
      </c>
      <c r="S461">
        <v>3</v>
      </c>
    </row>
    <row r="462" spans="1:19" x14ac:dyDescent="0.3">
      <c r="A462" t="s">
        <v>521</v>
      </c>
      <c r="B462" s="2">
        <v>45743</v>
      </c>
      <c r="C462" t="s">
        <v>20</v>
      </c>
      <c r="D462" t="s">
        <v>21</v>
      </c>
      <c r="E462" t="s">
        <v>56</v>
      </c>
      <c r="F462" t="s">
        <v>40</v>
      </c>
      <c r="G462" t="s">
        <v>31</v>
      </c>
      <c r="H462" t="s">
        <v>133</v>
      </c>
      <c r="I462">
        <v>2</v>
      </c>
      <c r="J462" s="3">
        <v>15923</v>
      </c>
      <c r="K462" s="4">
        <v>15</v>
      </c>
      <c r="L462" s="3">
        <v>31846</v>
      </c>
      <c r="M462" s="3">
        <v>4776.8999999999996</v>
      </c>
      <c r="N462" s="3">
        <v>27069.1</v>
      </c>
      <c r="O462" s="3">
        <v>18252.66</v>
      </c>
      <c r="P462" s="3">
        <v>8816.44</v>
      </c>
      <c r="Q462" t="s">
        <v>131</v>
      </c>
      <c r="R462">
        <v>2025</v>
      </c>
      <c r="S462">
        <v>3</v>
      </c>
    </row>
    <row r="463" spans="1:19" x14ac:dyDescent="0.3">
      <c r="A463" t="s">
        <v>522</v>
      </c>
      <c r="B463" s="2">
        <v>45744</v>
      </c>
      <c r="C463" t="s">
        <v>46</v>
      </c>
      <c r="D463" t="s">
        <v>21</v>
      </c>
      <c r="E463" t="s">
        <v>42</v>
      </c>
      <c r="F463" t="s">
        <v>40</v>
      </c>
      <c r="G463" t="s">
        <v>31</v>
      </c>
      <c r="H463" t="s">
        <v>133</v>
      </c>
      <c r="I463">
        <v>5</v>
      </c>
      <c r="J463" s="3">
        <v>11463</v>
      </c>
      <c r="K463" s="4">
        <v>10</v>
      </c>
      <c r="L463" s="3">
        <v>57315</v>
      </c>
      <c r="M463" s="3">
        <v>5731.5</v>
      </c>
      <c r="N463" s="3">
        <v>51583.5</v>
      </c>
      <c r="O463" s="3">
        <v>33729.550000000003</v>
      </c>
      <c r="P463" s="3">
        <v>17853.95</v>
      </c>
      <c r="Q463" t="s">
        <v>131</v>
      </c>
      <c r="R463">
        <v>2025</v>
      </c>
      <c r="S463">
        <v>3</v>
      </c>
    </row>
    <row r="464" spans="1:19" x14ac:dyDescent="0.3">
      <c r="A464" t="s">
        <v>523</v>
      </c>
      <c r="B464" s="2">
        <v>45744</v>
      </c>
      <c r="C464" t="s">
        <v>64</v>
      </c>
      <c r="D464" t="s">
        <v>29</v>
      </c>
      <c r="E464" t="s">
        <v>22</v>
      </c>
      <c r="F464" t="s">
        <v>30</v>
      </c>
      <c r="G464" t="s">
        <v>24</v>
      </c>
      <c r="H464" t="s">
        <v>25</v>
      </c>
      <c r="I464">
        <v>2</v>
      </c>
      <c r="J464" s="3">
        <v>30378</v>
      </c>
      <c r="K464" s="4">
        <v>0</v>
      </c>
      <c r="L464" s="3">
        <v>60756</v>
      </c>
      <c r="M464" s="3">
        <v>0</v>
      </c>
      <c r="N464" s="3">
        <v>60756</v>
      </c>
      <c r="O464" s="3">
        <v>31064.26</v>
      </c>
      <c r="P464" s="3">
        <v>29691.74</v>
      </c>
      <c r="Q464" t="s">
        <v>131</v>
      </c>
      <c r="R464">
        <v>2025</v>
      </c>
      <c r="S464">
        <v>3</v>
      </c>
    </row>
    <row r="465" spans="1:19" x14ac:dyDescent="0.3">
      <c r="A465" t="s">
        <v>524</v>
      </c>
      <c r="B465" s="2">
        <v>45744</v>
      </c>
      <c r="C465" t="s">
        <v>46</v>
      </c>
      <c r="D465" t="s">
        <v>21</v>
      </c>
      <c r="E465" t="s">
        <v>42</v>
      </c>
      <c r="F465" t="s">
        <v>40</v>
      </c>
      <c r="G465" t="s">
        <v>24</v>
      </c>
      <c r="H465" t="s">
        <v>25</v>
      </c>
      <c r="I465">
        <v>1</v>
      </c>
      <c r="J465" s="3">
        <v>11214</v>
      </c>
      <c r="K465" s="4">
        <v>0</v>
      </c>
      <c r="L465" s="3">
        <v>11214</v>
      </c>
      <c r="M465" s="3">
        <v>0</v>
      </c>
      <c r="N465" s="3">
        <v>11214</v>
      </c>
      <c r="O465" s="3">
        <v>6890.76</v>
      </c>
      <c r="P465" s="3">
        <v>4323.24</v>
      </c>
      <c r="Q465" t="s">
        <v>131</v>
      </c>
      <c r="R465">
        <v>2025</v>
      </c>
      <c r="S465">
        <v>3</v>
      </c>
    </row>
    <row r="466" spans="1:19" x14ac:dyDescent="0.3">
      <c r="A466" t="s">
        <v>525</v>
      </c>
      <c r="B466" s="2">
        <v>45745</v>
      </c>
      <c r="C466" t="s">
        <v>33</v>
      </c>
      <c r="D466" t="s">
        <v>34</v>
      </c>
      <c r="E466" t="s">
        <v>44</v>
      </c>
      <c r="F466" t="s">
        <v>40</v>
      </c>
      <c r="G466" t="s">
        <v>24</v>
      </c>
      <c r="H466" t="s">
        <v>133</v>
      </c>
      <c r="I466">
        <v>1</v>
      </c>
      <c r="J466" s="3">
        <v>42491</v>
      </c>
      <c r="K466" s="4">
        <v>5</v>
      </c>
      <c r="L466" s="3">
        <v>42491</v>
      </c>
      <c r="M466" s="3">
        <v>2124.5500000000002</v>
      </c>
      <c r="N466" s="3">
        <v>40366.449999999997</v>
      </c>
      <c r="O466" s="3">
        <v>23511.69</v>
      </c>
      <c r="P466" s="3">
        <v>16854.759999999998</v>
      </c>
      <c r="Q466" t="s">
        <v>131</v>
      </c>
      <c r="R466">
        <v>2025</v>
      </c>
      <c r="S466">
        <v>3</v>
      </c>
    </row>
    <row r="467" spans="1:19" x14ac:dyDescent="0.3">
      <c r="A467" t="s">
        <v>526</v>
      </c>
      <c r="B467" s="2">
        <v>45746</v>
      </c>
      <c r="C467" t="s">
        <v>48</v>
      </c>
      <c r="D467" t="s">
        <v>34</v>
      </c>
      <c r="E467" t="s">
        <v>22</v>
      </c>
      <c r="F467" t="s">
        <v>23</v>
      </c>
      <c r="G467" t="s">
        <v>31</v>
      </c>
      <c r="H467" t="s">
        <v>25</v>
      </c>
      <c r="I467">
        <v>1</v>
      </c>
      <c r="J467" s="3">
        <v>26539</v>
      </c>
      <c r="K467" s="4">
        <v>0</v>
      </c>
      <c r="L467" s="3">
        <v>26539</v>
      </c>
      <c r="M467" s="3">
        <v>0</v>
      </c>
      <c r="N467" s="3">
        <v>26539</v>
      </c>
      <c r="O467" s="3">
        <v>14884.35</v>
      </c>
      <c r="P467" s="3">
        <v>11654.65</v>
      </c>
      <c r="Q467" t="s">
        <v>131</v>
      </c>
      <c r="R467">
        <v>2025</v>
      </c>
      <c r="S467">
        <v>3</v>
      </c>
    </row>
    <row r="468" spans="1:19" x14ac:dyDescent="0.3">
      <c r="A468" t="s">
        <v>527</v>
      </c>
      <c r="B468" s="2">
        <v>45746</v>
      </c>
      <c r="C468" t="s">
        <v>20</v>
      </c>
      <c r="D468" t="s">
        <v>21</v>
      </c>
      <c r="E468" t="s">
        <v>22</v>
      </c>
      <c r="F468" t="s">
        <v>23</v>
      </c>
      <c r="G468" t="s">
        <v>24</v>
      </c>
      <c r="H468" t="s">
        <v>133</v>
      </c>
      <c r="I468">
        <v>1</v>
      </c>
      <c r="J468" s="3">
        <v>16090</v>
      </c>
      <c r="K468" s="4">
        <v>10</v>
      </c>
      <c r="L468" s="3">
        <v>16090</v>
      </c>
      <c r="M468" s="3">
        <v>1609</v>
      </c>
      <c r="N468" s="3">
        <v>14481</v>
      </c>
      <c r="O468" s="3">
        <v>10077.64</v>
      </c>
      <c r="P468" s="3">
        <v>4403.3599999999997</v>
      </c>
      <c r="Q468" t="s">
        <v>131</v>
      </c>
      <c r="R468">
        <v>2025</v>
      </c>
      <c r="S468">
        <v>3</v>
      </c>
    </row>
    <row r="469" spans="1:19" x14ac:dyDescent="0.3">
      <c r="A469" t="s">
        <v>528</v>
      </c>
      <c r="B469" s="2">
        <v>45747</v>
      </c>
      <c r="C469" t="s">
        <v>75</v>
      </c>
      <c r="D469" t="s">
        <v>34</v>
      </c>
      <c r="E469" t="s">
        <v>56</v>
      </c>
      <c r="F469" t="s">
        <v>40</v>
      </c>
      <c r="G469" t="s">
        <v>24</v>
      </c>
      <c r="H469" t="s">
        <v>133</v>
      </c>
      <c r="I469">
        <v>2</v>
      </c>
      <c r="J469" s="3">
        <v>35884</v>
      </c>
      <c r="K469" s="4">
        <v>15</v>
      </c>
      <c r="L469" s="3">
        <v>71768</v>
      </c>
      <c r="M469" s="3">
        <v>10765.2</v>
      </c>
      <c r="N469" s="3">
        <v>61002.8</v>
      </c>
      <c r="O469" s="3">
        <v>45655.38</v>
      </c>
      <c r="P469" s="3">
        <v>15347.42</v>
      </c>
      <c r="Q469" t="s">
        <v>131</v>
      </c>
      <c r="R469">
        <v>2025</v>
      </c>
      <c r="S469">
        <v>3</v>
      </c>
    </row>
    <row r="470" spans="1:19" x14ac:dyDescent="0.3">
      <c r="A470" t="s">
        <v>529</v>
      </c>
      <c r="B470" s="2">
        <v>45747</v>
      </c>
      <c r="C470" t="s">
        <v>64</v>
      </c>
      <c r="D470" t="s">
        <v>29</v>
      </c>
      <c r="E470" t="s">
        <v>56</v>
      </c>
      <c r="F470" t="s">
        <v>23</v>
      </c>
      <c r="G470" t="s">
        <v>24</v>
      </c>
      <c r="H470" t="s">
        <v>25</v>
      </c>
      <c r="I470">
        <v>2</v>
      </c>
      <c r="J470" s="3">
        <v>32075</v>
      </c>
      <c r="K470" s="4">
        <v>0</v>
      </c>
      <c r="L470" s="3">
        <v>64150</v>
      </c>
      <c r="M470" s="3">
        <v>0</v>
      </c>
      <c r="N470" s="3">
        <v>64150</v>
      </c>
      <c r="O470" s="3">
        <v>32980.81</v>
      </c>
      <c r="P470" s="3">
        <v>31169.19</v>
      </c>
      <c r="Q470" t="s">
        <v>131</v>
      </c>
      <c r="R470">
        <v>2025</v>
      </c>
      <c r="S470">
        <v>3</v>
      </c>
    </row>
    <row r="471" spans="1:19" x14ac:dyDescent="0.3">
      <c r="A471" t="s">
        <v>530</v>
      </c>
      <c r="B471" s="2">
        <v>45748</v>
      </c>
      <c r="C471" t="s">
        <v>46</v>
      </c>
      <c r="D471" t="s">
        <v>21</v>
      </c>
      <c r="E471" t="s">
        <v>22</v>
      </c>
      <c r="F471" t="s">
        <v>23</v>
      </c>
      <c r="G471" t="s">
        <v>24</v>
      </c>
      <c r="H471" t="s">
        <v>133</v>
      </c>
      <c r="I471">
        <v>2</v>
      </c>
      <c r="J471" s="3">
        <v>11766</v>
      </c>
      <c r="K471" s="4">
        <v>10</v>
      </c>
      <c r="L471" s="3">
        <v>23532</v>
      </c>
      <c r="M471" s="3">
        <v>2353.1999999999998</v>
      </c>
      <c r="N471" s="3">
        <v>21178.799999999999</v>
      </c>
      <c r="O471" s="3">
        <v>13239.61</v>
      </c>
      <c r="P471" s="3">
        <v>7939.19</v>
      </c>
      <c r="Q471" t="s">
        <v>165</v>
      </c>
      <c r="R471">
        <v>2025</v>
      </c>
      <c r="S471">
        <v>4</v>
      </c>
    </row>
    <row r="472" spans="1:19" x14ac:dyDescent="0.3">
      <c r="A472" t="s">
        <v>531</v>
      </c>
      <c r="B472" s="2">
        <v>45748</v>
      </c>
      <c r="C472" t="s">
        <v>46</v>
      </c>
      <c r="D472" t="s">
        <v>21</v>
      </c>
      <c r="E472" t="s">
        <v>44</v>
      </c>
      <c r="F472" t="s">
        <v>40</v>
      </c>
      <c r="G472" t="s">
        <v>31</v>
      </c>
      <c r="H472" t="s">
        <v>25</v>
      </c>
      <c r="I472">
        <v>4</v>
      </c>
      <c r="J472" s="3">
        <v>12248</v>
      </c>
      <c r="K472" s="4">
        <v>0</v>
      </c>
      <c r="L472" s="3">
        <v>48992</v>
      </c>
      <c r="M472" s="3">
        <v>0</v>
      </c>
      <c r="N472" s="3">
        <v>48992</v>
      </c>
      <c r="O472" s="3">
        <v>31362.75</v>
      </c>
      <c r="P472" s="3">
        <v>17629.25</v>
      </c>
      <c r="Q472" t="s">
        <v>165</v>
      </c>
      <c r="R472">
        <v>2025</v>
      </c>
      <c r="S472">
        <v>4</v>
      </c>
    </row>
    <row r="473" spans="1:19" x14ac:dyDescent="0.3">
      <c r="A473" t="s">
        <v>532</v>
      </c>
      <c r="B473" s="2">
        <v>45751</v>
      </c>
      <c r="C473" t="s">
        <v>64</v>
      </c>
      <c r="D473" t="s">
        <v>29</v>
      </c>
      <c r="E473" t="s">
        <v>22</v>
      </c>
      <c r="F473" t="s">
        <v>35</v>
      </c>
      <c r="G473" t="s">
        <v>31</v>
      </c>
      <c r="H473" t="s">
        <v>133</v>
      </c>
      <c r="I473">
        <v>1</v>
      </c>
      <c r="J473" s="3">
        <v>28021</v>
      </c>
      <c r="K473" s="4">
        <v>10</v>
      </c>
      <c r="L473" s="3">
        <v>28021</v>
      </c>
      <c r="M473" s="3">
        <v>2802.1</v>
      </c>
      <c r="N473" s="3">
        <v>25218.9</v>
      </c>
      <c r="O473" s="3">
        <v>13636.16</v>
      </c>
      <c r="P473" s="3">
        <v>11582.74</v>
      </c>
      <c r="Q473" t="s">
        <v>165</v>
      </c>
      <c r="R473">
        <v>2025</v>
      </c>
      <c r="S473">
        <v>4</v>
      </c>
    </row>
    <row r="474" spans="1:19" x14ac:dyDescent="0.3">
      <c r="A474" t="s">
        <v>533</v>
      </c>
      <c r="B474" s="2">
        <v>45751</v>
      </c>
      <c r="C474" t="s">
        <v>71</v>
      </c>
      <c r="D474" t="s">
        <v>34</v>
      </c>
      <c r="E474" t="s">
        <v>42</v>
      </c>
      <c r="F474" t="s">
        <v>40</v>
      </c>
      <c r="G474" t="s">
        <v>31</v>
      </c>
      <c r="H474" t="s">
        <v>25</v>
      </c>
      <c r="I474">
        <v>1</v>
      </c>
      <c r="J474" s="3">
        <v>48791</v>
      </c>
      <c r="K474" s="4">
        <v>0</v>
      </c>
      <c r="L474" s="3">
        <v>48791</v>
      </c>
      <c r="M474" s="3">
        <v>0</v>
      </c>
      <c r="N474" s="3">
        <v>48791</v>
      </c>
      <c r="O474" s="3">
        <v>31172.43</v>
      </c>
      <c r="P474" s="3">
        <v>17618.57</v>
      </c>
      <c r="Q474" t="s">
        <v>165</v>
      </c>
      <c r="R474">
        <v>2025</v>
      </c>
      <c r="S474">
        <v>4</v>
      </c>
    </row>
    <row r="475" spans="1:19" x14ac:dyDescent="0.3">
      <c r="A475" t="s">
        <v>534</v>
      </c>
      <c r="B475" s="2">
        <v>45752</v>
      </c>
      <c r="C475" t="s">
        <v>50</v>
      </c>
      <c r="D475" t="s">
        <v>34</v>
      </c>
      <c r="E475" t="s">
        <v>56</v>
      </c>
      <c r="F475" t="s">
        <v>30</v>
      </c>
      <c r="G475" t="s">
        <v>31</v>
      </c>
      <c r="H475" t="s">
        <v>133</v>
      </c>
      <c r="I475">
        <v>5</v>
      </c>
      <c r="J475" s="3">
        <v>18007</v>
      </c>
      <c r="K475" s="4">
        <v>10</v>
      </c>
      <c r="L475" s="3">
        <v>90035</v>
      </c>
      <c r="M475" s="3">
        <v>9003.5</v>
      </c>
      <c r="N475" s="3">
        <v>81031.5</v>
      </c>
      <c r="O475" s="3">
        <v>55846.25</v>
      </c>
      <c r="P475" s="3">
        <v>25185.25</v>
      </c>
      <c r="Q475" t="s">
        <v>165</v>
      </c>
      <c r="R475">
        <v>2025</v>
      </c>
      <c r="S475">
        <v>4</v>
      </c>
    </row>
    <row r="476" spans="1:19" x14ac:dyDescent="0.3">
      <c r="A476" t="s">
        <v>535</v>
      </c>
      <c r="B476" s="2">
        <v>45755</v>
      </c>
      <c r="C476" t="s">
        <v>28</v>
      </c>
      <c r="D476" t="s">
        <v>29</v>
      </c>
      <c r="E476" t="s">
        <v>42</v>
      </c>
      <c r="F476" t="s">
        <v>37</v>
      </c>
      <c r="G476" t="s">
        <v>31</v>
      </c>
      <c r="H476" t="s">
        <v>133</v>
      </c>
      <c r="I476">
        <v>2</v>
      </c>
      <c r="J476" s="3">
        <v>63354</v>
      </c>
      <c r="K476" s="4">
        <v>10</v>
      </c>
      <c r="L476" s="3">
        <v>126708</v>
      </c>
      <c r="M476" s="3">
        <v>12670.8</v>
      </c>
      <c r="N476" s="3">
        <v>114037.2</v>
      </c>
      <c r="O476" s="3">
        <v>66477.69</v>
      </c>
      <c r="P476" s="3">
        <v>47559.51</v>
      </c>
      <c r="Q476" t="s">
        <v>165</v>
      </c>
      <c r="R476">
        <v>2025</v>
      </c>
      <c r="S476">
        <v>4</v>
      </c>
    </row>
    <row r="477" spans="1:19" x14ac:dyDescent="0.3">
      <c r="A477" t="s">
        <v>536</v>
      </c>
      <c r="B477" s="2">
        <v>45757</v>
      </c>
      <c r="C477" t="s">
        <v>33</v>
      </c>
      <c r="D477" t="s">
        <v>34</v>
      </c>
      <c r="E477" t="s">
        <v>42</v>
      </c>
      <c r="F477" t="s">
        <v>37</v>
      </c>
      <c r="G477" t="s">
        <v>31</v>
      </c>
      <c r="H477" t="s">
        <v>25</v>
      </c>
      <c r="I477">
        <v>2</v>
      </c>
      <c r="J477" s="3">
        <v>44514</v>
      </c>
      <c r="K477" s="4">
        <v>10</v>
      </c>
      <c r="L477" s="3">
        <v>89028</v>
      </c>
      <c r="M477" s="3">
        <v>8902.7999999999993</v>
      </c>
      <c r="N477" s="3">
        <v>80125.2</v>
      </c>
      <c r="O477" s="3">
        <v>50316.29</v>
      </c>
      <c r="P477" s="3">
        <v>29808.91</v>
      </c>
      <c r="Q477" t="s">
        <v>165</v>
      </c>
      <c r="R477">
        <v>2025</v>
      </c>
      <c r="S477">
        <v>4</v>
      </c>
    </row>
    <row r="478" spans="1:19" x14ac:dyDescent="0.3">
      <c r="A478" t="s">
        <v>537</v>
      </c>
      <c r="B478" s="2">
        <v>45758</v>
      </c>
      <c r="C478" t="s">
        <v>48</v>
      </c>
      <c r="D478" t="s">
        <v>34</v>
      </c>
      <c r="E478" t="s">
        <v>22</v>
      </c>
      <c r="F478" t="s">
        <v>37</v>
      </c>
      <c r="G478" t="s">
        <v>24</v>
      </c>
      <c r="H478" t="s">
        <v>133</v>
      </c>
      <c r="I478">
        <v>3</v>
      </c>
      <c r="J478" s="3">
        <v>26851</v>
      </c>
      <c r="K478" s="4">
        <v>10</v>
      </c>
      <c r="L478" s="3">
        <v>80553</v>
      </c>
      <c r="M478" s="3">
        <v>8055.3</v>
      </c>
      <c r="N478" s="3">
        <v>72497.7</v>
      </c>
      <c r="O478" s="3">
        <v>48857.36</v>
      </c>
      <c r="P478" s="3">
        <v>23640.34</v>
      </c>
      <c r="Q478" t="s">
        <v>165</v>
      </c>
      <c r="R478">
        <v>2025</v>
      </c>
      <c r="S478">
        <v>4</v>
      </c>
    </row>
    <row r="479" spans="1:19" x14ac:dyDescent="0.3">
      <c r="A479" t="s">
        <v>538</v>
      </c>
      <c r="B479" s="2">
        <v>45759</v>
      </c>
      <c r="C479" t="s">
        <v>50</v>
      </c>
      <c r="D479" t="s">
        <v>34</v>
      </c>
      <c r="E479" t="s">
        <v>22</v>
      </c>
      <c r="F479" t="s">
        <v>35</v>
      </c>
      <c r="G479" t="s">
        <v>24</v>
      </c>
      <c r="H479" t="s">
        <v>133</v>
      </c>
      <c r="I479">
        <v>2</v>
      </c>
      <c r="J479" s="3">
        <v>16871</v>
      </c>
      <c r="K479" s="4">
        <v>15</v>
      </c>
      <c r="L479" s="3">
        <v>33742</v>
      </c>
      <c r="M479" s="3">
        <v>5061.3</v>
      </c>
      <c r="N479" s="3">
        <v>28680.7</v>
      </c>
      <c r="O479" s="3">
        <v>22755.27</v>
      </c>
      <c r="P479" s="3">
        <v>5925.43</v>
      </c>
      <c r="Q479" t="s">
        <v>165</v>
      </c>
      <c r="R479">
        <v>2025</v>
      </c>
      <c r="S479">
        <v>4</v>
      </c>
    </row>
    <row r="480" spans="1:19" x14ac:dyDescent="0.3">
      <c r="A480" t="s">
        <v>539</v>
      </c>
      <c r="B480" s="2">
        <v>45760</v>
      </c>
      <c r="C480" t="s">
        <v>64</v>
      </c>
      <c r="D480" t="s">
        <v>29</v>
      </c>
      <c r="E480" t="s">
        <v>56</v>
      </c>
      <c r="F480" t="s">
        <v>30</v>
      </c>
      <c r="G480" t="s">
        <v>31</v>
      </c>
      <c r="H480" t="s">
        <v>133</v>
      </c>
      <c r="I480">
        <v>2</v>
      </c>
      <c r="J480" s="3">
        <v>32296</v>
      </c>
      <c r="K480" s="4">
        <v>5</v>
      </c>
      <c r="L480" s="3">
        <v>64592</v>
      </c>
      <c r="M480" s="3">
        <v>3229.6</v>
      </c>
      <c r="N480" s="3">
        <v>61362.400000000001</v>
      </c>
      <c r="O480" s="3">
        <v>38199.089999999997</v>
      </c>
      <c r="P480" s="3">
        <v>23163.31</v>
      </c>
      <c r="Q480" t="s">
        <v>165</v>
      </c>
      <c r="R480">
        <v>2025</v>
      </c>
      <c r="S480">
        <v>4</v>
      </c>
    </row>
    <row r="481" spans="1:19" x14ac:dyDescent="0.3">
      <c r="A481" t="s">
        <v>540</v>
      </c>
      <c r="B481" s="2">
        <v>45761</v>
      </c>
      <c r="C481" t="s">
        <v>75</v>
      </c>
      <c r="D481" t="s">
        <v>34</v>
      </c>
      <c r="E481" t="s">
        <v>42</v>
      </c>
      <c r="F481" t="s">
        <v>40</v>
      </c>
      <c r="G481" t="s">
        <v>31</v>
      </c>
      <c r="H481" t="s">
        <v>133</v>
      </c>
      <c r="I481">
        <v>3</v>
      </c>
      <c r="J481" s="3">
        <v>38090</v>
      </c>
      <c r="K481" s="4">
        <v>15</v>
      </c>
      <c r="L481" s="3">
        <v>114270</v>
      </c>
      <c r="M481" s="3">
        <v>17140.5</v>
      </c>
      <c r="N481" s="3">
        <v>97129.5</v>
      </c>
      <c r="O481" s="3">
        <v>56759.15</v>
      </c>
      <c r="P481" s="3">
        <v>40370.35</v>
      </c>
      <c r="Q481" t="s">
        <v>165</v>
      </c>
      <c r="R481">
        <v>2025</v>
      </c>
      <c r="S481">
        <v>4</v>
      </c>
    </row>
    <row r="482" spans="1:19" x14ac:dyDescent="0.3">
      <c r="A482" t="s">
        <v>541</v>
      </c>
      <c r="B482" s="2">
        <v>45762</v>
      </c>
      <c r="C482" t="s">
        <v>64</v>
      </c>
      <c r="D482" t="s">
        <v>29</v>
      </c>
      <c r="E482" t="s">
        <v>44</v>
      </c>
      <c r="F482" t="s">
        <v>23</v>
      </c>
      <c r="G482" t="s">
        <v>31</v>
      </c>
      <c r="H482" t="s">
        <v>133</v>
      </c>
      <c r="I482">
        <v>2</v>
      </c>
      <c r="J482" s="3">
        <v>31606</v>
      </c>
      <c r="K482" s="4">
        <v>5</v>
      </c>
      <c r="L482" s="3">
        <v>63212</v>
      </c>
      <c r="M482" s="3">
        <v>3160.6</v>
      </c>
      <c r="N482" s="3">
        <v>60051.4</v>
      </c>
      <c r="O482" s="3">
        <v>41882.910000000003</v>
      </c>
      <c r="P482" s="3">
        <v>18168.490000000002</v>
      </c>
      <c r="Q482" t="s">
        <v>165</v>
      </c>
      <c r="R482">
        <v>2025</v>
      </c>
      <c r="S482">
        <v>4</v>
      </c>
    </row>
    <row r="483" spans="1:19" x14ac:dyDescent="0.3">
      <c r="A483" t="s">
        <v>542</v>
      </c>
      <c r="B483" s="2">
        <v>45762</v>
      </c>
      <c r="C483" t="s">
        <v>71</v>
      </c>
      <c r="D483" t="s">
        <v>34</v>
      </c>
      <c r="E483" t="s">
        <v>44</v>
      </c>
      <c r="F483" t="s">
        <v>35</v>
      </c>
      <c r="G483" t="s">
        <v>31</v>
      </c>
      <c r="H483" t="s">
        <v>25</v>
      </c>
      <c r="I483">
        <v>1</v>
      </c>
      <c r="J483" s="3">
        <v>48168</v>
      </c>
      <c r="K483" s="4">
        <v>0</v>
      </c>
      <c r="L483" s="3">
        <v>48168</v>
      </c>
      <c r="M483" s="3">
        <v>0</v>
      </c>
      <c r="N483" s="3">
        <v>48168</v>
      </c>
      <c r="O483" s="3">
        <v>28076.93</v>
      </c>
      <c r="P483" s="3">
        <v>20091.07</v>
      </c>
      <c r="Q483" t="s">
        <v>165</v>
      </c>
      <c r="R483">
        <v>2025</v>
      </c>
      <c r="S483">
        <v>4</v>
      </c>
    </row>
    <row r="484" spans="1:19" x14ac:dyDescent="0.3">
      <c r="A484" t="s">
        <v>543</v>
      </c>
      <c r="B484" s="2">
        <v>45762</v>
      </c>
      <c r="C484" t="s">
        <v>46</v>
      </c>
      <c r="D484" t="s">
        <v>21</v>
      </c>
      <c r="E484" t="s">
        <v>42</v>
      </c>
      <c r="F484" t="s">
        <v>40</v>
      </c>
      <c r="G484" t="s">
        <v>31</v>
      </c>
      <c r="H484" t="s">
        <v>133</v>
      </c>
      <c r="I484">
        <v>3</v>
      </c>
      <c r="J484" s="3">
        <v>11615</v>
      </c>
      <c r="K484" s="4">
        <v>15</v>
      </c>
      <c r="L484" s="3">
        <v>34845</v>
      </c>
      <c r="M484" s="3">
        <v>5226.75</v>
      </c>
      <c r="N484" s="3">
        <v>29618.25</v>
      </c>
      <c r="O484" s="3">
        <v>17391.55</v>
      </c>
      <c r="P484" s="3">
        <v>12226.7</v>
      </c>
      <c r="Q484" t="s">
        <v>165</v>
      </c>
      <c r="R484">
        <v>2025</v>
      </c>
      <c r="S484">
        <v>4</v>
      </c>
    </row>
    <row r="485" spans="1:19" x14ac:dyDescent="0.3">
      <c r="A485" t="s">
        <v>544</v>
      </c>
      <c r="B485" s="2">
        <v>45764</v>
      </c>
      <c r="C485" t="s">
        <v>28</v>
      </c>
      <c r="D485" t="s">
        <v>29</v>
      </c>
      <c r="E485" t="s">
        <v>42</v>
      </c>
      <c r="F485" t="s">
        <v>40</v>
      </c>
      <c r="G485" t="s">
        <v>24</v>
      </c>
      <c r="H485" t="s">
        <v>25</v>
      </c>
      <c r="I485">
        <v>1</v>
      </c>
      <c r="J485" s="3">
        <v>60103</v>
      </c>
      <c r="K485" s="4">
        <v>0</v>
      </c>
      <c r="L485" s="3">
        <v>60103</v>
      </c>
      <c r="M485" s="3">
        <v>0</v>
      </c>
      <c r="N485" s="3">
        <v>60103</v>
      </c>
      <c r="O485" s="3">
        <v>36812.29</v>
      </c>
      <c r="P485" s="3">
        <v>23290.71</v>
      </c>
      <c r="Q485" t="s">
        <v>165</v>
      </c>
      <c r="R485">
        <v>2025</v>
      </c>
      <c r="S485">
        <v>4</v>
      </c>
    </row>
    <row r="486" spans="1:19" x14ac:dyDescent="0.3">
      <c r="A486" t="s">
        <v>545</v>
      </c>
      <c r="B486" s="2">
        <v>45765</v>
      </c>
      <c r="C486" t="s">
        <v>33</v>
      </c>
      <c r="D486" t="s">
        <v>34</v>
      </c>
      <c r="E486" t="s">
        <v>56</v>
      </c>
      <c r="F486" t="s">
        <v>40</v>
      </c>
      <c r="G486" t="s">
        <v>24</v>
      </c>
      <c r="H486" t="s">
        <v>25</v>
      </c>
      <c r="I486">
        <v>3</v>
      </c>
      <c r="J486" s="3">
        <v>39276</v>
      </c>
      <c r="K486" s="4">
        <v>0</v>
      </c>
      <c r="L486" s="3">
        <v>117828</v>
      </c>
      <c r="M486" s="3">
        <v>0</v>
      </c>
      <c r="N486" s="3">
        <v>117828</v>
      </c>
      <c r="O486" s="3">
        <v>63303.31</v>
      </c>
      <c r="P486" s="3">
        <v>54524.69</v>
      </c>
      <c r="Q486" t="s">
        <v>165</v>
      </c>
      <c r="R486">
        <v>2025</v>
      </c>
      <c r="S486">
        <v>4</v>
      </c>
    </row>
    <row r="487" spans="1:19" x14ac:dyDescent="0.3">
      <c r="A487" t="s">
        <v>546</v>
      </c>
      <c r="B487" s="2">
        <v>45765</v>
      </c>
      <c r="C487" t="s">
        <v>48</v>
      </c>
      <c r="D487" t="s">
        <v>34</v>
      </c>
      <c r="E487" t="s">
        <v>22</v>
      </c>
      <c r="F487" t="s">
        <v>40</v>
      </c>
      <c r="G487" t="s">
        <v>31</v>
      </c>
      <c r="H487" t="s">
        <v>25</v>
      </c>
      <c r="I487">
        <v>2</v>
      </c>
      <c r="J487" s="3">
        <v>25589</v>
      </c>
      <c r="K487" s="4">
        <v>0</v>
      </c>
      <c r="L487" s="3">
        <v>51178</v>
      </c>
      <c r="M487" s="3">
        <v>0</v>
      </c>
      <c r="N487" s="3">
        <v>51178</v>
      </c>
      <c r="O487" s="3">
        <v>27891.22</v>
      </c>
      <c r="P487" s="3">
        <v>23286.78</v>
      </c>
      <c r="Q487" t="s">
        <v>165</v>
      </c>
      <c r="R487">
        <v>2025</v>
      </c>
      <c r="S487">
        <v>4</v>
      </c>
    </row>
    <row r="488" spans="1:19" x14ac:dyDescent="0.3">
      <c r="A488" t="s">
        <v>547</v>
      </c>
      <c r="B488" s="2">
        <v>45766</v>
      </c>
      <c r="C488" t="s">
        <v>75</v>
      </c>
      <c r="D488" t="s">
        <v>34</v>
      </c>
      <c r="E488" t="s">
        <v>22</v>
      </c>
      <c r="F488" t="s">
        <v>23</v>
      </c>
      <c r="G488" t="s">
        <v>31</v>
      </c>
      <c r="H488" t="s">
        <v>133</v>
      </c>
      <c r="I488">
        <v>1</v>
      </c>
      <c r="J488" s="3">
        <v>38931</v>
      </c>
      <c r="K488" s="4">
        <v>5</v>
      </c>
      <c r="L488" s="3">
        <v>38931</v>
      </c>
      <c r="M488" s="3">
        <v>1946.55</v>
      </c>
      <c r="N488" s="3">
        <v>36984.449999999997</v>
      </c>
      <c r="O488" s="3">
        <v>22910.73</v>
      </c>
      <c r="P488" s="3">
        <v>14073.72</v>
      </c>
      <c r="Q488" t="s">
        <v>165</v>
      </c>
      <c r="R488">
        <v>2025</v>
      </c>
      <c r="S488">
        <v>4</v>
      </c>
    </row>
    <row r="489" spans="1:19" x14ac:dyDescent="0.3">
      <c r="A489" t="s">
        <v>548</v>
      </c>
      <c r="B489" s="2">
        <v>45766</v>
      </c>
      <c r="C489" t="s">
        <v>71</v>
      </c>
      <c r="D489" t="s">
        <v>34</v>
      </c>
      <c r="E489" t="s">
        <v>42</v>
      </c>
      <c r="F489" t="s">
        <v>23</v>
      </c>
      <c r="G489" t="s">
        <v>24</v>
      </c>
      <c r="H489" t="s">
        <v>25</v>
      </c>
      <c r="I489">
        <v>1</v>
      </c>
      <c r="J489" s="3">
        <v>53988</v>
      </c>
      <c r="K489" s="4">
        <v>10</v>
      </c>
      <c r="L489" s="3">
        <v>53988</v>
      </c>
      <c r="M489" s="3">
        <v>5398.8</v>
      </c>
      <c r="N489" s="3">
        <v>48589.2</v>
      </c>
      <c r="O489" s="3">
        <v>33763.879999999997</v>
      </c>
      <c r="P489" s="3">
        <v>14825.32</v>
      </c>
      <c r="Q489" t="s">
        <v>165</v>
      </c>
      <c r="R489">
        <v>2025</v>
      </c>
      <c r="S489">
        <v>4</v>
      </c>
    </row>
    <row r="490" spans="1:19" x14ac:dyDescent="0.3">
      <c r="A490" t="s">
        <v>549</v>
      </c>
      <c r="B490" s="2">
        <v>45767</v>
      </c>
      <c r="C490" t="s">
        <v>20</v>
      </c>
      <c r="D490" t="s">
        <v>21</v>
      </c>
      <c r="E490" t="s">
        <v>44</v>
      </c>
      <c r="F490" t="s">
        <v>37</v>
      </c>
      <c r="G490" t="s">
        <v>31</v>
      </c>
      <c r="H490" t="s">
        <v>133</v>
      </c>
      <c r="I490">
        <v>2</v>
      </c>
      <c r="J490" s="3">
        <v>14045</v>
      </c>
      <c r="K490" s="4">
        <v>5</v>
      </c>
      <c r="L490" s="3">
        <v>28090</v>
      </c>
      <c r="M490" s="3">
        <v>1404.5</v>
      </c>
      <c r="N490" s="3">
        <v>26685.5</v>
      </c>
      <c r="O490" s="3">
        <v>13961.54</v>
      </c>
      <c r="P490" s="3">
        <v>12723.96</v>
      </c>
      <c r="Q490" t="s">
        <v>165</v>
      </c>
      <c r="R490">
        <v>2025</v>
      </c>
      <c r="S490">
        <v>4</v>
      </c>
    </row>
    <row r="491" spans="1:19" x14ac:dyDescent="0.3">
      <c r="A491" t="s">
        <v>550</v>
      </c>
      <c r="B491" s="2">
        <v>45767</v>
      </c>
      <c r="C491" t="s">
        <v>82</v>
      </c>
      <c r="D491" t="s">
        <v>21</v>
      </c>
      <c r="E491" t="s">
        <v>42</v>
      </c>
      <c r="F491" t="s">
        <v>30</v>
      </c>
      <c r="G491" t="s">
        <v>24</v>
      </c>
      <c r="H491" t="s">
        <v>25</v>
      </c>
      <c r="I491">
        <v>4</v>
      </c>
      <c r="J491" s="3">
        <v>42771</v>
      </c>
      <c r="K491" s="4">
        <v>0</v>
      </c>
      <c r="L491" s="3">
        <v>171084</v>
      </c>
      <c r="M491" s="3">
        <v>0</v>
      </c>
      <c r="N491" s="3">
        <v>171084</v>
      </c>
      <c r="O491" s="3">
        <v>84566.92</v>
      </c>
      <c r="P491" s="3">
        <v>86517.08</v>
      </c>
      <c r="Q491" t="s">
        <v>165</v>
      </c>
      <c r="R491">
        <v>2025</v>
      </c>
      <c r="S491">
        <v>4</v>
      </c>
    </row>
    <row r="492" spans="1:19" x14ac:dyDescent="0.3">
      <c r="A492" t="s">
        <v>551</v>
      </c>
      <c r="B492" s="2">
        <v>45767</v>
      </c>
      <c r="C492" t="s">
        <v>28</v>
      </c>
      <c r="D492" t="s">
        <v>29</v>
      </c>
      <c r="E492" t="s">
        <v>22</v>
      </c>
      <c r="F492" t="s">
        <v>23</v>
      </c>
      <c r="G492" t="s">
        <v>24</v>
      </c>
      <c r="H492" t="s">
        <v>25</v>
      </c>
      <c r="I492">
        <v>1</v>
      </c>
      <c r="J492" s="3">
        <v>62086</v>
      </c>
      <c r="K492" s="4">
        <v>15</v>
      </c>
      <c r="L492" s="3">
        <v>62086</v>
      </c>
      <c r="M492" s="3">
        <v>9312.9</v>
      </c>
      <c r="N492" s="3">
        <v>52773.1</v>
      </c>
      <c r="O492" s="3">
        <v>40969.47</v>
      </c>
      <c r="P492" s="3">
        <v>11803.63</v>
      </c>
      <c r="Q492" t="s">
        <v>165</v>
      </c>
      <c r="R492">
        <v>2025</v>
      </c>
      <c r="S492">
        <v>4</v>
      </c>
    </row>
    <row r="493" spans="1:19" x14ac:dyDescent="0.3">
      <c r="A493" t="s">
        <v>552</v>
      </c>
      <c r="B493" s="2">
        <v>45768</v>
      </c>
      <c r="C493" t="s">
        <v>33</v>
      </c>
      <c r="D493" t="s">
        <v>34</v>
      </c>
      <c r="E493" t="s">
        <v>22</v>
      </c>
      <c r="F493" t="s">
        <v>40</v>
      </c>
      <c r="G493" t="s">
        <v>31</v>
      </c>
      <c r="H493" t="s">
        <v>25</v>
      </c>
      <c r="I493">
        <v>4</v>
      </c>
      <c r="J493" s="3">
        <v>41368</v>
      </c>
      <c r="K493" s="4">
        <v>0</v>
      </c>
      <c r="L493" s="3">
        <v>165472</v>
      </c>
      <c r="M493" s="3">
        <v>0</v>
      </c>
      <c r="N493" s="3">
        <v>0</v>
      </c>
      <c r="O493" s="3">
        <v>82081.47</v>
      </c>
      <c r="P493" s="3">
        <v>0</v>
      </c>
      <c r="Q493" t="s">
        <v>165</v>
      </c>
      <c r="R493">
        <v>2025</v>
      </c>
      <c r="S493">
        <v>4</v>
      </c>
    </row>
    <row r="494" spans="1:19" x14ac:dyDescent="0.3">
      <c r="A494" t="s">
        <v>553</v>
      </c>
      <c r="B494" s="2">
        <v>45768</v>
      </c>
      <c r="C494" t="s">
        <v>75</v>
      </c>
      <c r="D494" t="s">
        <v>34</v>
      </c>
      <c r="E494" t="s">
        <v>22</v>
      </c>
      <c r="F494" t="s">
        <v>35</v>
      </c>
      <c r="G494" t="s">
        <v>31</v>
      </c>
      <c r="H494" t="s">
        <v>133</v>
      </c>
      <c r="I494">
        <v>3</v>
      </c>
      <c r="J494" s="3">
        <v>35591</v>
      </c>
      <c r="K494" s="4">
        <v>5</v>
      </c>
      <c r="L494" s="3">
        <v>106773</v>
      </c>
      <c r="M494" s="3">
        <v>5338.65</v>
      </c>
      <c r="N494" s="3">
        <v>101434.35</v>
      </c>
      <c r="O494" s="3">
        <v>55710.67</v>
      </c>
      <c r="P494" s="3">
        <v>45723.68</v>
      </c>
      <c r="Q494" t="s">
        <v>165</v>
      </c>
      <c r="R494">
        <v>2025</v>
      </c>
      <c r="S494">
        <v>4</v>
      </c>
    </row>
    <row r="495" spans="1:19" x14ac:dyDescent="0.3">
      <c r="A495" t="s">
        <v>554</v>
      </c>
      <c r="B495" s="2">
        <v>45769</v>
      </c>
      <c r="C495" t="s">
        <v>50</v>
      </c>
      <c r="D495" t="s">
        <v>34</v>
      </c>
      <c r="E495" t="s">
        <v>22</v>
      </c>
      <c r="F495" t="s">
        <v>40</v>
      </c>
      <c r="G495" t="s">
        <v>31</v>
      </c>
      <c r="H495" t="s">
        <v>25</v>
      </c>
      <c r="I495">
        <v>1</v>
      </c>
      <c r="J495" s="3">
        <v>17530</v>
      </c>
      <c r="K495" s="4">
        <v>0</v>
      </c>
      <c r="L495" s="3">
        <v>17530</v>
      </c>
      <c r="M495" s="3">
        <v>0</v>
      </c>
      <c r="N495" s="3">
        <v>17530</v>
      </c>
      <c r="O495" s="3">
        <v>9521.08</v>
      </c>
      <c r="P495" s="3">
        <v>8008.92</v>
      </c>
      <c r="Q495" t="s">
        <v>165</v>
      </c>
      <c r="R495">
        <v>2025</v>
      </c>
      <c r="S495">
        <v>4</v>
      </c>
    </row>
    <row r="496" spans="1:19" x14ac:dyDescent="0.3">
      <c r="A496" t="s">
        <v>555</v>
      </c>
      <c r="B496" s="2">
        <v>45773</v>
      </c>
      <c r="C496" t="s">
        <v>71</v>
      </c>
      <c r="D496" t="s">
        <v>34</v>
      </c>
      <c r="E496" t="s">
        <v>42</v>
      </c>
      <c r="F496" t="s">
        <v>40</v>
      </c>
      <c r="G496" t="s">
        <v>24</v>
      </c>
      <c r="H496" t="s">
        <v>25</v>
      </c>
      <c r="I496">
        <v>4</v>
      </c>
      <c r="J496" s="3">
        <v>48813</v>
      </c>
      <c r="K496" s="4">
        <v>0</v>
      </c>
      <c r="L496" s="3">
        <v>195252</v>
      </c>
      <c r="M496" s="3">
        <v>0</v>
      </c>
      <c r="N496" s="3">
        <v>195252</v>
      </c>
      <c r="O496" s="3">
        <v>132056.13</v>
      </c>
      <c r="P496" s="3">
        <v>63195.87</v>
      </c>
      <c r="Q496" t="s">
        <v>165</v>
      </c>
      <c r="R496">
        <v>2025</v>
      </c>
      <c r="S496">
        <v>4</v>
      </c>
    </row>
    <row r="497" spans="1:19" x14ac:dyDescent="0.3">
      <c r="A497" t="s">
        <v>556</v>
      </c>
      <c r="B497" s="2">
        <v>45776</v>
      </c>
      <c r="C497" t="s">
        <v>48</v>
      </c>
      <c r="D497" t="s">
        <v>34</v>
      </c>
      <c r="E497" t="s">
        <v>42</v>
      </c>
      <c r="F497" t="s">
        <v>40</v>
      </c>
      <c r="G497" t="s">
        <v>31</v>
      </c>
      <c r="H497" t="s">
        <v>133</v>
      </c>
      <c r="I497">
        <v>2</v>
      </c>
      <c r="J497" s="3">
        <v>25805</v>
      </c>
      <c r="K497" s="4">
        <v>15</v>
      </c>
      <c r="L497" s="3">
        <v>51610</v>
      </c>
      <c r="M497" s="3">
        <v>7741.5</v>
      </c>
      <c r="N497" s="3">
        <v>43868.5</v>
      </c>
      <c r="O497" s="3">
        <v>28395.57</v>
      </c>
      <c r="P497" s="3">
        <v>15472.93</v>
      </c>
      <c r="Q497" t="s">
        <v>165</v>
      </c>
      <c r="R497">
        <v>2025</v>
      </c>
      <c r="S497">
        <v>4</v>
      </c>
    </row>
    <row r="498" spans="1:19" x14ac:dyDescent="0.3">
      <c r="A498" t="s">
        <v>557</v>
      </c>
      <c r="B498" s="2">
        <v>45776</v>
      </c>
      <c r="C498" t="s">
        <v>48</v>
      </c>
      <c r="D498" t="s">
        <v>34</v>
      </c>
      <c r="E498" t="s">
        <v>22</v>
      </c>
      <c r="F498" t="s">
        <v>35</v>
      </c>
      <c r="G498" t="s">
        <v>31</v>
      </c>
      <c r="H498" t="s">
        <v>133</v>
      </c>
      <c r="I498">
        <v>2</v>
      </c>
      <c r="J498" s="3">
        <v>25100</v>
      </c>
      <c r="K498" s="4">
        <v>15</v>
      </c>
      <c r="L498" s="3">
        <v>50200</v>
      </c>
      <c r="M498" s="3">
        <v>7530</v>
      </c>
      <c r="N498" s="3">
        <v>0</v>
      </c>
      <c r="O498" s="3">
        <v>32816.26</v>
      </c>
      <c r="P498" s="3">
        <v>0</v>
      </c>
      <c r="Q498" t="s">
        <v>165</v>
      </c>
      <c r="R498">
        <v>2025</v>
      </c>
      <c r="S498">
        <v>4</v>
      </c>
    </row>
    <row r="499" spans="1:19" x14ac:dyDescent="0.3">
      <c r="A499" t="s">
        <v>558</v>
      </c>
      <c r="B499" s="2">
        <v>45779</v>
      </c>
      <c r="C499" t="s">
        <v>33</v>
      </c>
      <c r="D499" t="s">
        <v>34</v>
      </c>
      <c r="E499" t="s">
        <v>42</v>
      </c>
      <c r="F499" t="s">
        <v>40</v>
      </c>
      <c r="G499" t="s">
        <v>31</v>
      </c>
      <c r="H499" t="s">
        <v>25</v>
      </c>
      <c r="I499">
        <v>2</v>
      </c>
      <c r="J499" s="3">
        <v>41023</v>
      </c>
      <c r="K499" s="4">
        <v>10</v>
      </c>
      <c r="L499" s="3">
        <v>82046</v>
      </c>
      <c r="M499" s="3">
        <v>8204.6</v>
      </c>
      <c r="N499" s="3">
        <v>73841.399999999994</v>
      </c>
      <c r="O499" s="3">
        <v>41271.54</v>
      </c>
      <c r="P499" s="3">
        <v>32569.86</v>
      </c>
      <c r="Q499" t="s">
        <v>201</v>
      </c>
      <c r="R499">
        <v>2025</v>
      </c>
      <c r="S499">
        <v>5</v>
      </c>
    </row>
    <row r="500" spans="1:19" x14ac:dyDescent="0.3">
      <c r="A500" t="s">
        <v>559</v>
      </c>
      <c r="B500" s="2">
        <v>45779</v>
      </c>
      <c r="C500" t="s">
        <v>28</v>
      </c>
      <c r="D500" t="s">
        <v>29</v>
      </c>
      <c r="E500" t="s">
        <v>44</v>
      </c>
      <c r="F500" t="s">
        <v>23</v>
      </c>
      <c r="G500" t="s">
        <v>31</v>
      </c>
      <c r="H500" t="s">
        <v>25</v>
      </c>
      <c r="I500">
        <v>2</v>
      </c>
      <c r="J500" s="3">
        <v>69589</v>
      </c>
      <c r="K500" s="4">
        <v>0</v>
      </c>
      <c r="L500" s="3">
        <v>139178</v>
      </c>
      <c r="M500" s="3">
        <v>0</v>
      </c>
      <c r="N500" s="3">
        <v>139178</v>
      </c>
      <c r="O500" s="3">
        <v>81146.12</v>
      </c>
      <c r="P500" s="3">
        <v>58031.88</v>
      </c>
      <c r="Q500" t="s">
        <v>201</v>
      </c>
      <c r="R500">
        <v>2025</v>
      </c>
      <c r="S500">
        <v>5</v>
      </c>
    </row>
    <row r="501" spans="1:19" x14ac:dyDescent="0.3">
      <c r="A501" t="s">
        <v>560</v>
      </c>
      <c r="B501" s="2">
        <v>45780</v>
      </c>
      <c r="C501" t="s">
        <v>64</v>
      </c>
      <c r="D501" t="s">
        <v>29</v>
      </c>
      <c r="E501" t="s">
        <v>56</v>
      </c>
      <c r="F501" t="s">
        <v>40</v>
      </c>
      <c r="G501" t="s">
        <v>31</v>
      </c>
      <c r="H501" t="s">
        <v>25</v>
      </c>
      <c r="I501">
        <v>3</v>
      </c>
      <c r="J501" s="3">
        <v>31045</v>
      </c>
      <c r="K501" s="4">
        <v>0</v>
      </c>
      <c r="L501" s="3">
        <v>93135</v>
      </c>
      <c r="M501" s="3">
        <v>0</v>
      </c>
      <c r="N501" s="3">
        <v>93135</v>
      </c>
      <c r="O501" s="3">
        <v>61501.54</v>
      </c>
      <c r="P501" s="3">
        <v>31633.46</v>
      </c>
      <c r="Q501" t="s">
        <v>201</v>
      </c>
      <c r="R501">
        <v>2025</v>
      </c>
      <c r="S501">
        <v>5</v>
      </c>
    </row>
    <row r="502" spans="1:19" x14ac:dyDescent="0.3">
      <c r="A502" t="s">
        <v>561</v>
      </c>
      <c r="B502" s="2">
        <v>45780</v>
      </c>
      <c r="C502" t="s">
        <v>48</v>
      </c>
      <c r="D502" t="s">
        <v>34</v>
      </c>
      <c r="E502" t="s">
        <v>42</v>
      </c>
      <c r="F502" t="s">
        <v>37</v>
      </c>
      <c r="G502" t="s">
        <v>24</v>
      </c>
      <c r="H502" t="s">
        <v>25</v>
      </c>
      <c r="I502">
        <v>1</v>
      </c>
      <c r="J502" s="3">
        <v>26227</v>
      </c>
      <c r="K502" s="4">
        <v>0</v>
      </c>
      <c r="L502" s="3">
        <v>26227</v>
      </c>
      <c r="M502" s="3">
        <v>0</v>
      </c>
      <c r="N502" s="3">
        <v>26227</v>
      </c>
      <c r="O502" s="3">
        <v>15455.98</v>
      </c>
      <c r="P502" s="3">
        <v>10771.02</v>
      </c>
      <c r="Q502" t="s">
        <v>201</v>
      </c>
      <c r="R502">
        <v>2025</v>
      </c>
      <c r="S502">
        <v>5</v>
      </c>
    </row>
    <row r="503" spans="1:19" x14ac:dyDescent="0.3">
      <c r="A503" t="s">
        <v>562</v>
      </c>
      <c r="B503" s="2">
        <v>45781</v>
      </c>
      <c r="C503" t="s">
        <v>82</v>
      </c>
      <c r="D503" t="s">
        <v>21</v>
      </c>
      <c r="E503" t="s">
        <v>42</v>
      </c>
      <c r="F503" t="s">
        <v>23</v>
      </c>
      <c r="G503" t="s">
        <v>24</v>
      </c>
      <c r="H503" t="s">
        <v>25</v>
      </c>
      <c r="I503">
        <v>2</v>
      </c>
      <c r="J503" s="3">
        <v>45093</v>
      </c>
      <c r="K503" s="4">
        <v>0</v>
      </c>
      <c r="L503" s="3">
        <v>90186</v>
      </c>
      <c r="M503" s="3">
        <v>0</v>
      </c>
      <c r="N503" s="3">
        <v>90186</v>
      </c>
      <c r="O503" s="3">
        <v>60157.17</v>
      </c>
      <c r="P503" s="3">
        <v>30028.83</v>
      </c>
      <c r="Q503" t="s">
        <v>201</v>
      </c>
      <c r="R503">
        <v>2025</v>
      </c>
      <c r="S503">
        <v>5</v>
      </c>
    </row>
    <row r="504" spans="1:19" x14ac:dyDescent="0.3">
      <c r="A504" t="s">
        <v>563</v>
      </c>
      <c r="B504" s="2">
        <v>45782</v>
      </c>
      <c r="C504" t="s">
        <v>33</v>
      </c>
      <c r="D504" t="s">
        <v>34</v>
      </c>
      <c r="E504" t="s">
        <v>44</v>
      </c>
      <c r="F504" t="s">
        <v>40</v>
      </c>
      <c r="G504" t="s">
        <v>31</v>
      </c>
      <c r="H504" t="s">
        <v>25</v>
      </c>
      <c r="I504">
        <v>1</v>
      </c>
      <c r="J504" s="3">
        <v>39585</v>
      </c>
      <c r="K504" s="4">
        <v>0</v>
      </c>
      <c r="L504" s="3">
        <v>39585</v>
      </c>
      <c r="M504" s="3">
        <v>0</v>
      </c>
      <c r="N504" s="3">
        <v>39585</v>
      </c>
      <c r="O504" s="3">
        <v>23419.55</v>
      </c>
      <c r="P504" s="3">
        <v>16165.45</v>
      </c>
      <c r="Q504" t="s">
        <v>201</v>
      </c>
      <c r="R504">
        <v>2025</v>
      </c>
      <c r="S504">
        <v>5</v>
      </c>
    </row>
    <row r="505" spans="1:19" x14ac:dyDescent="0.3">
      <c r="A505" t="s">
        <v>564</v>
      </c>
      <c r="B505" s="2">
        <v>45783</v>
      </c>
      <c r="C505" t="s">
        <v>75</v>
      </c>
      <c r="D505" t="s">
        <v>34</v>
      </c>
      <c r="E505" t="s">
        <v>42</v>
      </c>
      <c r="F505" t="s">
        <v>23</v>
      </c>
      <c r="G505" t="s">
        <v>31</v>
      </c>
      <c r="H505" t="s">
        <v>25</v>
      </c>
      <c r="I505">
        <v>3</v>
      </c>
      <c r="J505" s="3">
        <v>36532</v>
      </c>
      <c r="K505" s="4">
        <v>0</v>
      </c>
      <c r="L505" s="3">
        <v>109596</v>
      </c>
      <c r="M505" s="3">
        <v>0</v>
      </c>
      <c r="N505" s="3">
        <v>109596</v>
      </c>
      <c r="O505" s="3">
        <v>70013.919999999998</v>
      </c>
      <c r="P505" s="3">
        <v>39582.080000000002</v>
      </c>
      <c r="Q505" t="s">
        <v>201</v>
      </c>
      <c r="R505">
        <v>2025</v>
      </c>
      <c r="S505">
        <v>5</v>
      </c>
    </row>
    <row r="506" spans="1:19" x14ac:dyDescent="0.3">
      <c r="A506" t="s">
        <v>565</v>
      </c>
      <c r="B506" s="2">
        <v>45784</v>
      </c>
      <c r="C506" t="s">
        <v>20</v>
      </c>
      <c r="D506" t="s">
        <v>21</v>
      </c>
      <c r="E506" t="s">
        <v>22</v>
      </c>
      <c r="F506" t="s">
        <v>35</v>
      </c>
      <c r="G506" t="s">
        <v>31</v>
      </c>
      <c r="H506" t="s">
        <v>25</v>
      </c>
      <c r="I506">
        <v>1</v>
      </c>
      <c r="J506" s="3">
        <v>15276</v>
      </c>
      <c r="K506" s="4">
        <v>0</v>
      </c>
      <c r="L506" s="3">
        <v>15276</v>
      </c>
      <c r="M506" s="3">
        <v>0</v>
      </c>
      <c r="N506" s="3">
        <v>15276</v>
      </c>
      <c r="O506" s="3">
        <v>9299.74</v>
      </c>
      <c r="P506" s="3">
        <v>5976.26</v>
      </c>
      <c r="Q506" t="s">
        <v>201</v>
      </c>
      <c r="R506">
        <v>2025</v>
      </c>
      <c r="S506">
        <v>5</v>
      </c>
    </row>
    <row r="507" spans="1:19" x14ac:dyDescent="0.3">
      <c r="A507" t="s">
        <v>566</v>
      </c>
      <c r="B507" s="2">
        <v>45784</v>
      </c>
      <c r="C507" t="s">
        <v>64</v>
      </c>
      <c r="D507" t="s">
        <v>29</v>
      </c>
      <c r="E507" t="s">
        <v>44</v>
      </c>
      <c r="F507" t="s">
        <v>23</v>
      </c>
      <c r="G507" t="s">
        <v>24</v>
      </c>
      <c r="H507" t="s">
        <v>25</v>
      </c>
      <c r="I507">
        <v>1</v>
      </c>
      <c r="J507" s="3">
        <v>32058</v>
      </c>
      <c r="K507" s="4">
        <v>0</v>
      </c>
      <c r="L507" s="3">
        <v>32058</v>
      </c>
      <c r="M507" s="3">
        <v>0</v>
      </c>
      <c r="N507" s="3">
        <v>32058</v>
      </c>
      <c r="O507" s="3">
        <v>17942.27</v>
      </c>
      <c r="P507" s="3">
        <v>14115.73</v>
      </c>
      <c r="Q507" t="s">
        <v>201</v>
      </c>
      <c r="R507">
        <v>2025</v>
      </c>
      <c r="S507">
        <v>5</v>
      </c>
    </row>
    <row r="508" spans="1:19" x14ac:dyDescent="0.3">
      <c r="A508" t="s">
        <v>567</v>
      </c>
      <c r="B508" s="2">
        <v>45785</v>
      </c>
      <c r="C508" t="s">
        <v>48</v>
      </c>
      <c r="D508" t="s">
        <v>34</v>
      </c>
      <c r="E508" t="s">
        <v>42</v>
      </c>
      <c r="F508" t="s">
        <v>40</v>
      </c>
      <c r="G508" t="s">
        <v>31</v>
      </c>
      <c r="H508" t="s">
        <v>25</v>
      </c>
      <c r="I508">
        <v>2</v>
      </c>
      <c r="J508" s="3">
        <v>23193</v>
      </c>
      <c r="K508" s="4">
        <v>0</v>
      </c>
      <c r="L508" s="3">
        <v>46386</v>
      </c>
      <c r="M508" s="3">
        <v>0</v>
      </c>
      <c r="N508" s="3">
        <v>0</v>
      </c>
      <c r="O508" s="3">
        <v>27833.29</v>
      </c>
      <c r="P508" s="3">
        <v>0</v>
      </c>
      <c r="Q508" t="s">
        <v>201</v>
      </c>
      <c r="R508">
        <v>2025</v>
      </c>
      <c r="S508">
        <v>5</v>
      </c>
    </row>
    <row r="509" spans="1:19" x14ac:dyDescent="0.3">
      <c r="A509" t="s">
        <v>568</v>
      </c>
      <c r="B509" s="2">
        <v>45788</v>
      </c>
      <c r="C509" t="s">
        <v>71</v>
      </c>
      <c r="D509" t="s">
        <v>34</v>
      </c>
      <c r="E509" t="s">
        <v>42</v>
      </c>
      <c r="F509" t="s">
        <v>37</v>
      </c>
      <c r="G509" t="s">
        <v>31</v>
      </c>
      <c r="H509" t="s">
        <v>25</v>
      </c>
      <c r="I509">
        <v>3</v>
      </c>
      <c r="J509" s="3">
        <v>49549</v>
      </c>
      <c r="K509" s="4">
        <v>0</v>
      </c>
      <c r="L509" s="3">
        <v>148647</v>
      </c>
      <c r="M509" s="3">
        <v>0</v>
      </c>
      <c r="N509" s="3">
        <v>148647</v>
      </c>
      <c r="O509" s="3">
        <v>79872.77</v>
      </c>
      <c r="P509" s="3">
        <v>68774.23</v>
      </c>
      <c r="Q509" t="s">
        <v>201</v>
      </c>
      <c r="R509">
        <v>2025</v>
      </c>
      <c r="S509">
        <v>5</v>
      </c>
    </row>
    <row r="510" spans="1:19" x14ac:dyDescent="0.3">
      <c r="A510" t="s">
        <v>569</v>
      </c>
      <c r="B510" s="2">
        <v>45788</v>
      </c>
      <c r="C510" t="s">
        <v>20</v>
      </c>
      <c r="D510" t="s">
        <v>21</v>
      </c>
      <c r="E510" t="s">
        <v>22</v>
      </c>
      <c r="F510" t="s">
        <v>37</v>
      </c>
      <c r="G510" t="s">
        <v>24</v>
      </c>
      <c r="H510" t="s">
        <v>25</v>
      </c>
      <c r="I510">
        <v>3</v>
      </c>
      <c r="J510" s="3">
        <v>13845</v>
      </c>
      <c r="K510" s="4">
        <v>0</v>
      </c>
      <c r="L510" s="3">
        <v>41535</v>
      </c>
      <c r="M510" s="3">
        <v>0</v>
      </c>
      <c r="N510" s="3">
        <v>41535</v>
      </c>
      <c r="O510" s="3">
        <v>25001.56</v>
      </c>
      <c r="P510" s="3">
        <v>16533.439999999999</v>
      </c>
      <c r="Q510" t="s">
        <v>201</v>
      </c>
      <c r="R510">
        <v>2025</v>
      </c>
      <c r="S510">
        <v>5</v>
      </c>
    </row>
    <row r="511" spans="1:19" x14ac:dyDescent="0.3">
      <c r="A511" t="s">
        <v>570</v>
      </c>
      <c r="B511" s="2">
        <v>45788</v>
      </c>
      <c r="C511" t="s">
        <v>82</v>
      </c>
      <c r="D511" t="s">
        <v>21</v>
      </c>
      <c r="E511" t="s">
        <v>22</v>
      </c>
      <c r="F511" t="s">
        <v>23</v>
      </c>
      <c r="G511" t="s">
        <v>31</v>
      </c>
      <c r="H511" t="s">
        <v>25</v>
      </c>
      <c r="I511">
        <v>1</v>
      </c>
      <c r="J511" s="3">
        <v>43655</v>
      </c>
      <c r="K511" s="4">
        <v>0</v>
      </c>
      <c r="L511" s="3">
        <v>43655</v>
      </c>
      <c r="M511" s="3">
        <v>0</v>
      </c>
      <c r="N511" s="3">
        <v>43655</v>
      </c>
      <c r="O511" s="3">
        <v>24431.79</v>
      </c>
      <c r="P511" s="3">
        <v>19223.21</v>
      </c>
      <c r="Q511" t="s">
        <v>201</v>
      </c>
      <c r="R511">
        <v>2025</v>
      </c>
      <c r="S511">
        <v>5</v>
      </c>
    </row>
    <row r="512" spans="1:19" x14ac:dyDescent="0.3">
      <c r="A512" t="s">
        <v>571</v>
      </c>
      <c r="B512" s="2">
        <v>45790</v>
      </c>
      <c r="C512" t="s">
        <v>48</v>
      </c>
      <c r="D512" t="s">
        <v>34</v>
      </c>
      <c r="E512" t="s">
        <v>42</v>
      </c>
      <c r="F512" t="s">
        <v>35</v>
      </c>
      <c r="G512" t="s">
        <v>24</v>
      </c>
      <c r="H512" t="s">
        <v>25</v>
      </c>
      <c r="I512">
        <v>2</v>
      </c>
      <c r="J512" s="3">
        <v>26140</v>
      </c>
      <c r="K512" s="4">
        <v>0</v>
      </c>
      <c r="L512" s="3">
        <v>52280</v>
      </c>
      <c r="M512" s="3">
        <v>0</v>
      </c>
      <c r="N512" s="3">
        <v>52280</v>
      </c>
      <c r="O512" s="3">
        <v>33670.97</v>
      </c>
      <c r="P512" s="3">
        <v>18609.03</v>
      </c>
      <c r="Q512" t="s">
        <v>201</v>
      </c>
      <c r="R512">
        <v>2025</v>
      </c>
      <c r="S512">
        <v>5</v>
      </c>
    </row>
    <row r="513" spans="1:19" x14ac:dyDescent="0.3">
      <c r="A513" t="s">
        <v>572</v>
      </c>
      <c r="B513" s="2">
        <v>45791</v>
      </c>
      <c r="C513" t="s">
        <v>48</v>
      </c>
      <c r="D513" t="s">
        <v>34</v>
      </c>
      <c r="E513" t="s">
        <v>22</v>
      </c>
      <c r="F513" t="s">
        <v>35</v>
      </c>
      <c r="G513" t="s">
        <v>31</v>
      </c>
      <c r="H513" t="s">
        <v>25</v>
      </c>
      <c r="I513">
        <v>3</v>
      </c>
      <c r="J513" s="3">
        <v>24545</v>
      </c>
      <c r="K513" s="4">
        <v>15</v>
      </c>
      <c r="L513" s="3">
        <v>73635</v>
      </c>
      <c r="M513" s="3">
        <v>11045.25</v>
      </c>
      <c r="N513" s="3">
        <v>62589.75</v>
      </c>
      <c r="O513" s="3">
        <v>39993.129999999997</v>
      </c>
      <c r="P513" s="3">
        <v>22596.62</v>
      </c>
      <c r="Q513" t="s">
        <v>201</v>
      </c>
      <c r="R513">
        <v>2025</v>
      </c>
      <c r="S513">
        <v>5</v>
      </c>
    </row>
    <row r="514" spans="1:19" x14ac:dyDescent="0.3">
      <c r="A514" t="s">
        <v>573</v>
      </c>
      <c r="B514" s="2">
        <v>45793</v>
      </c>
      <c r="C514" t="s">
        <v>33</v>
      </c>
      <c r="D514" t="s">
        <v>34</v>
      </c>
      <c r="E514" t="s">
        <v>44</v>
      </c>
      <c r="F514" t="s">
        <v>23</v>
      </c>
      <c r="G514" t="s">
        <v>31</v>
      </c>
      <c r="H514" t="s">
        <v>25</v>
      </c>
      <c r="I514">
        <v>1</v>
      </c>
      <c r="J514" s="3">
        <v>42402</v>
      </c>
      <c r="K514" s="4">
        <v>0</v>
      </c>
      <c r="L514" s="3">
        <v>42402</v>
      </c>
      <c r="M514" s="3">
        <v>0</v>
      </c>
      <c r="N514" s="3">
        <v>42402</v>
      </c>
      <c r="O514" s="3">
        <v>26618.32</v>
      </c>
      <c r="P514" s="3">
        <v>15783.68</v>
      </c>
      <c r="Q514" t="s">
        <v>201</v>
      </c>
      <c r="R514">
        <v>2025</v>
      </c>
      <c r="S514">
        <v>5</v>
      </c>
    </row>
    <row r="515" spans="1:19" x14ac:dyDescent="0.3">
      <c r="A515" t="s">
        <v>574</v>
      </c>
      <c r="B515" s="2">
        <v>45793</v>
      </c>
      <c r="C515" t="s">
        <v>20</v>
      </c>
      <c r="D515" t="s">
        <v>21</v>
      </c>
      <c r="E515" t="s">
        <v>42</v>
      </c>
      <c r="F515" t="s">
        <v>40</v>
      </c>
      <c r="G515" t="s">
        <v>24</v>
      </c>
      <c r="H515" t="s">
        <v>25</v>
      </c>
      <c r="I515">
        <v>2</v>
      </c>
      <c r="J515" s="3">
        <v>15319</v>
      </c>
      <c r="K515" s="4">
        <v>15</v>
      </c>
      <c r="L515" s="3">
        <v>30638</v>
      </c>
      <c r="M515" s="3">
        <v>4595.7</v>
      </c>
      <c r="N515" s="3">
        <v>26042.3</v>
      </c>
      <c r="O515" s="3">
        <v>18528.29</v>
      </c>
      <c r="P515" s="3">
        <v>7514.01</v>
      </c>
      <c r="Q515" t="s">
        <v>201</v>
      </c>
      <c r="R515">
        <v>2025</v>
      </c>
      <c r="S515">
        <v>5</v>
      </c>
    </row>
    <row r="516" spans="1:19" x14ac:dyDescent="0.3">
      <c r="A516" t="s">
        <v>575</v>
      </c>
      <c r="B516" s="2">
        <v>45794</v>
      </c>
      <c r="C516" t="s">
        <v>33</v>
      </c>
      <c r="D516" t="s">
        <v>34</v>
      </c>
      <c r="E516" t="s">
        <v>22</v>
      </c>
      <c r="F516" t="s">
        <v>35</v>
      </c>
      <c r="G516" t="s">
        <v>24</v>
      </c>
      <c r="H516" t="s">
        <v>25</v>
      </c>
      <c r="I516">
        <v>1</v>
      </c>
      <c r="J516" s="3">
        <v>39085</v>
      </c>
      <c r="K516" s="4">
        <v>0</v>
      </c>
      <c r="L516" s="3">
        <v>39085</v>
      </c>
      <c r="M516" s="3">
        <v>0</v>
      </c>
      <c r="N516" s="3">
        <v>39085</v>
      </c>
      <c r="O516" s="3">
        <v>21908.799999999999</v>
      </c>
      <c r="P516" s="3">
        <v>17176.2</v>
      </c>
      <c r="Q516" t="s">
        <v>201</v>
      </c>
      <c r="R516">
        <v>2025</v>
      </c>
      <c r="S516">
        <v>5</v>
      </c>
    </row>
    <row r="517" spans="1:19" x14ac:dyDescent="0.3">
      <c r="A517" t="s">
        <v>576</v>
      </c>
      <c r="B517" s="2">
        <v>45794</v>
      </c>
      <c r="C517" t="s">
        <v>28</v>
      </c>
      <c r="D517" t="s">
        <v>29</v>
      </c>
      <c r="E517" t="s">
        <v>22</v>
      </c>
      <c r="F517" t="s">
        <v>23</v>
      </c>
      <c r="G517" t="s">
        <v>31</v>
      </c>
      <c r="H517" t="s">
        <v>25</v>
      </c>
      <c r="I517">
        <v>3</v>
      </c>
      <c r="J517" s="3">
        <v>68711</v>
      </c>
      <c r="K517" s="4">
        <v>0</v>
      </c>
      <c r="L517" s="3">
        <v>206133</v>
      </c>
      <c r="M517" s="3">
        <v>0</v>
      </c>
      <c r="N517" s="3">
        <v>206133</v>
      </c>
      <c r="O517" s="3">
        <v>129440.41</v>
      </c>
      <c r="P517" s="3">
        <v>76692.59</v>
      </c>
      <c r="Q517" t="s">
        <v>201</v>
      </c>
      <c r="R517">
        <v>2025</v>
      </c>
      <c r="S517">
        <v>5</v>
      </c>
    </row>
    <row r="518" spans="1:19" x14ac:dyDescent="0.3">
      <c r="A518" t="s">
        <v>577</v>
      </c>
      <c r="B518" s="2">
        <v>45794</v>
      </c>
      <c r="C518" t="s">
        <v>28</v>
      </c>
      <c r="D518" t="s">
        <v>29</v>
      </c>
      <c r="E518" t="s">
        <v>42</v>
      </c>
      <c r="F518" t="s">
        <v>37</v>
      </c>
      <c r="G518" t="s">
        <v>31</v>
      </c>
      <c r="H518" t="s">
        <v>25</v>
      </c>
      <c r="I518">
        <v>3</v>
      </c>
      <c r="J518" s="3">
        <v>62467</v>
      </c>
      <c r="K518" s="4">
        <v>0</v>
      </c>
      <c r="L518" s="3">
        <v>187401</v>
      </c>
      <c r="M518" s="3">
        <v>0</v>
      </c>
      <c r="N518" s="3">
        <v>187401</v>
      </c>
      <c r="O518" s="3">
        <v>97377.22</v>
      </c>
      <c r="P518" s="3">
        <v>90023.78</v>
      </c>
      <c r="Q518" t="s">
        <v>201</v>
      </c>
      <c r="R518">
        <v>2025</v>
      </c>
      <c r="S518">
        <v>5</v>
      </c>
    </row>
    <row r="519" spans="1:19" x14ac:dyDescent="0.3">
      <c r="A519" t="s">
        <v>578</v>
      </c>
      <c r="B519" s="2">
        <v>45795</v>
      </c>
      <c r="C519" t="s">
        <v>33</v>
      </c>
      <c r="D519" t="s">
        <v>34</v>
      </c>
      <c r="E519" t="s">
        <v>44</v>
      </c>
      <c r="F519" t="s">
        <v>30</v>
      </c>
      <c r="G519" t="s">
        <v>24</v>
      </c>
      <c r="H519" t="s">
        <v>25</v>
      </c>
      <c r="I519">
        <v>1</v>
      </c>
      <c r="J519" s="3">
        <v>42109</v>
      </c>
      <c r="K519" s="4">
        <v>0</v>
      </c>
      <c r="L519" s="3">
        <v>42109</v>
      </c>
      <c r="M519" s="3">
        <v>0</v>
      </c>
      <c r="N519" s="3">
        <v>42109</v>
      </c>
      <c r="O519" s="3">
        <v>27974.92</v>
      </c>
      <c r="P519" s="3">
        <v>14134.08</v>
      </c>
      <c r="Q519" t="s">
        <v>201</v>
      </c>
      <c r="R519">
        <v>2025</v>
      </c>
      <c r="S519">
        <v>5</v>
      </c>
    </row>
    <row r="520" spans="1:19" x14ac:dyDescent="0.3">
      <c r="A520" t="s">
        <v>579</v>
      </c>
      <c r="B520" s="2">
        <v>45796</v>
      </c>
      <c r="C520" t="s">
        <v>50</v>
      </c>
      <c r="D520" t="s">
        <v>34</v>
      </c>
      <c r="E520" t="s">
        <v>22</v>
      </c>
      <c r="F520" t="s">
        <v>40</v>
      </c>
      <c r="G520" t="s">
        <v>31</v>
      </c>
      <c r="H520" t="s">
        <v>25</v>
      </c>
      <c r="I520">
        <v>4</v>
      </c>
      <c r="J520" s="3">
        <v>18748</v>
      </c>
      <c r="K520" s="4">
        <v>0</v>
      </c>
      <c r="L520" s="3">
        <v>74992</v>
      </c>
      <c r="M520" s="3">
        <v>0</v>
      </c>
      <c r="N520" s="3">
        <v>74992</v>
      </c>
      <c r="O520" s="3">
        <v>48650.74</v>
      </c>
      <c r="P520" s="3">
        <v>26341.26</v>
      </c>
      <c r="Q520" t="s">
        <v>201</v>
      </c>
      <c r="R520">
        <v>2025</v>
      </c>
      <c r="S520">
        <v>5</v>
      </c>
    </row>
    <row r="521" spans="1:19" x14ac:dyDescent="0.3">
      <c r="A521" t="s">
        <v>580</v>
      </c>
      <c r="B521" s="2">
        <v>45797</v>
      </c>
      <c r="C521" t="s">
        <v>75</v>
      </c>
      <c r="D521" t="s">
        <v>34</v>
      </c>
      <c r="E521" t="s">
        <v>22</v>
      </c>
      <c r="F521" t="s">
        <v>30</v>
      </c>
      <c r="G521" t="s">
        <v>24</v>
      </c>
      <c r="H521" t="s">
        <v>25</v>
      </c>
      <c r="I521">
        <v>4</v>
      </c>
      <c r="J521" s="3">
        <v>37060</v>
      </c>
      <c r="K521" s="4">
        <v>0</v>
      </c>
      <c r="L521" s="3">
        <v>148240</v>
      </c>
      <c r="M521" s="3">
        <v>0</v>
      </c>
      <c r="N521" s="3">
        <v>148240</v>
      </c>
      <c r="O521" s="3">
        <v>83742.59</v>
      </c>
      <c r="P521" s="3">
        <v>64497.41</v>
      </c>
      <c r="Q521" t="s">
        <v>201</v>
      </c>
      <c r="R521">
        <v>2025</v>
      </c>
      <c r="S521">
        <v>5</v>
      </c>
    </row>
    <row r="522" spans="1:19" x14ac:dyDescent="0.3">
      <c r="A522" t="s">
        <v>581</v>
      </c>
      <c r="B522" s="2">
        <v>45800</v>
      </c>
      <c r="C522" t="s">
        <v>20</v>
      </c>
      <c r="D522" t="s">
        <v>21</v>
      </c>
      <c r="E522" t="s">
        <v>56</v>
      </c>
      <c r="F522" t="s">
        <v>23</v>
      </c>
      <c r="G522" t="s">
        <v>24</v>
      </c>
      <c r="H522" t="s">
        <v>25</v>
      </c>
      <c r="I522">
        <v>1</v>
      </c>
      <c r="J522" s="3">
        <v>15673</v>
      </c>
      <c r="K522" s="4">
        <v>0</v>
      </c>
      <c r="L522" s="3">
        <v>15673</v>
      </c>
      <c r="M522" s="3">
        <v>0</v>
      </c>
      <c r="N522" s="3">
        <v>15673</v>
      </c>
      <c r="O522" s="3">
        <v>10101.61</v>
      </c>
      <c r="P522" s="3">
        <v>5571.39</v>
      </c>
      <c r="Q522" t="s">
        <v>201</v>
      </c>
      <c r="R522">
        <v>2025</v>
      </c>
      <c r="S522">
        <v>5</v>
      </c>
    </row>
    <row r="523" spans="1:19" x14ac:dyDescent="0.3">
      <c r="A523" t="s">
        <v>582</v>
      </c>
      <c r="B523" s="2">
        <v>45801</v>
      </c>
      <c r="C523" t="s">
        <v>46</v>
      </c>
      <c r="D523" t="s">
        <v>21</v>
      </c>
      <c r="E523" t="s">
        <v>22</v>
      </c>
      <c r="F523" t="s">
        <v>35</v>
      </c>
      <c r="G523" t="s">
        <v>31</v>
      </c>
      <c r="H523" t="s">
        <v>25</v>
      </c>
      <c r="I523">
        <v>1</v>
      </c>
      <c r="J523" s="3">
        <v>11547</v>
      </c>
      <c r="K523" s="4">
        <v>0</v>
      </c>
      <c r="L523" s="3">
        <v>11547</v>
      </c>
      <c r="M523" s="3">
        <v>0</v>
      </c>
      <c r="N523" s="3">
        <v>11547</v>
      </c>
      <c r="O523" s="3">
        <v>6658.09</v>
      </c>
      <c r="P523" s="3">
        <v>4888.91</v>
      </c>
      <c r="Q523" t="s">
        <v>201</v>
      </c>
      <c r="R523">
        <v>2025</v>
      </c>
      <c r="S523">
        <v>5</v>
      </c>
    </row>
    <row r="524" spans="1:19" x14ac:dyDescent="0.3">
      <c r="A524" t="s">
        <v>583</v>
      </c>
      <c r="B524" s="2">
        <v>45802</v>
      </c>
      <c r="C524" t="s">
        <v>71</v>
      </c>
      <c r="D524" t="s">
        <v>34</v>
      </c>
      <c r="E524" t="s">
        <v>56</v>
      </c>
      <c r="F524" t="s">
        <v>40</v>
      </c>
      <c r="G524" t="s">
        <v>31</v>
      </c>
      <c r="H524" t="s">
        <v>25</v>
      </c>
      <c r="I524">
        <v>5</v>
      </c>
      <c r="J524" s="3">
        <v>49557</v>
      </c>
      <c r="K524" s="4">
        <v>0</v>
      </c>
      <c r="L524" s="3">
        <v>247785</v>
      </c>
      <c r="M524" s="3">
        <v>0</v>
      </c>
      <c r="N524" s="3">
        <v>247785</v>
      </c>
      <c r="O524" s="3">
        <v>167668.22</v>
      </c>
      <c r="P524" s="3">
        <v>80116.78</v>
      </c>
      <c r="Q524" t="s">
        <v>201</v>
      </c>
      <c r="R524">
        <v>2025</v>
      </c>
      <c r="S524">
        <v>5</v>
      </c>
    </row>
    <row r="525" spans="1:19" x14ac:dyDescent="0.3">
      <c r="A525" t="s">
        <v>584</v>
      </c>
      <c r="B525" s="2">
        <v>45802</v>
      </c>
      <c r="C525" t="s">
        <v>20</v>
      </c>
      <c r="D525" t="s">
        <v>21</v>
      </c>
      <c r="E525" t="s">
        <v>56</v>
      </c>
      <c r="F525" t="s">
        <v>40</v>
      </c>
      <c r="G525" t="s">
        <v>31</v>
      </c>
      <c r="H525" t="s">
        <v>25</v>
      </c>
      <c r="I525">
        <v>5</v>
      </c>
      <c r="J525" s="3">
        <v>15033</v>
      </c>
      <c r="K525" s="4">
        <v>5</v>
      </c>
      <c r="L525" s="3">
        <v>75165</v>
      </c>
      <c r="M525" s="3">
        <v>3758.25</v>
      </c>
      <c r="N525" s="3">
        <v>71406.75</v>
      </c>
      <c r="O525" s="3">
        <v>36521.089999999997</v>
      </c>
      <c r="P525" s="3">
        <v>34885.660000000003</v>
      </c>
      <c r="Q525" t="s">
        <v>201</v>
      </c>
      <c r="R525">
        <v>2025</v>
      </c>
      <c r="S525">
        <v>5</v>
      </c>
    </row>
    <row r="526" spans="1:19" x14ac:dyDescent="0.3">
      <c r="A526" t="s">
        <v>585</v>
      </c>
      <c r="B526" s="2">
        <v>45802</v>
      </c>
      <c r="C526" t="s">
        <v>71</v>
      </c>
      <c r="D526" t="s">
        <v>34</v>
      </c>
      <c r="E526" t="s">
        <v>44</v>
      </c>
      <c r="F526" t="s">
        <v>40</v>
      </c>
      <c r="G526" t="s">
        <v>31</v>
      </c>
      <c r="H526" t="s">
        <v>25</v>
      </c>
      <c r="I526">
        <v>2</v>
      </c>
      <c r="J526" s="3">
        <v>51326</v>
      </c>
      <c r="K526" s="4">
        <v>0</v>
      </c>
      <c r="L526" s="3">
        <v>102652</v>
      </c>
      <c r="M526" s="3">
        <v>0</v>
      </c>
      <c r="N526" s="3">
        <v>102652</v>
      </c>
      <c r="O526" s="3">
        <v>53811.65</v>
      </c>
      <c r="P526" s="3">
        <v>48840.35</v>
      </c>
      <c r="Q526" t="s">
        <v>201</v>
      </c>
      <c r="R526">
        <v>2025</v>
      </c>
      <c r="S526">
        <v>5</v>
      </c>
    </row>
    <row r="527" spans="1:19" x14ac:dyDescent="0.3">
      <c r="A527" t="s">
        <v>586</v>
      </c>
      <c r="B527" s="2">
        <v>45803</v>
      </c>
      <c r="C527" t="s">
        <v>82</v>
      </c>
      <c r="D527" t="s">
        <v>21</v>
      </c>
      <c r="E527" t="s">
        <v>42</v>
      </c>
      <c r="F527" t="s">
        <v>23</v>
      </c>
      <c r="G527" t="s">
        <v>31</v>
      </c>
      <c r="H527" t="s">
        <v>25</v>
      </c>
      <c r="I527">
        <v>1</v>
      </c>
      <c r="J527" s="3">
        <v>42063</v>
      </c>
      <c r="K527" s="4">
        <v>0</v>
      </c>
      <c r="L527" s="3">
        <v>42063</v>
      </c>
      <c r="M527" s="3">
        <v>0</v>
      </c>
      <c r="N527" s="3">
        <v>42063</v>
      </c>
      <c r="O527" s="3">
        <v>22093.8</v>
      </c>
      <c r="P527" s="3">
        <v>19969.2</v>
      </c>
      <c r="Q527" t="s">
        <v>201</v>
      </c>
      <c r="R527">
        <v>2025</v>
      </c>
      <c r="S527">
        <v>5</v>
      </c>
    </row>
    <row r="528" spans="1:19" x14ac:dyDescent="0.3">
      <c r="A528" t="s">
        <v>587</v>
      </c>
      <c r="B528" s="2">
        <v>45804</v>
      </c>
      <c r="C528" t="s">
        <v>20</v>
      </c>
      <c r="D528" t="s">
        <v>21</v>
      </c>
      <c r="E528" t="s">
        <v>22</v>
      </c>
      <c r="F528" t="s">
        <v>40</v>
      </c>
      <c r="G528" t="s">
        <v>24</v>
      </c>
      <c r="H528" t="s">
        <v>25</v>
      </c>
      <c r="I528">
        <v>1</v>
      </c>
      <c r="J528" s="3">
        <v>16191</v>
      </c>
      <c r="K528" s="4">
        <v>0</v>
      </c>
      <c r="L528" s="3">
        <v>16191</v>
      </c>
      <c r="M528" s="3">
        <v>0</v>
      </c>
      <c r="N528" s="3">
        <v>16191</v>
      </c>
      <c r="O528" s="3">
        <v>10266.540000000001</v>
      </c>
      <c r="P528" s="3">
        <v>5924.46</v>
      </c>
      <c r="Q528" t="s">
        <v>201</v>
      </c>
      <c r="R528">
        <v>2025</v>
      </c>
      <c r="S528">
        <v>5</v>
      </c>
    </row>
    <row r="529" spans="1:19" x14ac:dyDescent="0.3">
      <c r="A529" t="s">
        <v>588</v>
      </c>
      <c r="B529" s="2">
        <v>45804</v>
      </c>
      <c r="C529" t="s">
        <v>75</v>
      </c>
      <c r="D529" t="s">
        <v>34</v>
      </c>
      <c r="E529" t="s">
        <v>44</v>
      </c>
      <c r="F529" t="s">
        <v>37</v>
      </c>
      <c r="G529" t="s">
        <v>31</v>
      </c>
      <c r="H529" t="s">
        <v>25</v>
      </c>
      <c r="I529">
        <v>1</v>
      </c>
      <c r="J529" s="3">
        <v>38187</v>
      </c>
      <c r="K529" s="4">
        <v>0</v>
      </c>
      <c r="L529" s="3">
        <v>38187</v>
      </c>
      <c r="M529" s="3">
        <v>0</v>
      </c>
      <c r="N529" s="3">
        <v>38187</v>
      </c>
      <c r="O529" s="3">
        <v>19540.560000000001</v>
      </c>
      <c r="P529" s="3">
        <v>18646.439999999999</v>
      </c>
      <c r="Q529" t="s">
        <v>201</v>
      </c>
      <c r="R529">
        <v>2025</v>
      </c>
      <c r="S529">
        <v>5</v>
      </c>
    </row>
    <row r="530" spans="1:19" x14ac:dyDescent="0.3">
      <c r="A530" t="s">
        <v>589</v>
      </c>
      <c r="B530" s="2">
        <v>45805</v>
      </c>
      <c r="C530" t="s">
        <v>75</v>
      </c>
      <c r="D530" t="s">
        <v>34</v>
      </c>
      <c r="E530" t="s">
        <v>22</v>
      </c>
      <c r="F530" t="s">
        <v>23</v>
      </c>
      <c r="G530" t="s">
        <v>31</v>
      </c>
      <c r="H530" t="s">
        <v>25</v>
      </c>
      <c r="I530">
        <v>1</v>
      </c>
      <c r="J530" s="3">
        <v>36006</v>
      </c>
      <c r="K530" s="4">
        <v>0</v>
      </c>
      <c r="L530" s="3">
        <v>36006</v>
      </c>
      <c r="M530" s="3">
        <v>0</v>
      </c>
      <c r="N530" s="3">
        <v>36006</v>
      </c>
      <c r="O530" s="3">
        <v>19597.8</v>
      </c>
      <c r="P530" s="3">
        <v>16408.2</v>
      </c>
      <c r="Q530" t="s">
        <v>201</v>
      </c>
      <c r="R530">
        <v>2025</v>
      </c>
      <c r="S530">
        <v>5</v>
      </c>
    </row>
    <row r="531" spans="1:19" x14ac:dyDescent="0.3">
      <c r="A531" t="s">
        <v>590</v>
      </c>
      <c r="B531" s="2">
        <v>45807</v>
      </c>
      <c r="C531" t="s">
        <v>48</v>
      </c>
      <c r="D531" t="s">
        <v>34</v>
      </c>
      <c r="E531" t="s">
        <v>56</v>
      </c>
      <c r="F531" t="s">
        <v>37</v>
      </c>
      <c r="G531" t="s">
        <v>24</v>
      </c>
      <c r="H531" t="s">
        <v>25</v>
      </c>
      <c r="I531">
        <v>1</v>
      </c>
      <c r="J531" s="3">
        <v>25675</v>
      </c>
      <c r="K531" s="4">
        <v>0</v>
      </c>
      <c r="L531" s="3">
        <v>25675</v>
      </c>
      <c r="M531" s="3">
        <v>0</v>
      </c>
      <c r="N531" s="3">
        <v>25675</v>
      </c>
      <c r="O531" s="3">
        <v>17113.689999999999</v>
      </c>
      <c r="P531" s="3">
        <v>8561.31</v>
      </c>
      <c r="Q531" t="s">
        <v>201</v>
      </c>
      <c r="R531">
        <v>2025</v>
      </c>
      <c r="S531">
        <v>5</v>
      </c>
    </row>
    <row r="532" spans="1:19" x14ac:dyDescent="0.3">
      <c r="A532" t="s">
        <v>591</v>
      </c>
      <c r="B532" s="2">
        <v>45807</v>
      </c>
      <c r="C532" t="s">
        <v>28</v>
      </c>
      <c r="D532" t="s">
        <v>29</v>
      </c>
      <c r="E532" t="s">
        <v>22</v>
      </c>
      <c r="F532" t="s">
        <v>37</v>
      </c>
      <c r="G532" t="s">
        <v>31</v>
      </c>
      <c r="H532" t="s">
        <v>25</v>
      </c>
      <c r="I532">
        <v>2</v>
      </c>
      <c r="J532" s="3">
        <v>67362</v>
      </c>
      <c r="K532" s="4">
        <v>0</v>
      </c>
      <c r="L532" s="3">
        <v>134724</v>
      </c>
      <c r="M532" s="3">
        <v>0</v>
      </c>
      <c r="N532" s="3">
        <v>0</v>
      </c>
      <c r="O532" s="3">
        <v>89910.85</v>
      </c>
      <c r="P532" s="3">
        <v>0</v>
      </c>
      <c r="Q532" t="s">
        <v>201</v>
      </c>
      <c r="R532">
        <v>2025</v>
      </c>
      <c r="S532">
        <v>5</v>
      </c>
    </row>
    <row r="533" spans="1:19" x14ac:dyDescent="0.3">
      <c r="A533" t="s">
        <v>592</v>
      </c>
      <c r="B533" s="2">
        <v>45808</v>
      </c>
      <c r="C533" t="s">
        <v>75</v>
      </c>
      <c r="D533" t="s">
        <v>34</v>
      </c>
      <c r="E533" t="s">
        <v>56</v>
      </c>
      <c r="F533" t="s">
        <v>40</v>
      </c>
      <c r="G533" t="s">
        <v>31</v>
      </c>
      <c r="H533" t="s">
        <v>25</v>
      </c>
      <c r="I533">
        <v>2</v>
      </c>
      <c r="J533" s="3">
        <v>39412</v>
      </c>
      <c r="K533" s="4">
        <v>10</v>
      </c>
      <c r="L533" s="3">
        <v>78824</v>
      </c>
      <c r="M533" s="3">
        <v>7882.4</v>
      </c>
      <c r="N533" s="3">
        <v>70941.600000000006</v>
      </c>
      <c r="O533" s="3">
        <v>48369.25</v>
      </c>
      <c r="P533" s="3">
        <v>22572.35</v>
      </c>
      <c r="Q533" t="s">
        <v>201</v>
      </c>
      <c r="R533">
        <v>2025</v>
      </c>
      <c r="S533">
        <v>5</v>
      </c>
    </row>
    <row r="534" spans="1:19" x14ac:dyDescent="0.3">
      <c r="A534" t="s">
        <v>593</v>
      </c>
      <c r="B534" s="2">
        <v>45809</v>
      </c>
      <c r="C534" t="s">
        <v>28</v>
      </c>
      <c r="D534" t="s">
        <v>29</v>
      </c>
      <c r="E534" t="s">
        <v>44</v>
      </c>
      <c r="F534" t="s">
        <v>35</v>
      </c>
      <c r="G534" t="s">
        <v>24</v>
      </c>
      <c r="H534" t="s">
        <v>25</v>
      </c>
      <c r="I534">
        <v>3</v>
      </c>
      <c r="J534" s="3">
        <v>67156</v>
      </c>
      <c r="K534" s="4">
        <v>0</v>
      </c>
      <c r="L534" s="3">
        <v>201468</v>
      </c>
      <c r="M534" s="3">
        <v>0</v>
      </c>
      <c r="N534" s="3">
        <v>201468</v>
      </c>
      <c r="O534" s="3">
        <v>105926.86</v>
      </c>
      <c r="P534" s="3">
        <v>95541.14</v>
      </c>
      <c r="Q534" t="s">
        <v>241</v>
      </c>
      <c r="R534">
        <v>2025</v>
      </c>
      <c r="S534">
        <v>6</v>
      </c>
    </row>
    <row r="535" spans="1:19" x14ac:dyDescent="0.3">
      <c r="A535" t="s">
        <v>594</v>
      </c>
      <c r="B535" s="2">
        <v>45809</v>
      </c>
      <c r="C535" t="s">
        <v>48</v>
      </c>
      <c r="D535" t="s">
        <v>34</v>
      </c>
      <c r="E535" t="s">
        <v>44</v>
      </c>
      <c r="F535" t="s">
        <v>40</v>
      </c>
      <c r="G535" t="s">
        <v>31</v>
      </c>
      <c r="H535" t="s">
        <v>25</v>
      </c>
      <c r="I535">
        <v>2</v>
      </c>
      <c r="J535" s="3">
        <v>24458</v>
      </c>
      <c r="K535" s="4">
        <v>0</v>
      </c>
      <c r="L535" s="3">
        <v>48916</v>
      </c>
      <c r="M535" s="3">
        <v>0</v>
      </c>
      <c r="N535" s="3">
        <v>48916</v>
      </c>
      <c r="O535" s="3">
        <v>25386.84</v>
      </c>
      <c r="P535" s="3">
        <v>23529.16</v>
      </c>
      <c r="Q535" t="s">
        <v>241</v>
      </c>
      <c r="R535">
        <v>2025</v>
      </c>
      <c r="S535">
        <v>6</v>
      </c>
    </row>
    <row r="536" spans="1:19" x14ac:dyDescent="0.3">
      <c r="A536" t="s">
        <v>595</v>
      </c>
      <c r="B536" s="2">
        <v>45812</v>
      </c>
      <c r="C536" t="s">
        <v>46</v>
      </c>
      <c r="D536" t="s">
        <v>21</v>
      </c>
      <c r="E536" t="s">
        <v>22</v>
      </c>
      <c r="F536" t="s">
        <v>35</v>
      </c>
      <c r="G536" t="s">
        <v>31</v>
      </c>
      <c r="H536" t="s">
        <v>25</v>
      </c>
      <c r="I536">
        <v>3</v>
      </c>
      <c r="J536" s="3">
        <v>11386</v>
      </c>
      <c r="K536" s="4">
        <v>0</v>
      </c>
      <c r="L536" s="3">
        <v>34158</v>
      </c>
      <c r="M536" s="3">
        <v>0</v>
      </c>
      <c r="N536" s="3">
        <v>34158</v>
      </c>
      <c r="O536" s="3">
        <v>18582.36</v>
      </c>
      <c r="P536" s="3">
        <v>15575.64</v>
      </c>
      <c r="Q536" t="s">
        <v>241</v>
      </c>
      <c r="R536">
        <v>2025</v>
      </c>
      <c r="S536">
        <v>6</v>
      </c>
    </row>
    <row r="537" spans="1:19" x14ac:dyDescent="0.3">
      <c r="A537" t="s">
        <v>596</v>
      </c>
      <c r="B537" s="2">
        <v>45812</v>
      </c>
      <c r="C537" t="s">
        <v>82</v>
      </c>
      <c r="D537" t="s">
        <v>21</v>
      </c>
      <c r="E537" t="s">
        <v>22</v>
      </c>
      <c r="F537" t="s">
        <v>23</v>
      </c>
      <c r="G537" t="s">
        <v>31</v>
      </c>
      <c r="H537" t="s">
        <v>25</v>
      </c>
      <c r="I537">
        <v>1</v>
      </c>
      <c r="J537" s="3">
        <v>43919</v>
      </c>
      <c r="K537" s="4">
        <v>0</v>
      </c>
      <c r="L537" s="3">
        <v>43919</v>
      </c>
      <c r="M537" s="3">
        <v>0</v>
      </c>
      <c r="N537" s="3">
        <v>43919</v>
      </c>
      <c r="O537" s="3">
        <v>29385.03</v>
      </c>
      <c r="P537" s="3">
        <v>14533.97</v>
      </c>
      <c r="Q537" t="s">
        <v>241</v>
      </c>
      <c r="R537">
        <v>2025</v>
      </c>
      <c r="S537">
        <v>6</v>
      </c>
    </row>
    <row r="538" spans="1:19" x14ac:dyDescent="0.3">
      <c r="A538" t="s">
        <v>597</v>
      </c>
      <c r="B538" s="2">
        <v>45812</v>
      </c>
      <c r="C538" t="s">
        <v>75</v>
      </c>
      <c r="D538" t="s">
        <v>34</v>
      </c>
      <c r="E538" t="s">
        <v>22</v>
      </c>
      <c r="F538" t="s">
        <v>37</v>
      </c>
      <c r="G538" t="s">
        <v>31</v>
      </c>
      <c r="H538" t="s">
        <v>25</v>
      </c>
      <c r="I538">
        <v>2</v>
      </c>
      <c r="J538" s="3">
        <v>37877</v>
      </c>
      <c r="K538" s="4">
        <v>0</v>
      </c>
      <c r="L538" s="3">
        <v>75754</v>
      </c>
      <c r="M538" s="3">
        <v>0</v>
      </c>
      <c r="N538" s="3">
        <v>75754</v>
      </c>
      <c r="O538" s="3">
        <v>39471.949999999997</v>
      </c>
      <c r="P538" s="3">
        <v>36282.050000000003</v>
      </c>
      <c r="Q538" t="s">
        <v>241</v>
      </c>
      <c r="R538">
        <v>2025</v>
      </c>
      <c r="S538">
        <v>6</v>
      </c>
    </row>
    <row r="539" spans="1:19" x14ac:dyDescent="0.3">
      <c r="A539" t="s">
        <v>598</v>
      </c>
      <c r="B539" s="2">
        <v>45813</v>
      </c>
      <c r="C539" t="s">
        <v>71</v>
      </c>
      <c r="D539" t="s">
        <v>34</v>
      </c>
      <c r="E539" t="s">
        <v>56</v>
      </c>
      <c r="F539" t="s">
        <v>40</v>
      </c>
      <c r="G539" t="s">
        <v>24</v>
      </c>
      <c r="H539" t="s">
        <v>240</v>
      </c>
      <c r="I539">
        <v>3</v>
      </c>
      <c r="J539" s="3">
        <v>47566</v>
      </c>
      <c r="K539" s="4">
        <v>10</v>
      </c>
      <c r="L539" s="3">
        <v>142698</v>
      </c>
      <c r="M539" s="3">
        <v>14269.8</v>
      </c>
      <c r="N539" s="3">
        <v>128428.2</v>
      </c>
      <c r="O539" s="3">
        <v>72219.59</v>
      </c>
      <c r="P539" s="3">
        <v>56208.61</v>
      </c>
      <c r="Q539" t="s">
        <v>241</v>
      </c>
      <c r="R539">
        <v>2025</v>
      </c>
      <c r="S539">
        <v>6</v>
      </c>
    </row>
    <row r="540" spans="1:19" x14ac:dyDescent="0.3">
      <c r="A540" t="s">
        <v>599</v>
      </c>
      <c r="B540" s="2">
        <v>45815</v>
      </c>
      <c r="C540" t="s">
        <v>82</v>
      </c>
      <c r="D540" t="s">
        <v>21</v>
      </c>
      <c r="E540" t="s">
        <v>22</v>
      </c>
      <c r="F540" t="s">
        <v>40</v>
      </c>
      <c r="G540" t="s">
        <v>24</v>
      </c>
      <c r="H540" t="s">
        <v>240</v>
      </c>
      <c r="I540">
        <v>5</v>
      </c>
      <c r="J540" s="3">
        <v>46974</v>
      </c>
      <c r="K540" s="4">
        <v>15</v>
      </c>
      <c r="L540" s="3">
        <v>234870</v>
      </c>
      <c r="M540" s="3">
        <v>35230.5</v>
      </c>
      <c r="N540" s="3">
        <v>199639.5</v>
      </c>
      <c r="O540" s="3">
        <v>134893.51</v>
      </c>
      <c r="P540" s="3">
        <v>64745.99</v>
      </c>
      <c r="Q540" t="s">
        <v>241</v>
      </c>
      <c r="R540">
        <v>2025</v>
      </c>
      <c r="S540">
        <v>6</v>
      </c>
    </row>
    <row r="541" spans="1:19" x14ac:dyDescent="0.3">
      <c r="A541" t="s">
        <v>600</v>
      </c>
      <c r="B541" s="2">
        <v>45815</v>
      </c>
      <c r="C541" t="s">
        <v>64</v>
      </c>
      <c r="D541" t="s">
        <v>29</v>
      </c>
      <c r="E541" t="s">
        <v>56</v>
      </c>
      <c r="F541" t="s">
        <v>37</v>
      </c>
      <c r="G541" t="s">
        <v>24</v>
      </c>
      <c r="H541" t="s">
        <v>240</v>
      </c>
      <c r="I541">
        <v>4</v>
      </c>
      <c r="J541" s="3">
        <v>29840</v>
      </c>
      <c r="K541" s="4">
        <v>10</v>
      </c>
      <c r="L541" s="3">
        <v>119360</v>
      </c>
      <c r="M541" s="3">
        <v>11936</v>
      </c>
      <c r="N541" s="3">
        <v>107424</v>
      </c>
      <c r="O541" s="3">
        <v>80044.639999999999</v>
      </c>
      <c r="P541" s="3">
        <v>27379.360000000001</v>
      </c>
      <c r="Q541" t="s">
        <v>241</v>
      </c>
      <c r="R541">
        <v>2025</v>
      </c>
      <c r="S541">
        <v>6</v>
      </c>
    </row>
    <row r="542" spans="1:19" x14ac:dyDescent="0.3">
      <c r="A542" t="s">
        <v>601</v>
      </c>
      <c r="B542" s="2">
        <v>45816</v>
      </c>
      <c r="C542" t="s">
        <v>33</v>
      </c>
      <c r="D542" t="s">
        <v>34</v>
      </c>
      <c r="E542" t="s">
        <v>56</v>
      </c>
      <c r="F542" t="s">
        <v>37</v>
      </c>
      <c r="G542" t="s">
        <v>24</v>
      </c>
      <c r="H542" t="s">
        <v>25</v>
      </c>
      <c r="I542">
        <v>3</v>
      </c>
      <c r="J542" s="3">
        <v>44311</v>
      </c>
      <c r="K542" s="4">
        <v>15</v>
      </c>
      <c r="L542" s="3">
        <v>132933</v>
      </c>
      <c r="M542" s="3">
        <v>19939.95</v>
      </c>
      <c r="N542" s="3">
        <v>112993.05</v>
      </c>
      <c r="O542" s="3">
        <v>76113.5</v>
      </c>
      <c r="P542" s="3">
        <v>36879.550000000003</v>
      </c>
      <c r="Q542" t="s">
        <v>241</v>
      </c>
      <c r="R542">
        <v>2025</v>
      </c>
      <c r="S542">
        <v>6</v>
      </c>
    </row>
    <row r="543" spans="1:19" x14ac:dyDescent="0.3">
      <c r="A543" t="s">
        <v>602</v>
      </c>
      <c r="B543" s="2">
        <v>45816</v>
      </c>
      <c r="C543" t="s">
        <v>33</v>
      </c>
      <c r="D543" t="s">
        <v>34</v>
      </c>
      <c r="E543" t="s">
        <v>42</v>
      </c>
      <c r="F543" t="s">
        <v>40</v>
      </c>
      <c r="G543" t="s">
        <v>24</v>
      </c>
      <c r="H543" t="s">
        <v>240</v>
      </c>
      <c r="I543">
        <v>5</v>
      </c>
      <c r="J543" s="3">
        <v>45258</v>
      </c>
      <c r="K543" s="4">
        <v>10</v>
      </c>
      <c r="L543" s="3">
        <v>226290</v>
      </c>
      <c r="M543" s="3">
        <v>22629</v>
      </c>
      <c r="N543" s="3">
        <v>203661</v>
      </c>
      <c r="O543" s="3">
        <v>129112.64</v>
      </c>
      <c r="P543" s="3">
        <v>74548.36</v>
      </c>
      <c r="Q543" t="s">
        <v>241</v>
      </c>
      <c r="R543">
        <v>2025</v>
      </c>
      <c r="S543">
        <v>6</v>
      </c>
    </row>
    <row r="544" spans="1:19" x14ac:dyDescent="0.3">
      <c r="A544" t="s">
        <v>603</v>
      </c>
      <c r="B544" s="2">
        <v>45817</v>
      </c>
      <c r="C544" t="s">
        <v>48</v>
      </c>
      <c r="D544" t="s">
        <v>34</v>
      </c>
      <c r="E544" t="s">
        <v>42</v>
      </c>
      <c r="F544" t="s">
        <v>35</v>
      </c>
      <c r="G544" t="s">
        <v>24</v>
      </c>
      <c r="H544" t="s">
        <v>240</v>
      </c>
      <c r="I544">
        <v>3</v>
      </c>
      <c r="J544" s="3">
        <v>23949</v>
      </c>
      <c r="K544" s="4">
        <v>15</v>
      </c>
      <c r="L544" s="3">
        <v>71847</v>
      </c>
      <c r="M544" s="3">
        <v>10777.05</v>
      </c>
      <c r="N544" s="3">
        <v>61069.95</v>
      </c>
      <c r="O544" s="3">
        <v>47964.88</v>
      </c>
      <c r="P544" s="3">
        <v>13105.07</v>
      </c>
      <c r="Q544" t="s">
        <v>241</v>
      </c>
      <c r="R544">
        <v>2025</v>
      </c>
      <c r="S544">
        <v>6</v>
      </c>
    </row>
    <row r="545" spans="1:19" x14ac:dyDescent="0.3">
      <c r="A545" t="s">
        <v>604</v>
      </c>
      <c r="B545" s="2">
        <v>45817</v>
      </c>
      <c r="C545" t="s">
        <v>50</v>
      </c>
      <c r="D545" t="s">
        <v>34</v>
      </c>
      <c r="E545" t="s">
        <v>22</v>
      </c>
      <c r="F545" t="s">
        <v>40</v>
      </c>
      <c r="G545" t="s">
        <v>24</v>
      </c>
      <c r="H545" t="s">
        <v>25</v>
      </c>
      <c r="I545">
        <v>1</v>
      </c>
      <c r="J545" s="3">
        <v>17803</v>
      </c>
      <c r="K545" s="4">
        <v>0</v>
      </c>
      <c r="L545" s="3">
        <v>17803</v>
      </c>
      <c r="M545" s="3">
        <v>0</v>
      </c>
      <c r="N545" s="3">
        <v>17803</v>
      </c>
      <c r="O545" s="3">
        <v>11546.85</v>
      </c>
      <c r="P545" s="3">
        <v>6256.15</v>
      </c>
      <c r="Q545" t="s">
        <v>241</v>
      </c>
      <c r="R545">
        <v>2025</v>
      </c>
      <c r="S545">
        <v>6</v>
      </c>
    </row>
    <row r="546" spans="1:19" x14ac:dyDescent="0.3">
      <c r="A546" t="s">
        <v>605</v>
      </c>
      <c r="B546" s="2">
        <v>45817</v>
      </c>
      <c r="C546" t="s">
        <v>48</v>
      </c>
      <c r="D546" t="s">
        <v>34</v>
      </c>
      <c r="E546" t="s">
        <v>22</v>
      </c>
      <c r="F546" t="s">
        <v>40</v>
      </c>
      <c r="G546" t="s">
        <v>31</v>
      </c>
      <c r="H546" t="s">
        <v>240</v>
      </c>
      <c r="I546">
        <v>1</v>
      </c>
      <c r="J546" s="3">
        <v>24451</v>
      </c>
      <c r="K546" s="4">
        <v>5</v>
      </c>
      <c r="L546" s="3">
        <v>24451</v>
      </c>
      <c r="M546" s="3">
        <v>1222.55</v>
      </c>
      <c r="N546" s="3">
        <v>23228.45</v>
      </c>
      <c r="O546" s="3">
        <v>15078.61</v>
      </c>
      <c r="P546" s="3">
        <v>8149.84</v>
      </c>
      <c r="Q546" t="s">
        <v>241</v>
      </c>
      <c r="R546">
        <v>2025</v>
      </c>
      <c r="S546">
        <v>6</v>
      </c>
    </row>
    <row r="547" spans="1:19" x14ac:dyDescent="0.3">
      <c r="A547" t="s">
        <v>606</v>
      </c>
      <c r="B547" s="2">
        <v>45823</v>
      </c>
      <c r="C547" t="s">
        <v>48</v>
      </c>
      <c r="D547" t="s">
        <v>34</v>
      </c>
      <c r="E547" t="s">
        <v>42</v>
      </c>
      <c r="F547" t="s">
        <v>35</v>
      </c>
      <c r="G547" t="s">
        <v>24</v>
      </c>
      <c r="H547" t="s">
        <v>25</v>
      </c>
      <c r="I547">
        <v>3</v>
      </c>
      <c r="J547" s="3">
        <v>26450</v>
      </c>
      <c r="K547" s="4">
        <v>10</v>
      </c>
      <c r="L547" s="3">
        <v>79350</v>
      </c>
      <c r="M547" s="3">
        <v>7935</v>
      </c>
      <c r="N547" s="3">
        <v>71415</v>
      </c>
      <c r="O547" s="3">
        <v>47385.65</v>
      </c>
      <c r="P547" s="3">
        <v>24029.35</v>
      </c>
      <c r="Q547" t="s">
        <v>241</v>
      </c>
      <c r="R547">
        <v>2025</v>
      </c>
      <c r="S547">
        <v>6</v>
      </c>
    </row>
    <row r="548" spans="1:19" x14ac:dyDescent="0.3">
      <c r="A548" t="s">
        <v>607</v>
      </c>
      <c r="B548" s="2">
        <v>45825</v>
      </c>
      <c r="C548" t="s">
        <v>28</v>
      </c>
      <c r="D548" t="s">
        <v>29</v>
      </c>
      <c r="E548" t="s">
        <v>44</v>
      </c>
      <c r="F548" t="s">
        <v>40</v>
      </c>
      <c r="G548" t="s">
        <v>31</v>
      </c>
      <c r="H548" t="s">
        <v>25</v>
      </c>
      <c r="I548">
        <v>1</v>
      </c>
      <c r="J548" s="3">
        <v>69773</v>
      </c>
      <c r="K548" s="4">
        <v>0</v>
      </c>
      <c r="L548" s="3">
        <v>69773</v>
      </c>
      <c r="M548" s="3">
        <v>0</v>
      </c>
      <c r="N548" s="3">
        <v>69773</v>
      </c>
      <c r="O548" s="3">
        <v>37142.559999999998</v>
      </c>
      <c r="P548" s="3">
        <v>32630.44</v>
      </c>
      <c r="Q548" t="s">
        <v>241</v>
      </c>
      <c r="R548">
        <v>2025</v>
      </c>
      <c r="S548">
        <v>6</v>
      </c>
    </row>
    <row r="549" spans="1:19" x14ac:dyDescent="0.3">
      <c r="A549" t="s">
        <v>608</v>
      </c>
      <c r="B549" s="2">
        <v>45828</v>
      </c>
      <c r="C549" t="s">
        <v>46</v>
      </c>
      <c r="D549" t="s">
        <v>21</v>
      </c>
      <c r="E549" t="s">
        <v>44</v>
      </c>
      <c r="F549" t="s">
        <v>40</v>
      </c>
      <c r="G549" t="s">
        <v>24</v>
      </c>
      <c r="H549" t="s">
        <v>25</v>
      </c>
      <c r="I549">
        <v>2</v>
      </c>
      <c r="J549" s="3">
        <v>11844</v>
      </c>
      <c r="K549" s="4">
        <v>0</v>
      </c>
      <c r="L549" s="3">
        <v>23688</v>
      </c>
      <c r="M549" s="3">
        <v>0</v>
      </c>
      <c r="N549" s="3">
        <v>23688</v>
      </c>
      <c r="O549" s="3">
        <v>12719.76</v>
      </c>
      <c r="P549" s="3">
        <v>10968.24</v>
      </c>
      <c r="Q549" t="s">
        <v>241</v>
      </c>
      <c r="R549">
        <v>2025</v>
      </c>
      <c r="S549">
        <v>6</v>
      </c>
    </row>
    <row r="550" spans="1:19" x14ac:dyDescent="0.3">
      <c r="A550" t="s">
        <v>609</v>
      </c>
      <c r="B550" s="2">
        <v>45828</v>
      </c>
      <c r="C550" t="s">
        <v>50</v>
      </c>
      <c r="D550" t="s">
        <v>34</v>
      </c>
      <c r="E550" t="s">
        <v>42</v>
      </c>
      <c r="F550" t="s">
        <v>30</v>
      </c>
      <c r="G550" t="s">
        <v>31</v>
      </c>
      <c r="H550" t="s">
        <v>240</v>
      </c>
      <c r="I550">
        <v>5</v>
      </c>
      <c r="J550" s="3">
        <v>18483</v>
      </c>
      <c r="K550" s="4">
        <v>10</v>
      </c>
      <c r="L550" s="3">
        <v>92415</v>
      </c>
      <c r="M550" s="3">
        <v>9241.5</v>
      </c>
      <c r="N550" s="3">
        <v>83173.5</v>
      </c>
      <c r="O550" s="3">
        <v>55083.56</v>
      </c>
      <c r="P550" s="3">
        <v>28089.94</v>
      </c>
      <c r="Q550" t="s">
        <v>241</v>
      </c>
      <c r="R550">
        <v>2025</v>
      </c>
      <c r="S550">
        <v>6</v>
      </c>
    </row>
    <row r="551" spans="1:19" x14ac:dyDescent="0.3">
      <c r="A551" t="s">
        <v>610</v>
      </c>
      <c r="B551" s="2">
        <v>45829</v>
      </c>
      <c r="C551" t="s">
        <v>64</v>
      </c>
      <c r="D551" t="s">
        <v>29</v>
      </c>
      <c r="E551" t="s">
        <v>56</v>
      </c>
      <c r="F551" t="s">
        <v>40</v>
      </c>
      <c r="G551" t="s">
        <v>24</v>
      </c>
      <c r="H551" t="s">
        <v>240</v>
      </c>
      <c r="I551">
        <v>1</v>
      </c>
      <c r="J551" s="3">
        <v>29609</v>
      </c>
      <c r="K551" s="4">
        <v>10</v>
      </c>
      <c r="L551" s="3">
        <v>29609</v>
      </c>
      <c r="M551" s="3">
        <v>2960.9</v>
      </c>
      <c r="N551" s="3">
        <v>26648.1</v>
      </c>
      <c r="O551" s="3">
        <v>16179.57</v>
      </c>
      <c r="P551" s="3">
        <v>10468.530000000001</v>
      </c>
      <c r="Q551" t="s">
        <v>241</v>
      </c>
      <c r="R551">
        <v>2025</v>
      </c>
      <c r="S551">
        <v>6</v>
      </c>
    </row>
    <row r="552" spans="1:19" x14ac:dyDescent="0.3">
      <c r="A552" t="s">
        <v>611</v>
      </c>
      <c r="B552" s="2">
        <v>45831</v>
      </c>
      <c r="C552" t="s">
        <v>82</v>
      </c>
      <c r="D552" t="s">
        <v>21</v>
      </c>
      <c r="E552" t="s">
        <v>42</v>
      </c>
      <c r="F552" t="s">
        <v>30</v>
      </c>
      <c r="G552" t="s">
        <v>31</v>
      </c>
      <c r="H552" t="s">
        <v>240</v>
      </c>
      <c r="I552">
        <v>1</v>
      </c>
      <c r="J552" s="3">
        <v>44771</v>
      </c>
      <c r="K552" s="4">
        <v>5</v>
      </c>
      <c r="L552" s="3">
        <v>44771</v>
      </c>
      <c r="M552" s="3">
        <v>2238.5500000000002</v>
      </c>
      <c r="N552" s="3">
        <v>42532.45</v>
      </c>
      <c r="O552" s="3">
        <v>29849.55</v>
      </c>
      <c r="P552" s="3">
        <v>12682.9</v>
      </c>
      <c r="Q552" t="s">
        <v>241</v>
      </c>
      <c r="R552">
        <v>2025</v>
      </c>
      <c r="S552">
        <v>6</v>
      </c>
    </row>
    <row r="553" spans="1:19" x14ac:dyDescent="0.3">
      <c r="A553" t="s">
        <v>612</v>
      </c>
      <c r="B553" s="2">
        <v>45832</v>
      </c>
      <c r="C553" t="s">
        <v>75</v>
      </c>
      <c r="D553" t="s">
        <v>34</v>
      </c>
      <c r="E553" t="s">
        <v>56</v>
      </c>
      <c r="F553" t="s">
        <v>37</v>
      </c>
      <c r="G553" t="s">
        <v>24</v>
      </c>
      <c r="H553" t="s">
        <v>25</v>
      </c>
      <c r="I553">
        <v>2</v>
      </c>
      <c r="J553" s="3">
        <v>38038</v>
      </c>
      <c r="K553" s="4">
        <v>0</v>
      </c>
      <c r="L553" s="3">
        <v>76076</v>
      </c>
      <c r="M553" s="3">
        <v>0</v>
      </c>
      <c r="N553" s="3">
        <v>76076</v>
      </c>
      <c r="O553" s="3">
        <v>37595.730000000003</v>
      </c>
      <c r="P553" s="3">
        <v>38480.269999999997</v>
      </c>
      <c r="Q553" t="s">
        <v>241</v>
      </c>
      <c r="R553">
        <v>2025</v>
      </c>
      <c r="S553">
        <v>6</v>
      </c>
    </row>
    <row r="554" spans="1:19" x14ac:dyDescent="0.3">
      <c r="A554" t="s">
        <v>613</v>
      </c>
      <c r="B554" s="2">
        <v>45833</v>
      </c>
      <c r="C554" t="s">
        <v>71</v>
      </c>
      <c r="D554" t="s">
        <v>34</v>
      </c>
      <c r="E554" t="s">
        <v>42</v>
      </c>
      <c r="F554" t="s">
        <v>37</v>
      </c>
      <c r="G554" t="s">
        <v>31</v>
      </c>
      <c r="H554" t="s">
        <v>25</v>
      </c>
      <c r="I554">
        <v>1</v>
      </c>
      <c r="J554" s="3">
        <v>52226</v>
      </c>
      <c r="K554" s="4">
        <v>0</v>
      </c>
      <c r="L554" s="3">
        <v>52226</v>
      </c>
      <c r="M554" s="3">
        <v>0</v>
      </c>
      <c r="N554" s="3">
        <v>52226</v>
      </c>
      <c r="O554" s="3">
        <v>34070.99</v>
      </c>
      <c r="P554" s="3">
        <v>18155.009999999998</v>
      </c>
      <c r="Q554" t="s">
        <v>241</v>
      </c>
      <c r="R554">
        <v>2025</v>
      </c>
      <c r="S554">
        <v>6</v>
      </c>
    </row>
    <row r="555" spans="1:19" x14ac:dyDescent="0.3">
      <c r="A555" t="s">
        <v>614</v>
      </c>
      <c r="B555" s="2">
        <v>45834</v>
      </c>
      <c r="C555" t="s">
        <v>82</v>
      </c>
      <c r="D555" t="s">
        <v>21</v>
      </c>
      <c r="E555" t="s">
        <v>42</v>
      </c>
      <c r="F555" t="s">
        <v>40</v>
      </c>
      <c r="G555" t="s">
        <v>31</v>
      </c>
      <c r="H555" t="s">
        <v>240</v>
      </c>
      <c r="I555">
        <v>1</v>
      </c>
      <c r="J555" s="3">
        <v>45916</v>
      </c>
      <c r="K555" s="4">
        <v>5</v>
      </c>
      <c r="L555" s="3">
        <v>45916</v>
      </c>
      <c r="M555" s="3">
        <v>2295.8000000000002</v>
      </c>
      <c r="N555" s="3">
        <v>43620.2</v>
      </c>
      <c r="O555" s="3">
        <v>30976.26</v>
      </c>
      <c r="P555" s="3">
        <v>12643.94</v>
      </c>
      <c r="Q555" t="s">
        <v>241</v>
      </c>
      <c r="R555">
        <v>2025</v>
      </c>
      <c r="S555">
        <v>6</v>
      </c>
    </row>
    <row r="556" spans="1:19" x14ac:dyDescent="0.3">
      <c r="A556" t="s">
        <v>615</v>
      </c>
      <c r="B556" s="2">
        <v>45837</v>
      </c>
      <c r="C556" t="s">
        <v>48</v>
      </c>
      <c r="D556" t="s">
        <v>34</v>
      </c>
      <c r="E556" t="s">
        <v>44</v>
      </c>
      <c r="F556" t="s">
        <v>40</v>
      </c>
      <c r="G556" t="s">
        <v>24</v>
      </c>
      <c r="H556" t="s">
        <v>240</v>
      </c>
      <c r="I556">
        <v>1</v>
      </c>
      <c r="J556" s="3">
        <v>25434</v>
      </c>
      <c r="K556" s="4">
        <v>15</v>
      </c>
      <c r="L556" s="3">
        <v>25434</v>
      </c>
      <c r="M556" s="3">
        <v>3815.1</v>
      </c>
      <c r="N556" s="3">
        <v>21618.9</v>
      </c>
      <c r="O556" s="3">
        <v>17288.759999999998</v>
      </c>
      <c r="P556" s="3">
        <v>4330.1400000000003</v>
      </c>
      <c r="Q556" t="s">
        <v>241</v>
      </c>
      <c r="R556">
        <v>2025</v>
      </c>
      <c r="S556">
        <v>6</v>
      </c>
    </row>
    <row r="557" spans="1:19" x14ac:dyDescent="0.3">
      <c r="A557" t="s">
        <v>616</v>
      </c>
      <c r="B557" s="2">
        <v>45837</v>
      </c>
      <c r="C557" t="s">
        <v>28</v>
      </c>
      <c r="D557" t="s">
        <v>29</v>
      </c>
      <c r="E557" t="s">
        <v>44</v>
      </c>
      <c r="F557" t="s">
        <v>37</v>
      </c>
      <c r="G557" t="s">
        <v>31</v>
      </c>
      <c r="H557" t="s">
        <v>240</v>
      </c>
      <c r="I557">
        <v>2</v>
      </c>
      <c r="J557" s="3">
        <v>63734</v>
      </c>
      <c r="K557" s="4">
        <v>15</v>
      </c>
      <c r="L557" s="3">
        <v>127468</v>
      </c>
      <c r="M557" s="3">
        <v>19120.2</v>
      </c>
      <c r="N557" s="3">
        <v>108347.8</v>
      </c>
      <c r="O557" s="3">
        <v>63652.9</v>
      </c>
      <c r="P557" s="3">
        <v>44694.9</v>
      </c>
      <c r="Q557" t="s">
        <v>241</v>
      </c>
      <c r="R557">
        <v>2025</v>
      </c>
      <c r="S557">
        <v>6</v>
      </c>
    </row>
    <row r="558" spans="1:19" x14ac:dyDescent="0.3">
      <c r="A558" t="s">
        <v>617</v>
      </c>
      <c r="B558" s="2">
        <v>45837</v>
      </c>
      <c r="C558" t="s">
        <v>71</v>
      </c>
      <c r="D558" t="s">
        <v>34</v>
      </c>
      <c r="E558" t="s">
        <v>56</v>
      </c>
      <c r="F558" t="s">
        <v>37</v>
      </c>
      <c r="G558" t="s">
        <v>24</v>
      </c>
      <c r="H558" t="s">
        <v>25</v>
      </c>
      <c r="I558">
        <v>1</v>
      </c>
      <c r="J558" s="3">
        <v>47195</v>
      </c>
      <c r="K558" s="4">
        <v>0</v>
      </c>
      <c r="L558" s="3">
        <v>47195</v>
      </c>
      <c r="M558" s="3">
        <v>0</v>
      </c>
      <c r="N558" s="3">
        <v>47195</v>
      </c>
      <c r="O558" s="3">
        <v>27001.040000000001</v>
      </c>
      <c r="P558" s="3">
        <v>20193.96</v>
      </c>
      <c r="Q558" t="s">
        <v>241</v>
      </c>
      <c r="R558">
        <v>2025</v>
      </c>
      <c r="S558">
        <v>6</v>
      </c>
    </row>
    <row r="559" spans="1:19" x14ac:dyDescent="0.3">
      <c r="A559" t="s">
        <v>618</v>
      </c>
      <c r="B559" s="2">
        <v>45838</v>
      </c>
      <c r="C559" t="s">
        <v>75</v>
      </c>
      <c r="D559" t="s">
        <v>34</v>
      </c>
      <c r="E559" t="s">
        <v>44</v>
      </c>
      <c r="F559" t="s">
        <v>40</v>
      </c>
      <c r="G559" t="s">
        <v>24</v>
      </c>
      <c r="H559" t="s">
        <v>25</v>
      </c>
      <c r="I559">
        <v>2</v>
      </c>
      <c r="J559" s="3">
        <v>39743</v>
      </c>
      <c r="K559" s="4">
        <v>0</v>
      </c>
      <c r="L559" s="3">
        <v>79486</v>
      </c>
      <c r="M559" s="3">
        <v>0</v>
      </c>
      <c r="N559" s="3">
        <v>79486</v>
      </c>
      <c r="O559" s="3">
        <v>50041.82</v>
      </c>
      <c r="P559" s="3">
        <v>29444.18</v>
      </c>
      <c r="Q559" t="s">
        <v>241</v>
      </c>
      <c r="R559">
        <v>2025</v>
      </c>
      <c r="S559">
        <v>6</v>
      </c>
    </row>
    <row r="560" spans="1:19" x14ac:dyDescent="0.3">
      <c r="A560" t="s">
        <v>619</v>
      </c>
      <c r="B560" s="2">
        <v>45839</v>
      </c>
      <c r="C560" t="s">
        <v>64</v>
      </c>
      <c r="D560" t="s">
        <v>29</v>
      </c>
      <c r="E560" t="s">
        <v>22</v>
      </c>
      <c r="F560" t="s">
        <v>37</v>
      </c>
      <c r="G560" t="s">
        <v>24</v>
      </c>
      <c r="H560" t="s">
        <v>25</v>
      </c>
      <c r="I560">
        <v>2</v>
      </c>
      <c r="J560" s="3">
        <v>28921</v>
      </c>
      <c r="K560" s="4">
        <v>0</v>
      </c>
      <c r="L560" s="3">
        <v>57842</v>
      </c>
      <c r="M560" s="3">
        <v>0</v>
      </c>
      <c r="N560" s="3">
        <v>57842</v>
      </c>
      <c r="O560" s="3">
        <v>35952.089999999997</v>
      </c>
      <c r="P560" s="3">
        <v>21889.91</v>
      </c>
      <c r="Q560" t="s">
        <v>272</v>
      </c>
      <c r="R560">
        <v>2025</v>
      </c>
      <c r="S560">
        <v>7</v>
      </c>
    </row>
    <row r="561" spans="1:19" x14ac:dyDescent="0.3">
      <c r="A561" t="s">
        <v>620</v>
      </c>
      <c r="B561" s="2">
        <v>45841</v>
      </c>
      <c r="C561" t="s">
        <v>28</v>
      </c>
      <c r="D561" t="s">
        <v>29</v>
      </c>
      <c r="E561" t="s">
        <v>44</v>
      </c>
      <c r="F561" t="s">
        <v>23</v>
      </c>
      <c r="G561" t="s">
        <v>24</v>
      </c>
      <c r="H561" t="s">
        <v>25</v>
      </c>
      <c r="I561">
        <v>3</v>
      </c>
      <c r="J561" s="3">
        <v>68454</v>
      </c>
      <c r="K561" s="4">
        <v>0</v>
      </c>
      <c r="L561" s="3">
        <v>205362</v>
      </c>
      <c r="M561" s="3">
        <v>0</v>
      </c>
      <c r="N561" s="3">
        <v>205362</v>
      </c>
      <c r="O561" s="3">
        <v>125916.29</v>
      </c>
      <c r="P561" s="3">
        <v>79445.710000000006</v>
      </c>
      <c r="Q561" t="s">
        <v>272</v>
      </c>
      <c r="R561">
        <v>2025</v>
      </c>
      <c r="S561">
        <v>7</v>
      </c>
    </row>
    <row r="562" spans="1:19" x14ac:dyDescent="0.3">
      <c r="A562" t="s">
        <v>621</v>
      </c>
      <c r="B562" s="2">
        <v>45841</v>
      </c>
      <c r="C562" t="s">
        <v>46</v>
      </c>
      <c r="D562" t="s">
        <v>21</v>
      </c>
      <c r="E562" t="s">
        <v>22</v>
      </c>
      <c r="F562" t="s">
        <v>30</v>
      </c>
      <c r="G562" t="s">
        <v>24</v>
      </c>
      <c r="H562" t="s">
        <v>25</v>
      </c>
      <c r="I562">
        <v>2</v>
      </c>
      <c r="J562" s="3">
        <v>11857</v>
      </c>
      <c r="K562" s="4">
        <v>0</v>
      </c>
      <c r="L562" s="3">
        <v>23714</v>
      </c>
      <c r="M562" s="3">
        <v>0</v>
      </c>
      <c r="N562" s="3">
        <v>23714</v>
      </c>
      <c r="O562" s="3">
        <v>14600.33</v>
      </c>
      <c r="P562" s="3">
        <v>9113.67</v>
      </c>
      <c r="Q562" t="s">
        <v>272</v>
      </c>
      <c r="R562">
        <v>2025</v>
      </c>
      <c r="S562">
        <v>7</v>
      </c>
    </row>
    <row r="563" spans="1:19" x14ac:dyDescent="0.3">
      <c r="A563" t="s">
        <v>622</v>
      </c>
      <c r="B563" s="2">
        <v>45842</v>
      </c>
      <c r="C563" t="s">
        <v>20</v>
      </c>
      <c r="D563" t="s">
        <v>21</v>
      </c>
      <c r="E563" t="s">
        <v>22</v>
      </c>
      <c r="F563" t="s">
        <v>37</v>
      </c>
      <c r="G563" t="s">
        <v>31</v>
      </c>
      <c r="H563" t="s">
        <v>25</v>
      </c>
      <c r="I563">
        <v>1</v>
      </c>
      <c r="J563" s="3">
        <v>14750</v>
      </c>
      <c r="K563" s="4">
        <v>0</v>
      </c>
      <c r="L563" s="3">
        <v>14750</v>
      </c>
      <c r="M563" s="3">
        <v>0</v>
      </c>
      <c r="N563" s="3">
        <v>14750</v>
      </c>
      <c r="O563" s="3">
        <v>7548.27</v>
      </c>
      <c r="P563" s="3">
        <v>7201.73</v>
      </c>
      <c r="Q563" t="s">
        <v>272</v>
      </c>
      <c r="R563">
        <v>2025</v>
      </c>
      <c r="S563">
        <v>7</v>
      </c>
    </row>
    <row r="564" spans="1:19" x14ac:dyDescent="0.3">
      <c r="A564" t="s">
        <v>623</v>
      </c>
      <c r="B564" s="2">
        <v>45842</v>
      </c>
      <c r="C564" t="s">
        <v>64</v>
      </c>
      <c r="D564" t="s">
        <v>29</v>
      </c>
      <c r="E564" t="s">
        <v>42</v>
      </c>
      <c r="F564" t="s">
        <v>35</v>
      </c>
      <c r="G564" t="s">
        <v>31</v>
      </c>
      <c r="H564" t="s">
        <v>240</v>
      </c>
      <c r="I564">
        <v>5</v>
      </c>
      <c r="J564" s="3">
        <v>28651</v>
      </c>
      <c r="K564" s="4">
        <v>10</v>
      </c>
      <c r="L564" s="3">
        <v>143255</v>
      </c>
      <c r="M564" s="3">
        <v>14325.5</v>
      </c>
      <c r="N564" s="3">
        <v>128929.5</v>
      </c>
      <c r="O564" s="3">
        <v>95103.77</v>
      </c>
      <c r="P564" s="3">
        <v>33825.730000000003</v>
      </c>
      <c r="Q564" t="s">
        <v>272</v>
      </c>
      <c r="R564">
        <v>2025</v>
      </c>
      <c r="S564">
        <v>7</v>
      </c>
    </row>
    <row r="565" spans="1:19" x14ac:dyDescent="0.3">
      <c r="A565" t="s">
        <v>624</v>
      </c>
      <c r="B565" s="2">
        <v>45843</v>
      </c>
      <c r="C565" t="s">
        <v>64</v>
      </c>
      <c r="D565" t="s">
        <v>29</v>
      </c>
      <c r="E565" t="s">
        <v>56</v>
      </c>
      <c r="F565" t="s">
        <v>23</v>
      </c>
      <c r="G565" t="s">
        <v>24</v>
      </c>
      <c r="H565" t="s">
        <v>240</v>
      </c>
      <c r="I565">
        <v>1</v>
      </c>
      <c r="J565" s="3">
        <v>32396</v>
      </c>
      <c r="K565" s="4">
        <v>15</v>
      </c>
      <c r="L565" s="3">
        <v>32396</v>
      </c>
      <c r="M565" s="3">
        <v>4859.3999999999996</v>
      </c>
      <c r="N565" s="3">
        <v>27536.6</v>
      </c>
      <c r="O565" s="3">
        <v>21964.36</v>
      </c>
      <c r="P565" s="3">
        <v>5572.24</v>
      </c>
      <c r="Q565" t="s">
        <v>272</v>
      </c>
      <c r="R565">
        <v>2025</v>
      </c>
      <c r="S565">
        <v>7</v>
      </c>
    </row>
    <row r="566" spans="1:19" x14ac:dyDescent="0.3">
      <c r="A566" t="s">
        <v>625</v>
      </c>
      <c r="B566" s="2">
        <v>45845</v>
      </c>
      <c r="C566" t="s">
        <v>82</v>
      </c>
      <c r="D566" t="s">
        <v>21</v>
      </c>
      <c r="E566" t="s">
        <v>56</v>
      </c>
      <c r="F566" t="s">
        <v>30</v>
      </c>
      <c r="G566" t="s">
        <v>31</v>
      </c>
      <c r="H566" t="s">
        <v>25</v>
      </c>
      <c r="I566">
        <v>1</v>
      </c>
      <c r="J566" s="3">
        <v>48104</v>
      </c>
      <c r="K566" s="4">
        <v>0</v>
      </c>
      <c r="L566" s="3">
        <v>48104</v>
      </c>
      <c r="M566" s="3">
        <v>0</v>
      </c>
      <c r="N566" s="3">
        <v>48104</v>
      </c>
      <c r="O566" s="3">
        <v>23215.73</v>
      </c>
      <c r="P566" s="3">
        <v>24888.27</v>
      </c>
      <c r="Q566" t="s">
        <v>272</v>
      </c>
      <c r="R566">
        <v>2025</v>
      </c>
      <c r="S566">
        <v>7</v>
      </c>
    </row>
    <row r="567" spans="1:19" x14ac:dyDescent="0.3">
      <c r="A567" t="s">
        <v>626</v>
      </c>
      <c r="B567" s="2">
        <v>45848</v>
      </c>
      <c r="C567" t="s">
        <v>20</v>
      </c>
      <c r="D567" t="s">
        <v>21</v>
      </c>
      <c r="E567" t="s">
        <v>22</v>
      </c>
      <c r="F567" t="s">
        <v>40</v>
      </c>
      <c r="G567" t="s">
        <v>24</v>
      </c>
      <c r="H567" t="s">
        <v>240</v>
      </c>
      <c r="I567">
        <v>3</v>
      </c>
      <c r="J567" s="3">
        <v>15531</v>
      </c>
      <c r="K567" s="4">
        <v>20</v>
      </c>
      <c r="L567" s="3">
        <v>46593</v>
      </c>
      <c r="M567" s="3">
        <v>9318.6</v>
      </c>
      <c r="N567" s="3">
        <v>37274.400000000001</v>
      </c>
      <c r="O567" s="3">
        <v>22384.240000000002</v>
      </c>
      <c r="P567" s="3">
        <v>14890.16</v>
      </c>
      <c r="Q567" t="s">
        <v>272</v>
      </c>
      <c r="R567">
        <v>2025</v>
      </c>
      <c r="S567">
        <v>7</v>
      </c>
    </row>
    <row r="568" spans="1:19" x14ac:dyDescent="0.3">
      <c r="A568" t="s">
        <v>627</v>
      </c>
      <c r="B568" s="2">
        <v>45850</v>
      </c>
      <c r="C568" t="s">
        <v>64</v>
      </c>
      <c r="D568" t="s">
        <v>29</v>
      </c>
      <c r="E568" t="s">
        <v>44</v>
      </c>
      <c r="F568" t="s">
        <v>35</v>
      </c>
      <c r="G568" t="s">
        <v>31</v>
      </c>
      <c r="H568" t="s">
        <v>240</v>
      </c>
      <c r="I568">
        <v>3</v>
      </c>
      <c r="J568" s="3">
        <v>28424</v>
      </c>
      <c r="K568" s="4">
        <v>10</v>
      </c>
      <c r="L568" s="3">
        <v>85272</v>
      </c>
      <c r="M568" s="3">
        <v>8527.2000000000007</v>
      </c>
      <c r="N568" s="3">
        <v>76744.800000000003</v>
      </c>
      <c r="O568" s="3">
        <v>45876.12</v>
      </c>
      <c r="P568" s="3">
        <v>30868.68</v>
      </c>
      <c r="Q568" t="s">
        <v>272</v>
      </c>
      <c r="R568">
        <v>2025</v>
      </c>
      <c r="S568">
        <v>7</v>
      </c>
    </row>
    <row r="569" spans="1:19" x14ac:dyDescent="0.3">
      <c r="A569" t="s">
        <v>628</v>
      </c>
      <c r="B569" s="2">
        <v>45851</v>
      </c>
      <c r="C569" t="s">
        <v>50</v>
      </c>
      <c r="D569" t="s">
        <v>34</v>
      </c>
      <c r="E569" t="s">
        <v>22</v>
      </c>
      <c r="F569" t="s">
        <v>40</v>
      </c>
      <c r="G569" t="s">
        <v>31</v>
      </c>
      <c r="H569" t="s">
        <v>25</v>
      </c>
      <c r="I569">
        <v>3</v>
      </c>
      <c r="J569" s="3">
        <v>18229</v>
      </c>
      <c r="K569" s="4">
        <v>0</v>
      </c>
      <c r="L569" s="3">
        <v>54687</v>
      </c>
      <c r="M569" s="3">
        <v>0</v>
      </c>
      <c r="N569" s="3">
        <v>54687</v>
      </c>
      <c r="O569" s="3">
        <v>35172.160000000003</v>
      </c>
      <c r="P569" s="3">
        <v>19514.84</v>
      </c>
      <c r="Q569" t="s">
        <v>272</v>
      </c>
      <c r="R569">
        <v>2025</v>
      </c>
      <c r="S569">
        <v>7</v>
      </c>
    </row>
    <row r="570" spans="1:19" x14ac:dyDescent="0.3">
      <c r="A570" t="s">
        <v>629</v>
      </c>
      <c r="B570" s="2">
        <v>45852</v>
      </c>
      <c r="C570" t="s">
        <v>48</v>
      </c>
      <c r="D570" t="s">
        <v>34</v>
      </c>
      <c r="E570" t="s">
        <v>22</v>
      </c>
      <c r="F570" t="s">
        <v>40</v>
      </c>
      <c r="G570" t="s">
        <v>31</v>
      </c>
      <c r="H570" t="s">
        <v>25</v>
      </c>
      <c r="I570">
        <v>1</v>
      </c>
      <c r="J570" s="3">
        <v>23086</v>
      </c>
      <c r="K570" s="4">
        <v>0</v>
      </c>
      <c r="L570" s="3">
        <v>23086</v>
      </c>
      <c r="M570" s="3">
        <v>0</v>
      </c>
      <c r="N570" s="3">
        <v>23086</v>
      </c>
      <c r="O570" s="3">
        <v>13394.72</v>
      </c>
      <c r="P570" s="3">
        <v>9691.2800000000007</v>
      </c>
      <c r="Q570" t="s">
        <v>272</v>
      </c>
      <c r="R570">
        <v>2025</v>
      </c>
      <c r="S570">
        <v>7</v>
      </c>
    </row>
    <row r="571" spans="1:19" x14ac:dyDescent="0.3">
      <c r="A571" t="s">
        <v>630</v>
      </c>
      <c r="B571" s="2">
        <v>45854</v>
      </c>
      <c r="C571" t="s">
        <v>71</v>
      </c>
      <c r="D571" t="s">
        <v>34</v>
      </c>
      <c r="E571" t="s">
        <v>22</v>
      </c>
      <c r="F571" t="s">
        <v>37</v>
      </c>
      <c r="G571" t="s">
        <v>31</v>
      </c>
      <c r="H571" t="s">
        <v>25</v>
      </c>
      <c r="I571">
        <v>1</v>
      </c>
      <c r="J571" s="3">
        <v>50485</v>
      </c>
      <c r="K571" s="4">
        <v>0</v>
      </c>
      <c r="L571" s="3">
        <v>50485</v>
      </c>
      <c r="M571" s="3">
        <v>0</v>
      </c>
      <c r="N571" s="3">
        <v>50485</v>
      </c>
      <c r="O571" s="3">
        <v>31185.91</v>
      </c>
      <c r="P571" s="3">
        <v>19299.09</v>
      </c>
      <c r="Q571" t="s">
        <v>272</v>
      </c>
      <c r="R571">
        <v>2025</v>
      </c>
      <c r="S571">
        <v>7</v>
      </c>
    </row>
    <row r="572" spans="1:19" x14ac:dyDescent="0.3">
      <c r="A572" t="s">
        <v>631</v>
      </c>
      <c r="B572" s="2">
        <v>45854</v>
      </c>
      <c r="C572" t="s">
        <v>64</v>
      </c>
      <c r="D572" t="s">
        <v>29</v>
      </c>
      <c r="E572" t="s">
        <v>42</v>
      </c>
      <c r="F572" t="s">
        <v>40</v>
      </c>
      <c r="G572" t="s">
        <v>31</v>
      </c>
      <c r="H572" t="s">
        <v>240</v>
      </c>
      <c r="I572">
        <v>2</v>
      </c>
      <c r="J572" s="3">
        <v>27788</v>
      </c>
      <c r="K572" s="4">
        <v>20</v>
      </c>
      <c r="L572" s="3">
        <v>55576</v>
      </c>
      <c r="M572" s="3">
        <v>11115.2</v>
      </c>
      <c r="N572" s="3">
        <v>44460.800000000003</v>
      </c>
      <c r="O572" s="3">
        <v>31702.76</v>
      </c>
      <c r="P572" s="3">
        <v>12758.04</v>
      </c>
      <c r="Q572" t="s">
        <v>272</v>
      </c>
      <c r="R572">
        <v>2025</v>
      </c>
      <c r="S572">
        <v>7</v>
      </c>
    </row>
    <row r="573" spans="1:19" x14ac:dyDescent="0.3">
      <c r="A573" t="s">
        <v>632</v>
      </c>
      <c r="B573" s="2">
        <v>45855</v>
      </c>
      <c r="C573" t="s">
        <v>28</v>
      </c>
      <c r="D573" t="s">
        <v>29</v>
      </c>
      <c r="E573" t="s">
        <v>44</v>
      </c>
      <c r="F573" t="s">
        <v>37</v>
      </c>
      <c r="G573" t="s">
        <v>31</v>
      </c>
      <c r="H573" t="s">
        <v>25</v>
      </c>
      <c r="I573">
        <v>2</v>
      </c>
      <c r="J573" s="3">
        <v>66284</v>
      </c>
      <c r="K573" s="4">
        <v>0</v>
      </c>
      <c r="L573" s="3">
        <v>132568</v>
      </c>
      <c r="M573" s="3">
        <v>0</v>
      </c>
      <c r="N573" s="3">
        <v>132568</v>
      </c>
      <c r="O573" s="3">
        <v>86020.87</v>
      </c>
      <c r="P573" s="3">
        <v>46547.13</v>
      </c>
      <c r="Q573" t="s">
        <v>272</v>
      </c>
      <c r="R573">
        <v>2025</v>
      </c>
      <c r="S573">
        <v>7</v>
      </c>
    </row>
    <row r="574" spans="1:19" x14ac:dyDescent="0.3">
      <c r="A574" t="s">
        <v>633</v>
      </c>
      <c r="B574" s="2">
        <v>45855</v>
      </c>
      <c r="C574" t="s">
        <v>64</v>
      </c>
      <c r="D574" t="s">
        <v>29</v>
      </c>
      <c r="E574" t="s">
        <v>22</v>
      </c>
      <c r="F574" t="s">
        <v>35</v>
      </c>
      <c r="G574" t="s">
        <v>31</v>
      </c>
      <c r="H574" t="s">
        <v>240</v>
      </c>
      <c r="I574">
        <v>1</v>
      </c>
      <c r="J574" s="3">
        <v>30206</v>
      </c>
      <c r="K574" s="4">
        <v>10</v>
      </c>
      <c r="L574" s="3">
        <v>30206</v>
      </c>
      <c r="M574" s="3">
        <v>3020.6</v>
      </c>
      <c r="N574" s="3">
        <v>27185.4</v>
      </c>
      <c r="O574" s="3">
        <v>20322.77</v>
      </c>
      <c r="P574" s="3">
        <v>6862.63</v>
      </c>
      <c r="Q574" t="s">
        <v>272</v>
      </c>
      <c r="R574">
        <v>2025</v>
      </c>
      <c r="S574">
        <v>7</v>
      </c>
    </row>
    <row r="575" spans="1:19" x14ac:dyDescent="0.3">
      <c r="A575" t="s">
        <v>634</v>
      </c>
      <c r="B575" s="2">
        <v>45855</v>
      </c>
      <c r="C575" t="s">
        <v>46</v>
      </c>
      <c r="D575" t="s">
        <v>21</v>
      </c>
      <c r="E575" t="s">
        <v>56</v>
      </c>
      <c r="F575" t="s">
        <v>23</v>
      </c>
      <c r="G575" t="s">
        <v>31</v>
      </c>
      <c r="H575" t="s">
        <v>25</v>
      </c>
      <c r="I575">
        <v>1</v>
      </c>
      <c r="J575" s="3">
        <v>12078</v>
      </c>
      <c r="K575" s="4">
        <v>0</v>
      </c>
      <c r="L575" s="3">
        <v>12078</v>
      </c>
      <c r="M575" s="3">
        <v>0</v>
      </c>
      <c r="N575" s="3">
        <v>12078</v>
      </c>
      <c r="O575" s="3">
        <v>6381.76</v>
      </c>
      <c r="P575" s="3">
        <v>5696.24</v>
      </c>
      <c r="Q575" t="s">
        <v>272</v>
      </c>
      <c r="R575">
        <v>2025</v>
      </c>
      <c r="S575">
        <v>7</v>
      </c>
    </row>
    <row r="576" spans="1:19" x14ac:dyDescent="0.3">
      <c r="A576" t="s">
        <v>635</v>
      </c>
      <c r="B576" s="2">
        <v>45856</v>
      </c>
      <c r="C576" t="s">
        <v>33</v>
      </c>
      <c r="D576" t="s">
        <v>34</v>
      </c>
      <c r="E576" t="s">
        <v>42</v>
      </c>
      <c r="F576" t="s">
        <v>30</v>
      </c>
      <c r="G576" t="s">
        <v>31</v>
      </c>
      <c r="H576" t="s">
        <v>240</v>
      </c>
      <c r="I576">
        <v>2</v>
      </c>
      <c r="J576" s="3">
        <v>40554</v>
      </c>
      <c r="K576" s="4">
        <v>10</v>
      </c>
      <c r="L576" s="3">
        <v>81108</v>
      </c>
      <c r="M576" s="3">
        <v>8110.8</v>
      </c>
      <c r="N576" s="3">
        <v>72997.2</v>
      </c>
      <c r="O576" s="3">
        <v>51958.2</v>
      </c>
      <c r="P576" s="3">
        <v>21039</v>
      </c>
      <c r="Q576" t="s">
        <v>272</v>
      </c>
      <c r="R576">
        <v>2025</v>
      </c>
      <c r="S576">
        <v>7</v>
      </c>
    </row>
    <row r="577" spans="1:19" x14ac:dyDescent="0.3">
      <c r="A577" t="s">
        <v>636</v>
      </c>
      <c r="B577" s="2">
        <v>45857</v>
      </c>
      <c r="C577" t="s">
        <v>71</v>
      </c>
      <c r="D577" t="s">
        <v>34</v>
      </c>
      <c r="E577" t="s">
        <v>42</v>
      </c>
      <c r="F577" t="s">
        <v>37</v>
      </c>
      <c r="G577" t="s">
        <v>24</v>
      </c>
      <c r="H577" t="s">
        <v>25</v>
      </c>
      <c r="I577">
        <v>2</v>
      </c>
      <c r="J577" s="3">
        <v>48891</v>
      </c>
      <c r="K577" s="4">
        <v>0</v>
      </c>
      <c r="L577" s="3">
        <v>97782</v>
      </c>
      <c r="M577" s="3">
        <v>0</v>
      </c>
      <c r="N577" s="3">
        <v>97782</v>
      </c>
      <c r="O577" s="3">
        <v>54891</v>
      </c>
      <c r="P577" s="3">
        <v>42891</v>
      </c>
      <c r="Q577" t="s">
        <v>272</v>
      </c>
      <c r="R577">
        <v>2025</v>
      </c>
      <c r="S577">
        <v>7</v>
      </c>
    </row>
    <row r="578" spans="1:19" x14ac:dyDescent="0.3">
      <c r="A578" t="s">
        <v>637</v>
      </c>
      <c r="B578" s="2">
        <v>45857</v>
      </c>
      <c r="C578" t="s">
        <v>71</v>
      </c>
      <c r="D578" t="s">
        <v>34</v>
      </c>
      <c r="E578" t="s">
        <v>56</v>
      </c>
      <c r="F578" t="s">
        <v>35</v>
      </c>
      <c r="G578" t="s">
        <v>24</v>
      </c>
      <c r="H578" t="s">
        <v>25</v>
      </c>
      <c r="I578">
        <v>2</v>
      </c>
      <c r="J578" s="3">
        <v>49721</v>
      </c>
      <c r="K578" s="4">
        <v>0</v>
      </c>
      <c r="L578" s="3">
        <v>99442</v>
      </c>
      <c r="M578" s="3">
        <v>0</v>
      </c>
      <c r="N578" s="3">
        <v>99442</v>
      </c>
      <c r="O578" s="3">
        <v>58915.34</v>
      </c>
      <c r="P578" s="3">
        <v>40526.660000000003</v>
      </c>
      <c r="Q578" t="s">
        <v>272</v>
      </c>
      <c r="R578">
        <v>2025</v>
      </c>
      <c r="S578">
        <v>7</v>
      </c>
    </row>
    <row r="579" spans="1:19" x14ac:dyDescent="0.3">
      <c r="A579" t="s">
        <v>638</v>
      </c>
      <c r="B579" s="2">
        <v>45858</v>
      </c>
      <c r="C579" t="s">
        <v>20</v>
      </c>
      <c r="D579" t="s">
        <v>21</v>
      </c>
      <c r="E579" t="s">
        <v>56</v>
      </c>
      <c r="F579" t="s">
        <v>35</v>
      </c>
      <c r="G579" t="s">
        <v>24</v>
      </c>
      <c r="H579" t="s">
        <v>240</v>
      </c>
      <c r="I579">
        <v>3</v>
      </c>
      <c r="J579" s="3">
        <v>14656</v>
      </c>
      <c r="K579" s="4">
        <v>15</v>
      </c>
      <c r="L579" s="3">
        <v>43968</v>
      </c>
      <c r="M579" s="3">
        <v>6595.2</v>
      </c>
      <c r="N579" s="3">
        <v>37372.800000000003</v>
      </c>
      <c r="O579" s="3">
        <v>23413.599999999999</v>
      </c>
      <c r="P579" s="3">
        <v>13959.2</v>
      </c>
      <c r="Q579" t="s">
        <v>272</v>
      </c>
      <c r="R579">
        <v>2025</v>
      </c>
      <c r="S579">
        <v>7</v>
      </c>
    </row>
    <row r="580" spans="1:19" x14ac:dyDescent="0.3">
      <c r="A580" t="s">
        <v>639</v>
      </c>
      <c r="B580" s="2">
        <v>45860</v>
      </c>
      <c r="C580" t="s">
        <v>20</v>
      </c>
      <c r="D580" t="s">
        <v>21</v>
      </c>
      <c r="E580" t="s">
        <v>56</v>
      </c>
      <c r="F580" t="s">
        <v>37</v>
      </c>
      <c r="G580" t="s">
        <v>31</v>
      </c>
      <c r="H580" t="s">
        <v>25</v>
      </c>
      <c r="I580">
        <v>2</v>
      </c>
      <c r="J580" s="3">
        <v>15578</v>
      </c>
      <c r="K580" s="4">
        <v>0</v>
      </c>
      <c r="L580" s="3">
        <v>31156</v>
      </c>
      <c r="M580" s="3">
        <v>0</v>
      </c>
      <c r="N580" s="3">
        <v>31156</v>
      </c>
      <c r="O580" s="3">
        <v>19027.509999999998</v>
      </c>
      <c r="P580" s="3">
        <v>12128.49</v>
      </c>
      <c r="Q580" t="s">
        <v>272</v>
      </c>
      <c r="R580">
        <v>2025</v>
      </c>
      <c r="S580">
        <v>7</v>
      </c>
    </row>
    <row r="581" spans="1:19" x14ac:dyDescent="0.3">
      <c r="A581" t="s">
        <v>640</v>
      </c>
      <c r="B581" s="2">
        <v>45861</v>
      </c>
      <c r="C581" t="s">
        <v>82</v>
      </c>
      <c r="D581" t="s">
        <v>21</v>
      </c>
      <c r="E581" t="s">
        <v>22</v>
      </c>
      <c r="F581" t="s">
        <v>37</v>
      </c>
      <c r="G581" t="s">
        <v>31</v>
      </c>
      <c r="H581" t="s">
        <v>25</v>
      </c>
      <c r="I581">
        <v>4</v>
      </c>
      <c r="J581" s="3">
        <v>45073</v>
      </c>
      <c r="K581" s="4">
        <v>0</v>
      </c>
      <c r="L581" s="3">
        <v>180292</v>
      </c>
      <c r="M581" s="3">
        <v>0</v>
      </c>
      <c r="N581" s="3">
        <v>180292</v>
      </c>
      <c r="O581" s="3">
        <v>105034.41</v>
      </c>
      <c r="P581" s="3">
        <v>75257.59</v>
      </c>
      <c r="Q581" t="s">
        <v>272</v>
      </c>
      <c r="R581">
        <v>2025</v>
      </c>
      <c r="S581">
        <v>7</v>
      </c>
    </row>
    <row r="582" spans="1:19" x14ac:dyDescent="0.3">
      <c r="A582" t="s">
        <v>641</v>
      </c>
      <c r="B582" s="2">
        <v>45861</v>
      </c>
      <c r="C582" t="s">
        <v>82</v>
      </c>
      <c r="D582" t="s">
        <v>21</v>
      </c>
      <c r="E582" t="s">
        <v>22</v>
      </c>
      <c r="F582" t="s">
        <v>23</v>
      </c>
      <c r="G582" t="s">
        <v>31</v>
      </c>
      <c r="H582" t="s">
        <v>25</v>
      </c>
      <c r="I582">
        <v>2</v>
      </c>
      <c r="J582" s="3">
        <v>44505</v>
      </c>
      <c r="K582" s="4">
        <v>0</v>
      </c>
      <c r="L582" s="3">
        <v>89010</v>
      </c>
      <c r="M582" s="3">
        <v>0</v>
      </c>
      <c r="N582" s="3">
        <v>89010</v>
      </c>
      <c r="O582" s="3">
        <v>59014.71</v>
      </c>
      <c r="P582" s="3">
        <v>29995.29</v>
      </c>
      <c r="Q582" t="s">
        <v>272</v>
      </c>
      <c r="R582">
        <v>2025</v>
      </c>
      <c r="S582">
        <v>7</v>
      </c>
    </row>
    <row r="583" spans="1:19" x14ac:dyDescent="0.3">
      <c r="A583" t="s">
        <v>642</v>
      </c>
      <c r="B583" s="2">
        <v>45865</v>
      </c>
      <c r="C583" t="s">
        <v>33</v>
      </c>
      <c r="D583" t="s">
        <v>34</v>
      </c>
      <c r="E583" t="s">
        <v>56</v>
      </c>
      <c r="F583" t="s">
        <v>35</v>
      </c>
      <c r="G583" t="s">
        <v>31</v>
      </c>
      <c r="H583" t="s">
        <v>25</v>
      </c>
      <c r="I583">
        <v>4</v>
      </c>
      <c r="J583" s="3">
        <v>42402</v>
      </c>
      <c r="K583" s="4">
        <v>0</v>
      </c>
      <c r="L583" s="3">
        <v>169608</v>
      </c>
      <c r="M583" s="3">
        <v>0</v>
      </c>
      <c r="N583" s="3">
        <v>169608</v>
      </c>
      <c r="O583" s="3">
        <v>102694.13</v>
      </c>
      <c r="P583" s="3">
        <v>66913.87</v>
      </c>
      <c r="Q583" t="s">
        <v>272</v>
      </c>
      <c r="R583">
        <v>2025</v>
      </c>
      <c r="S583">
        <v>7</v>
      </c>
    </row>
    <row r="584" spans="1:19" x14ac:dyDescent="0.3">
      <c r="A584" t="s">
        <v>643</v>
      </c>
      <c r="B584" s="2">
        <v>45865</v>
      </c>
      <c r="C584" t="s">
        <v>33</v>
      </c>
      <c r="D584" t="s">
        <v>34</v>
      </c>
      <c r="E584" t="s">
        <v>56</v>
      </c>
      <c r="F584" t="s">
        <v>23</v>
      </c>
      <c r="G584" t="s">
        <v>24</v>
      </c>
      <c r="H584" t="s">
        <v>240</v>
      </c>
      <c r="I584">
        <v>3</v>
      </c>
      <c r="J584" s="3">
        <v>42288</v>
      </c>
      <c r="K584" s="4">
        <v>5</v>
      </c>
      <c r="L584" s="3">
        <v>126864</v>
      </c>
      <c r="M584" s="3">
        <v>6343.2</v>
      </c>
      <c r="N584" s="3">
        <v>120520.8</v>
      </c>
      <c r="O584" s="3">
        <v>75806.06</v>
      </c>
      <c r="P584" s="3">
        <v>44714.74</v>
      </c>
      <c r="Q584" t="s">
        <v>272</v>
      </c>
      <c r="R584">
        <v>2025</v>
      </c>
      <c r="S584">
        <v>7</v>
      </c>
    </row>
    <row r="585" spans="1:19" x14ac:dyDescent="0.3">
      <c r="A585" t="s">
        <v>644</v>
      </c>
      <c r="B585" s="2">
        <v>45866</v>
      </c>
      <c r="C585" t="s">
        <v>75</v>
      </c>
      <c r="D585" t="s">
        <v>34</v>
      </c>
      <c r="E585" t="s">
        <v>56</v>
      </c>
      <c r="F585" t="s">
        <v>35</v>
      </c>
      <c r="G585" t="s">
        <v>24</v>
      </c>
      <c r="H585" t="s">
        <v>240</v>
      </c>
      <c r="I585">
        <v>2</v>
      </c>
      <c r="J585" s="3">
        <v>35913</v>
      </c>
      <c r="K585" s="4">
        <v>5</v>
      </c>
      <c r="L585" s="3">
        <v>71826</v>
      </c>
      <c r="M585" s="3">
        <v>3591.3</v>
      </c>
      <c r="N585" s="3">
        <v>68234.7</v>
      </c>
      <c r="O585" s="3">
        <v>35078.6</v>
      </c>
      <c r="P585" s="3">
        <v>33156.1</v>
      </c>
      <c r="Q585" t="s">
        <v>272</v>
      </c>
      <c r="R585">
        <v>2025</v>
      </c>
      <c r="S585">
        <v>7</v>
      </c>
    </row>
    <row r="586" spans="1:19" x14ac:dyDescent="0.3">
      <c r="A586" t="s">
        <v>645</v>
      </c>
      <c r="B586" s="2">
        <v>45866</v>
      </c>
      <c r="C586" t="s">
        <v>28</v>
      </c>
      <c r="D586" t="s">
        <v>29</v>
      </c>
      <c r="E586" t="s">
        <v>22</v>
      </c>
      <c r="F586" t="s">
        <v>35</v>
      </c>
      <c r="G586" t="s">
        <v>31</v>
      </c>
      <c r="H586" t="s">
        <v>25</v>
      </c>
      <c r="I586">
        <v>4</v>
      </c>
      <c r="J586" s="3">
        <v>63782</v>
      </c>
      <c r="K586" s="4">
        <v>0</v>
      </c>
      <c r="L586" s="3">
        <v>255128</v>
      </c>
      <c r="M586" s="3">
        <v>0</v>
      </c>
      <c r="N586" s="3">
        <v>255128</v>
      </c>
      <c r="O586" s="3">
        <v>153291.39000000001</v>
      </c>
      <c r="P586" s="3">
        <v>101836.61</v>
      </c>
      <c r="Q586" t="s">
        <v>272</v>
      </c>
      <c r="R586">
        <v>2025</v>
      </c>
      <c r="S586">
        <v>7</v>
      </c>
    </row>
    <row r="587" spans="1:19" x14ac:dyDescent="0.3">
      <c r="A587" t="s">
        <v>646</v>
      </c>
      <c r="B587" s="2">
        <v>45866</v>
      </c>
      <c r="C587" t="s">
        <v>75</v>
      </c>
      <c r="D587" t="s">
        <v>34</v>
      </c>
      <c r="E587" t="s">
        <v>22</v>
      </c>
      <c r="F587" t="s">
        <v>35</v>
      </c>
      <c r="G587" t="s">
        <v>24</v>
      </c>
      <c r="H587" t="s">
        <v>240</v>
      </c>
      <c r="I587">
        <v>3</v>
      </c>
      <c r="J587" s="3">
        <v>36998</v>
      </c>
      <c r="K587" s="4">
        <v>10</v>
      </c>
      <c r="L587" s="3">
        <v>110994</v>
      </c>
      <c r="M587" s="3">
        <v>11099.4</v>
      </c>
      <c r="N587" s="3">
        <v>99894.6</v>
      </c>
      <c r="O587" s="3">
        <v>71093.09</v>
      </c>
      <c r="P587" s="3">
        <v>28801.51</v>
      </c>
      <c r="Q587" t="s">
        <v>272</v>
      </c>
      <c r="R587">
        <v>2025</v>
      </c>
      <c r="S587">
        <v>7</v>
      </c>
    </row>
    <row r="588" spans="1:19" x14ac:dyDescent="0.3">
      <c r="A588" t="s">
        <v>647</v>
      </c>
      <c r="B588" s="2">
        <v>45868</v>
      </c>
      <c r="C588" t="s">
        <v>71</v>
      </c>
      <c r="D588" t="s">
        <v>34</v>
      </c>
      <c r="E588" t="s">
        <v>44</v>
      </c>
      <c r="F588" t="s">
        <v>35</v>
      </c>
      <c r="G588" t="s">
        <v>24</v>
      </c>
      <c r="H588" t="s">
        <v>240</v>
      </c>
      <c r="I588">
        <v>1</v>
      </c>
      <c r="J588" s="3">
        <v>49477</v>
      </c>
      <c r="K588" s="4">
        <v>15</v>
      </c>
      <c r="L588" s="3">
        <v>49477</v>
      </c>
      <c r="M588" s="3">
        <v>7421.55</v>
      </c>
      <c r="N588" s="3">
        <v>42055.45</v>
      </c>
      <c r="O588" s="3">
        <v>28961.34</v>
      </c>
      <c r="P588" s="3">
        <v>13094.11</v>
      </c>
      <c r="Q588" t="s">
        <v>272</v>
      </c>
      <c r="R588">
        <v>2025</v>
      </c>
      <c r="S588">
        <v>7</v>
      </c>
    </row>
    <row r="589" spans="1:19" x14ac:dyDescent="0.3">
      <c r="A589" t="s">
        <v>648</v>
      </c>
      <c r="B589" s="2">
        <v>45869</v>
      </c>
      <c r="C589" t="s">
        <v>28</v>
      </c>
      <c r="D589" t="s">
        <v>29</v>
      </c>
      <c r="E589" t="s">
        <v>22</v>
      </c>
      <c r="F589" t="s">
        <v>37</v>
      </c>
      <c r="G589" t="s">
        <v>31</v>
      </c>
      <c r="H589" t="s">
        <v>25</v>
      </c>
      <c r="I589">
        <v>2</v>
      </c>
      <c r="J589" s="3">
        <v>68309</v>
      </c>
      <c r="K589" s="4">
        <v>5</v>
      </c>
      <c r="L589" s="3">
        <v>136618</v>
      </c>
      <c r="M589" s="3">
        <v>6830.9</v>
      </c>
      <c r="N589" s="3">
        <v>129787.1</v>
      </c>
      <c r="O589" s="3">
        <v>89617.66</v>
      </c>
      <c r="P589" s="3">
        <v>40169.440000000002</v>
      </c>
      <c r="Q589" t="s">
        <v>272</v>
      </c>
      <c r="R589">
        <v>2025</v>
      </c>
      <c r="S589">
        <v>7</v>
      </c>
    </row>
    <row r="590" spans="1:19" x14ac:dyDescent="0.3">
      <c r="A590" t="s">
        <v>649</v>
      </c>
      <c r="B590" s="2">
        <v>45869</v>
      </c>
      <c r="C590" t="s">
        <v>71</v>
      </c>
      <c r="D590" t="s">
        <v>34</v>
      </c>
      <c r="E590" t="s">
        <v>22</v>
      </c>
      <c r="F590" t="s">
        <v>37</v>
      </c>
      <c r="G590" t="s">
        <v>24</v>
      </c>
      <c r="H590" t="s">
        <v>25</v>
      </c>
      <c r="I590">
        <v>4</v>
      </c>
      <c r="J590" s="3">
        <v>46554</v>
      </c>
      <c r="K590" s="4">
        <v>0</v>
      </c>
      <c r="L590" s="3">
        <v>186216</v>
      </c>
      <c r="M590" s="3">
        <v>0</v>
      </c>
      <c r="N590" s="3">
        <v>186216</v>
      </c>
      <c r="O590" s="3">
        <v>112090.45</v>
      </c>
      <c r="P590" s="3">
        <v>74125.55</v>
      </c>
      <c r="Q590" t="s">
        <v>272</v>
      </c>
      <c r="R590">
        <v>2025</v>
      </c>
      <c r="S590">
        <v>7</v>
      </c>
    </row>
    <row r="591" spans="1:19" x14ac:dyDescent="0.3">
      <c r="A591" t="s">
        <v>650</v>
      </c>
      <c r="B591" s="2">
        <v>45870</v>
      </c>
      <c r="C591" t="s">
        <v>82</v>
      </c>
      <c r="D591" t="s">
        <v>21</v>
      </c>
      <c r="E591" t="s">
        <v>56</v>
      </c>
      <c r="F591" t="s">
        <v>40</v>
      </c>
      <c r="G591" t="s">
        <v>31</v>
      </c>
      <c r="H591" t="s">
        <v>25</v>
      </c>
      <c r="I591">
        <v>3</v>
      </c>
      <c r="J591" s="3">
        <v>47575</v>
      </c>
      <c r="K591" s="4">
        <v>0</v>
      </c>
      <c r="L591" s="3">
        <v>142725</v>
      </c>
      <c r="M591" s="3">
        <v>0</v>
      </c>
      <c r="N591" s="3">
        <v>142725</v>
      </c>
      <c r="O591" s="3">
        <v>95531.78</v>
      </c>
      <c r="P591" s="3">
        <v>47193.22</v>
      </c>
      <c r="Q591" t="s">
        <v>300</v>
      </c>
      <c r="R591">
        <v>2025</v>
      </c>
      <c r="S591">
        <v>8</v>
      </c>
    </row>
    <row r="592" spans="1:19" x14ac:dyDescent="0.3">
      <c r="A592" t="s">
        <v>651</v>
      </c>
      <c r="B592" s="2">
        <v>45870</v>
      </c>
      <c r="C592" t="s">
        <v>71</v>
      </c>
      <c r="D592" t="s">
        <v>34</v>
      </c>
      <c r="E592" t="s">
        <v>44</v>
      </c>
      <c r="F592" t="s">
        <v>37</v>
      </c>
      <c r="G592" t="s">
        <v>31</v>
      </c>
      <c r="H592" t="s">
        <v>25</v>
      </c>
      <c r="I592">
        <v>1</v>
      </c>
      <c r="J592" s="3">
        <v>49593</v>
      </c>
      <c r="K592" s="4">
        <v>0</v>
      </c>
      <c r="L592" s="3">
        <v>49593</v>
      </c>
      <c r="M592" s="3">
        <v>0</v>
      </c>
      <c r="N592" s="3">
        <v>49593</v>
      </c>
      <c r="O592" s="3">
        <v>24708.59</v>
      </c>
      <c r="P592" s="3">
        <v>24884.41</v>
      </c>
      <c r="Q592" t="s">
        <v>300</v>
      </c>
      <c r="R592">
        <v>2025</v>
      </c>
      <c r="S592">
        <v>8</v>
      </c>
    </row>
    <row r="593" spans="1:19" x14ac:dyDescent="0.3">
      <c r="A593" t="s">
        <v>652</v>
      </c>
      <c r="B593" s="2">
        <v>45871</v>
      </c>
      <c r="C593" t="s">
        <v>46</v>
      </c>
      <c r="D593" t="s">
        <v>21</v>
      </c>
      <c r="E593" t="s">
        <v>44</v>
      </c>
      <c r="F593" t="s">
        <v>35</v>
      </c>
      <c r="G593" t="s">
        <v>31</v>
      </c>
      <c r="H593" t="s">
        <v>25</v>
      </c>
      <c r="I593">
        <v>2</v>
      </c>
      <c r="J593" s="3">
        <v>12194</v>
      </c>
      <c r="K593" s="4">
        <v>0</v>
      </c>
      <c r="L593" s="3">
        <v>24388</v>
      </c>
      <c r="M593" s="3">
        <v>0</v>
      </c>
      <c r="N593" s="3">
        <v>24388</v>
      </c>
      <c r="O593" s="3">
        <v>13604.43</v>
      </c>
      <c r="P593" s="3">
        <v>10783.57</v>
      </c>
      <c r="Q593" t="s">
        <v>300</v>
      </c>
      <c r="R593">
        <v>2025</v>
      </c>
      <c r="S593">
        <v>8</v>
      </c>
    </row>
    <row r="594" spans="1:19" x14ac:dyDescent="0.3">
      <c r="A594" t="s">
        <v>653</v>
      </c>
      <c r="B594" s="2">
        <v>45872</v>
      </c>
      <c r="C594" t="s">
        <v>48</v>
      </c>
      <c r="D594" t="s">
        <v>34</v>
      </c>
      <c r="E594" t="s">
        <v>42</v>
      </c>
      <c r="F594" t="s">
        <v>35</v>
      </c>
      <c r="G594" t="s">
        <v>24</v>
      </c>
      <c r="H594" t="s">
        <v>25</v>
      </c>
      <c r="I594">
        <v>1</v>
      </c>
      <c r="J594" s="3">
        <v>26487</v>
      </c>
      <c r="K594" s="4">
        <v>10</v>
      </c>
      <c r="L594" s="3">
        <v>26487</v>
      </c>
      <c r="M594" s="3">
        <v>2648.7</v>
      </c>
      <c r="N594" s="3">
        <v>23838.3</v>
      </c>
      <c r="O594" s="3">
        <v>14543.91</v>
      </c>
      <c r="P594" s="3">
        <v>9294.39</v>
      </c>
      <c r="Q594" t="s">
        <v>300</v>
      </c>
      <c r="R594">
        <v>2025</v>
      </c>
      <c r="S594">
        <v>8</v>
      </c>
    </row>
    <row r="595" spans="1:19" x14ac:dyDescent="0.3">
      <c r="A595" t="s">
        <v>654</v>
      </c>
      <c r="B595" s="2">
        <v>45876</v>
      </c>
      <c r="C595" t="s">
        <v>64</v>
      </c>
      <c r="D595" t="s">
        <v>29</v>
      </c>
      <c r="E595" t="s">
        <v>42</v>
      </c>
      <c r="F595" t="s">
        <v>40</v>
      </c>
      <c r="G595" t="s">
        <v>24</v>
      </c>
      <c r="H595" t="s">
        <v>25</v>
      </c>
      <c r="I595">
        <v>1</v>
      </c>
      <c r="J595" s="3">
        <v>27619</v>
      </c>
      <c r="K595" s="4">
        <v>0</v>
      </c>
      <c r="L595" s="3">
        <v>27619</v>
      </c>
      <c r="M595" s="3">
        <v>0</v>
      </c>
      <c r="N595" s="3">
        <v>0</v>
      </c>
      <c r="O595" s="3">
        <v>15830.5</v>
      </c>
      <c r="P595" s="3">
        <v>0</v>
      </c>
      <c r="Q595" t="s">
        <v>300</v>
      </c>
      <c r="R595">
        <v>2025</v>
      </c>
      <c r="S595">
        <v>8</v>
      </c>
    </row>
    <row r="596" spans="1:19" x14ac:dyDescent="0.3">
      <c r="A596" t="s">
        <v>655</v>
      </c>
      <c r="B596" s="2">
        <v>45878</v>
      </c>
      <c r="C596" t="s">
        <v>50</v>
      </c>
      <c r="D596" t="s">
        <v>34</v>
      </c>
      <c r="E596" t="s">
        <v>56</v>
      </c>
      <c r="F596" t="s">
        <v>23</v>
      </c>
      <c r="G596" t="s">
        <v>24</v>
      </c>
      <c r="H596" t="s">
        <v>25</v>
      </c>
      <c r="I596">
        <v>1</v>
      </c>
      <c r="J596" s="3">
        <v>16801</v>
      </c>
      <c r="K596" s="4">
        <v>0</v>
      </c>
      <c r="L596" s="3">
        <v>16801</v>
      </c>
      <c r="M596" s="3">
        <v>0</v>
      </c>
      <c r="N596" s="3">
        <v>16801</v>
      </c>
      <c r="O596" s="3">
        <v>10341.15</v>
      </c>
      <c r="P596" s="3">
        <v>6459.85</v>
      </c>
      <c r="Q596" t="s">
        <v>300</v>
      </c>
      <c r="R596">
        <v>2025</v>
      </c>
      <c r="S596">
        <v>8</v>
      </c>
    </row>
    <row r="597" spans="1:19" x14ac:dyDescent="0.3">
      <c r="A597" t="s">
        <v>656</v>
      </c>
      <c r="B597" s="2">
        <v>45879</v>
      </c>
      <c r="C597" t="s">
        <v>33</v>
      </c>
      <c r="D597" t="s">
        <v>34</v>
      </c>
      <c r="E597" t="s">
        <v>22</v>
      </c>
      <c r="F597" t="s">
        <v>35</v>
      </c>
      <c r="G597" t="s">
        <v>31</v>
      </c>
      <c r="H597" t="s">
        <v>25</v>
      </c>
      <c r="I597">
        <v>1</v>
      </c>
      <c r="J597" s="3">
        <v>39875</v>
      </c>
      <c r="K597" s="4">
        <v>0</v>
      </c>
      <c r="L597" s="3">
        <v>39875</v>
      </c>
      <c r="M597" s="3">
        <v>0</v>
      </c>
      <c r="N597" s="3">
        <v>39875</v>
      </c>
      <c r="O597" s="3">
        <v>19592.22</v>
      </c>
      <c r="P597" s="3">
        <v>20282.78</v>
      </c>
      <c r="Q597" t="s">
        <v>300</v>
      </c>
      <c r="R597">
        <v>2025</v>
      </c>
      <c r="S597">
        <v>8</v>
      </c>
    </row>
    <row r="598" spans="1:19" x14ac:dyDescent="0.3">
      <c r="A598" t="s">
        <v>657</v>
      </c>
      <c r="B598" s="2">
        <v>45879</v>
      </c>
      <c r="C598" t="s">
        <v>75</v>
      </c>
      <c r="D598" t="s">
        <v>34</v>
      </c>
      <c r="E598" t="s">
        <v>56</v>
      </c>
      <c r="F598" t="s">
        <v>37</v>
      </c>
      <c r="G598" t="s">
        <v>24</v>
      </c>
      <c r="H598" t="s">
        <v>25</v>
      </c>
      <c r="I598">
        <v>4</v>
      </c>
      <c r="J598" s="3">
        <v>38699</v>
      </c>
      <c r="K598" s="4">
        <v>0</v>
      </c>
      <c r="L598" s="3">
        <v>154796</v>
      </c>
      <c r="M598" s="3">
        <v>0</v>
      </c>
      <c r="N598" s="3">
        <v>154796</v>
      </c>
      <c r="O598" s="3">
        <v>104086.64</v>
      </c>
      <c r="P598" s="3">
        <v>50709.36</v>
      </c>
      <c r="Q598" t="s">
        <v>300</v>
      </c>
      <c r="R598">
        <v>2025</v>
      </c>
      <c r="S598">
        <v>8</v>
      </c>
    </row>
    <row r="599" spans="1:19" x14ac:dyDescent="0.3">
      <c r="A599" t="s">
        <v>658</v>
      </c>
      <c r="B599" s="2">
        <v>45879</v>
      </c>
      <c r="C599" t="s">
        <v>82</v>
      </c>
      <c r="D599" t="s">
        <v>21</v>
      </c>
      <c r="E599" t="s">
        <v>42</v>
      </c>
      <c r="F599" t="s">
        <v>23</v>
      </c>
      <c r="G599" t="s">
        <v>31</v>
      </c>
      <c r="H599" t="s">
        <v>25</v>
      </c>
      <c r="I599">
        <v>3</v>
      </c>
      <c r="J599" s="3">
        <v>42106</v>
      </c>
      <c r="K599" s="4">
        <v>0</v>
      </c>
      <c r="L599" s="3">
        <v>126318</v>
      </c>
      <c r="M599" s="3">
        <v>0</v>
      </c>
      <c r="N599" s="3">
        <v>126318</v>
      </c>
      <c r="O599" s="3">
        <v>84943.88</v>
      </c>
      <c r="P599" s="3">
        <v>41374.120000000003</v>
      </c>
      <c r="Q599" t="s">
        <v>300</v>
      </c>
      <c r="R599">
        <v>2025</v>
      </c>
      <c r="S599">
        <v>8</v>
      </c>
    </row>
    <row r="600" spans="1:19" x14ac:dyDescent="0.3">
      <c r="A600" t="s">
        <v>659</v>
      </c>
      <c r="B600" s="2">
        <v>45881</v>
      </c>
      <c r="C600" t="s">
        <v>50</v>
      </c>
      <c r="D600" t="s">
        <v>34</v>
      </c>
      <c r="E600" t="s">
        <v>56</v>
      </c>
      <c r="F600" t="s">
        <v>40</v>
      </c>
      <c r="G600" t="s">
        <v>31</v>
      </c>
      <c r="H600" t="s">
        <v>25</v>
      </c>
      <c r="I600">
        <v>3</v>
      </c>
      <c r="J600" s="3">
        <v>18108</v>
      </c>
      <c r="K600" s="4">
        <v>0</v>
      </c>
      <c r="L600" s="3">
        <v>54324</v>
      </c>
      <c r="M600" s="3">
        <v>0</v>
      </c>
      <c r="N600" s="3">
        <v>54324</v>
      </c>
      <c r="O600" s="3">
        <v>30411.759999999998</v>
      </c>
      <c r="P600" s="3">
        <v>23912.240000000002</v>
      </c>
      <c r="Q600" t="s">
        <v>300</v>
      </c>
      <c r="R600">
        <v>2025</v>
      </c>
      <c r="S600">
        <v>8</v>
      </c>
    </row>
    <row r="601" spans="1:19" x14ac:dyDescent="0.3">
      <c r="A601" t="s">
        <v>660</v>
      </c>
      <c r="B601" s="2">
        <v>45884</v>
      </c>
      <c r="C601" t="s">
        <v>46</v>
      </c>
      <c r="D601" t="s">
        <v>21</v>
      </c>
      <c r="E601" t="s">
        <v>22</v>
      </c>
      <c r="F601" t="s">
        <v>40</v>
      </c>
      <c r="G601" t="s">
        <v>31</v>
      </c>
      <c r="H601" t="s">
        <v>25</v>
      </c>
      <c r="I601">
        <v>1</v>
      </c>
      <c r="J601" s="3">
        <v>12434</v>
      </c>
      <c r="K601" s="4">
        <v>0</v>
      </c>
      <c r="L601" s="3">
        <v>12434</v>
      </c>
      <c r="M601" s="3">
        <v>0</v>
      </c>
      <c r="N601" s="3">
        <v>12434</v>
      </c>
      <c r="O601" s="3">
        <v>6214.96</v>
      </c>
      <c r="P601" s="3">
        <v>6219.04</v>
      </c>
      <c r="Q601" t="s">
        <v>300</v>
      </c>
      <c r="R601">
        <v>2025</v>
      </c>
      <c r="S601">
        <v>8</v>
      </c>
    </row>
    <row r="602" spans="1:19" x14ac:dyDescent="0.3">
      <c r="A602" t="s">
        <v>661</v>
      </c>
      <c r="B602" s="2">
        <v>45884</v>
      </c>
      <c r="C602" t="s">
        <v>64</v>
      </c>
      <c r="D602" t="s">
        <v>29</v>
      </c>
      <c r="E602" t="s">
        <v>22</v>
      </c>
      <c r="F602" t="s">
        <v>30</v>
      </c>
      <c r="G602" t="s">
        <v>31</v>
      </c>
      <c r="H602" t="s">
        <v>25</v>
      </c>
      <c r="I602">
        <v>3</v>
      </c>
      <c r="J602" s="3">
        <v>31792</v>
      </c>
      <c r="K602" s="4">
        <v>0</v>
      </c>
      <c r="L602" s="3">
        <v>95376</v>
      </c>
      <c r="M602" s="3">
        <v>0</v>
      </c>
      <c r="N602" s="3">
        <v>95376</v>
      </c>
      <c r="O602" s="3">
        <v>45933.69</v>
      </c>
      <c r="P602" s="3">
        <v>49442.31</v>
      </c>
      <c r="Q602" t="s">
        <v>300</v>
      </c>
      <c r="R602">
        <v>2025</v>
      </c>
      <c r="S602">
        <v>8</v>
      </c>
    </row>
    <row r="603" spans="1:19" x14ac:dyDescent="0.3">
      <c r="A603" t="s">
        <v>662</v>
      </c>
      <c r="B603" s="2">
        <v>45885</v>
      </c>
      <c r="C603" t="s">
        <v>20</v>
      </c>
      <c r="D603" t="s">
        <v>21</v>
      </c>
      <c r="E603" t="s">
        <v>42</v>
      </c>
      <c r="F603" t="s">
        <v>37</v>
      </c>
      <c r="G603" t="s">
        <v>24</v>
      </c>
      <c r="H603" t="s">
        <v>25</v>
      </c>
      <c r="I603">
        <v>2</v>
      </c>
      <c r="J603" s="3">
        <v>15216</v>
      </c>
      <c r="K603" s="4">
        <v>0</v>
      </c>
      <c r="L603" s="3">
        <v>30432</v>
      </c>
      <c r="M603" s="3">
        <v>0</v>
      </c>
      <c r="N603" s="3">
        <v>30432</v>
      </c>
      <c r="O603" s="3">
        <v>18144.21</v>
      </c>
      <c r="P603" s="3">
        <v>12287.79</v>
      </c>
      <c r="Q603" t="s">
        <v>300</v>
      </c>
      <c r="R603">
        <v>2025</v>
      </c>
      <c r="S603">
        <v>8</v>
      </c>
    </row>
    <row r="604" spans="1:19" x14ac:dyDescent="0.3">
      <c r="A604" t="s">
        <v>663</v>
      </c>
      <c r="B604" s="2">
        <v>45886</v>
      </c>
      <c r="C604" t="s">
        <v>75</v>
      </c>
      <c r="D604" t="s">
        <v>34</v>
      </c>
      <c r="E604" t="s">
        <v>56</v>
      </c>
      <c r="F604" t="s">
        <v>40</v>
      </c>
      <c r="G604" t="s">
        <v>31</v>
      </c>
      <c r="H604" t="s">
        <v>25</v>
      </c>
      <c r="I604">
        <v>1</v>
      </c>
      <c r="J604" s="3">
        <v>37189</v>
      </c>
      <c r="K604" s="4">
        <v>5</v>
      </c>
      <c r="L604" s="3">
        <v>37189</v>
      </c>
      <c r="M604" s="3">
        <v>1859.45</v>
      </c>
      <c r="N604" s="3">
        <v>35329.550000000003</v>
      </c>
      <c r="O604" s="3">
        <v>21177.45</v>
      </c>
      <c r="P604" s="3">
        <v>14152.1</v>
      </c>
      <c r="Q604" t="s">
        <v>300</v>
      </c>
      <c r="R604">
        <v>2025</v>
      </c>
      <c r="S604">
        <v>8</v>
      </c>
    </row>
    <row r="605" spans="1:19" x14ac:dyDescent="0.3">
      <c r="A605" t="s">
        <v>664</v>
      </c>
      <c r="B605" s="2">
        <v>45887</v>
      </c>
      <c r="C605" t="s">
        <v>28</v>
      </c>
      <c r="D605" t="s">
        <v>29</v>
      </c>
      <c r="E605" t="s">
        <v>22</v>
      </c>
      <c r="F605" t="s">
        <v>23</v>
      </c>
      <c r="G605" t="s">
        <v>31</v>
      </c>
      <c r="H605" t="s">
        <v>25</v>
      </c>
      <c r="I605">
        <v>2</v>
      </c>
      <c r="J605" s="3">
        <v>67148</v>
      </c>
      <c r="K605" s="4">
        <v>0</v>
      </c>
      <c r="L605" s="3">
        <v>134296</v>
      </c>
      <c r="M605" s="3">
        <v>0</v>
      </c>
      <c r="N605" s="3">
        <v>134296</v>
      </c>
      <c r="O605" s="3">
        <v>81526.36</v>
      </c>
      <c r="P605" s="3">
        <v>52769.64</v>
      </c>
      <c r="Q605" t="s">
        <v>300</v>
      </c>
      <c r="R605">
        <v>2025</v>
      </c>
      <c r="S605">
        <v>8</v>
      </c>
    </row>
    <row r="606" spans="1:19" x14ac:dyDescent="0.3">
      <c r="A606" t="s">
        <v>665</v>
      </c>
      <c r="B606" s="2">
        <v>45889</v>
      </c>
      <c r="C606" t="s">
        <v>64</v>
      </c>
      <c r="D606" t="s">
        <v>29</v>
      </c>
      <c r="E606" t="s">
        <v>56</v>
      </c>
      <c r="F606" t="s">
        <v>30</v>
      </c>
      <c r="G606" t="s">
        <v>31</v>
      </c>
      <c r="H606" t="s">
        <v>25</v>
      </c>
      <c r="I606">
        <v>5</v>
      </c>
      <c r="J606" s="3">
        <v>31309</v>
      </c>
      <c r="K606" s="4">
        <v>0</v>
      </c>
      <c r="L606" s="3">
        <v>156545</v>
      </c>
      <c r="M606" s="3">
        <v>0</v>
      </c>
      <c r="N606" s="3">
        <v>156545</v>
      </c>
      <c r="O606" s="3">
        <v>79621.34</v>
      </c>
      <c r="P606" s="3">
        <v>76923.66</v>
      </c>
      <c r="Q606" t="s">
        <v>300</v>
      </c>
      <c r="R606">
        <v>2025</v>
      </c>
      <c r="S606">
        <v>8</v>
      </c>
    </row>
    <row r="607" spans="1:19" x14ac:dyDescent="0.3">
      <c r="A607" t="s">
        <v>666</v>
      </c>
      <c r="B607" s="2">
        <v>45892</v>
      </c>
      <c r="C607" t="s">
        <v>75</v>
      </c>
      <c r="D607" t="s">
        <v>34</v>
      </c>
      <c r="E607" t="s">
        <v>22</v>
      </c>
      <c r="F607" t="s">
        <v>23</v>
      </c>
      <c r="G607" t="s">
        <v>24</v>
      </c>
      <c r="H607" t="s">
        <v>25</v>
      </c>
      <c r="I607">
        <v>3</v>
      </c>
      <c r="J607" s="3">
        <v>39932</v>
      </c>
      <c r="K607" s="4">
        <v>0</v>
      </c>
      <c r="L607" s="3">
        <v>119796</v>
      </c>
      <c r="M607" s="3">
        <v>0</v>
      </c>
      <c r="N607" s="3">
        <v>119796</v>
      </c>
      <c r="O607" s="3">
        <v>70547.600000000006</v>
      </c>
      <c r="P607" s="3">
        <v>49248.4</v>
      </c>
      <c r="Q607" t="s">
        <v>300</v>
      </c>
      <c r="R607">
        <v>2025</v>
      </c>
      <c r="S607">
        <v>8</v>
      </c>
    </row>
    <row r="608" spans="1:19" x14ac:dyDescent="0.3">
      <c r="A608" t="s">
        <v>667</v>
      </c>
      <c r="B608" s="2">
        <v>45892</v>
      </c>
      <c r="C608" t="s">
        <v>46</v>
      </c>
      <c r="D608" t="s">
        <v>21</v>
      </c>
      <c r="E608" t="s">
        <v>44</v>
      </c>
      <c r="F608" t="s">
        <v>23</v>
      </c>
      <c r="G608" t="s">
        <v>31</v>
      </c>
      <c r="H608" t="s">
        <v>25</v>
      </c>
      <c r="I608">
        <v>3</v>
      </c>
      <c r="J608" s="3">
        <v>12466</v>
      </c>
      <c r="K608" s="4">
        <v>0</v>
      </c>
      <c r="L608" s="3">
        <v>37398</v>
      </c>
      <c r="M608" s="3">
        <v>0</v>
      </c>
      <c r="N608" s="3">
        <v>37398</v>
      </c>
      <c r="O608" s="3">
        <v>23627.23</v>
      </c>
      <c r="P608" s="3">
        <v>13770.77</v>
      </c>
      <c r="Q608" t="s">
        <v>300</v>
      </c>
      <c r="R608">
        <v>2025</v>
      </c>
      <c r="S608">
        <v>8</v>
      </c>
    </row>
    <row r="609" spans="1:19" x14ac:dyDescent="0.3">
      <c r="A609" t="s">
        <v>668</v>
      </c>
      <c r="B609" s="2">
        <v>45895</v>
      </c>
      <c r="C609" t="s">
        <v>50</v>
      </c>
      <c r="D609" t="s">
        <v>34</v>
      </c>
      <c r="E609" t="s">
        <v>42</v>
      </c>
      <c r="F609" t="s">
        <v>30</v>
      </c>
      <c r="G609" t="s">
        <v>24</v>
      </c>
      <c r="H609" t="s">
        <v>25</v>
      </c>
      <c r="I609">
        <v>2</v>
      </c>
      <c r="J609" s="3">
        <v>17884</v>
      </c>
      <c r="K609" s="4">
        <v>15</v>
      </c>
      <c r="L609" s="3">
        <v>35768</v>
      </c>
      <c r="M609" s="3">
        <v>5365.2</v>
      </c>
      <c r="N609" s="3">
        <v>30402.799999999999</v>
      </c>
      <c r="O609" s="3">
        <v>17404.34</v>
      </c>
      <c r="P609" s="3">
        <v>12998.46</v>
      </c>
      <c r="Q609" t="s">
        <v>300</v>
      </c>
      <c r="R609">
        <v>2025</v>
      </c>
      <c r="S609">
        <v>8</v>
      </c>
    </row>
    <row r="610" spans="1:19" x14ac:dyDescent="0.3">
      <c r="A610" t="s">
        <v>669</v>
      </c>
      <c r="B610" s="2">
        <v>45895</v>
      </c>
      <c r="C610" t="s">
        <v>71</v>
      </c>
      <c r="D610" t="s">
        <v>34</v>
      </c>
      <c r="E610" t="s">
        <v>42</v>
      </c>
      <c r="F610" t="s">
        <v>40</v>
      </c>
      <c r="G610" t="s">
        <v>31</v>
      </c>
      <c r="H610" t="s">
        <v>25</v>
      </c>
      <c r="I610">
        <v>2</v>
      </c>
      <c r="J610" s="3">
        <v>52153</v>
      </c>
      <c r="K610" s="4">
        <v>10</v>
      </c>
      <c r="L610" s="3">
        <v>104306</v>
      </c>
      <c r="M610" s="3">
        <v>10430.6</v>
      </c>
      <c r="N610" s="3">
        <v>93875.4</v>
      </c>
      <c r="O610" s="3">
        <v>70093.88</v>
      </c>
      <c r="P610" s="3">
        <v>23781.52</v>
      </c>
      <c r="Q610" t="s">
        <v>300</v>
      </c>
      <c r="R610">
        <v>2025</v>
      </c>
      <c r="S610">
        <v>8</v>
      </c>
    </row>
    <row r="611" spans="1:19" x14ac:dyDescent="0.3">
      <c r="A611" t="s">
        <v>670</v>
      </c>
      <c r="B611" s="2">
        <v>45896</v>
      </c>
      <c r="C611" t="s">
        <v>50</v>
      </c>
      <c r="D611" t="s">
        <v>34</v>
      </c>
      <c r="E611" t="s">
        <v>44</v>
      </c>
      <c r="F611" t="s">
        <v>40</v>
      </c>
      <c r="G611" t="s">
        <v>24</v>
      </c>
      <c r="H611" t="s">
        <v>25</v>
      </c>
      <c r="I611">
        <v>1</v>
      </c>
      <c r="J611" s="3">
        <v>17236</v>
      </c>
      <c r="K611" s="4">
        <v>10</v>
      </c>
      <c r="L611" s="3">
        <v>17236</v>
      </c>
      <c r="M611" s="3">
        <v>1723.6</v>
      </c>
      <c r="N611" s="3">
        <v>15512.4</v>
      </c>
      <c r="O611" s="3">
        <v>9436.1299999999992</v>
      </c>
      <c r="P611" s="3">
        <v>6076.27</v>
      </c>
      <c r="Q611" t="s">
        <v>300</v>
      </c>
      <c r="R611">
        <v>2025</v>
      </c>
      <c r="S611">
        <v>8</v>
      </c>
    </row>
    <row r="612" spans="1:19" x14ac:dyDescent="0.3">
      <c r="A612" t="s">
        <v>671</v>
      </c>
      <c r="B612" s="2">
        <v>45898</v>
      </c>
      <c r="C612" t="s">
        <v>82</v>
      </c>
      <c r="D612" t="s">
        <v>21</v>
      </c>
      <c r="E612" t="s">
        <v>22</v>
      </c>
      <c r="F612" t="s">
        <v>30</v>
      </c>
      <c r="G612" t="s">
        <v>24</v>
      </c>
      <c r="H612" t="s">
        <v>25</v>
      </c>
      <c r="I612">
        <v>1</v>
      </c>
      <c r="J612" s="3">
        <v>47768</v>
      </c>
      <c r="K612" s="4">
        <v>0</v>
      </c>
      <c r="L612" s="3">
        <v>47768</v>
      </c>
      <c r="M612" s="3">
        <v>0</v>
      </c>
      <c r="N612" s="3">
        <v>47768</v>
      </c>
      <c r="O612" s="3">
        <v>24844.639999999999</v>
      </c>
      <c r="P612" s="3">
        <v>22923.360000000001</v>
      </c>
      <c r="Q612" t="s">
        <v>300</v>
      </c>
      <c r="R612">
        <v>2025</v>
      </c>
      <c r="S612">
        <v>8</v>
      </c>
    </row>
    <row r="613" spans="1:19" x14ac:dyDescent="0.3">
      <c r="A613" t="s">
        <v>672</v>
      </c>
      <c r="B613" s="2">
        <v>45900</v>
      </c>
      <c r="C613" t="s">
        <v>64</v>
      </c>
      <c r="D613" t="s">
        <v>29</v>
      </c>
      <c r="E613" t="s">
        <v>22</v>
      </c>
      <c r="F613" t="s">
        <v>30</v>
      </c>
      <c r="G613" t="s">
        <v>31</v>
      </c>
      <c r="H613" t="s">
        <v>25</v>
      </c>
      <c r="I613">
        <v>3</v>
      </c>
      <c r="J613" s="3">
        <v>31949</v>
      </c>
      <c r="K613" s="4">
        <v>0</v>
      </c>
      <c r="L613" s="3">
        <v>95847</v>
      </c>
      <c r="M613" s="3">
        <v>0</v>
      </c>
      <c r="N613" s="3">
        <v>95847</v>
      </c>
      <c r="O613" s="3">
        <v>59901.62</v>
      </c>
      <c r="P613" s="3">
        <v>35945.379999999997</v>
      </c>
      <c r="Q613" t="s">
        <v>300</v>
      </c>
      <c r="R613">
        <v>2025</v>
      </c>
      <c r="S613">
        <v>8</v>
      </c>
    </row>
    <row r="614" spans="1:19" x14ac:dyDescent="0.3">
      <c r="A614" t="s">
        <v>673</v>
      </c>
      <c r="B614" s="2">
        <v>45901</v>
      </c>
      <c r="C614" t="s">
        <v>46</v>
      </c>
      <c r="D614" t="s">
        <v>21</v>
      </c>
      <c r="E614" t="s">
        <v>56</v>
      </c>
      <c r="F614" t="s">
        <v>37</v>
      </c>
      <c r="G614" t="s">
        <v>24</v>
      </c>
      <c r="H614" t="s">
        <v>25</v>
      </c>
      <c r="I614">
        <v>2</v>
      </c>
      <c r="J614" s="3">
        <v>11651</v>
      </c>
      <c r="K614" s="4">
        <v>0</v>
      </c>
      <c r="L614" s="3">
        <v>23302</v>
      </c>
      <c r="M614" s="3">
        <v>0</v>
      </c>
      <c r="N614" s="3">
        <v>23302</v>
      </c>
      <c r="O614" s="3">
        <v>13499.89</v>
      </c>
      <c r="P614" s="3">
        <v>9802.11</v>
      </c>
      <c r="Q614" t="s">
        <v>334</v>
      </c>
      <c r="R614">
        <v>2025</v>
      </c>
      <c r="S614">
        <v>9</v>
      </c>
    </row>
    <row r="615" spans="1:19" x14ac:dyDescent="0.3">
      <c r="A615" t="s">
        <v>674</v>
      </c>
      <c r="B615" s="2">
        <v>45901</v>
      </c>
      <c r="C615" t="s">
        <v>71</v>
      </c>
      <c r="D615" t="s">
        <v>34</v>
      </c>
      <c r="E615" t="s">
        <v>22</v>
      </c>
      <c r="F615" t="s">
        <v>40</v>
      </c>
      <c r="G615" t="s">
        <v>31</v>
      </c>
      <c r="H615" t="s">
        <v>25</v>
      </c>
      <c r="I615">
        <v>3</v>
      </c>
      <c r="J615" s="3">
        <v>51687</v>
      </c>
      <c r="K615" s="4">
        <v>0</v>
      </c>
      <c r="L615" s="3">
        <v>155061</v>
      </c>
      <c r="M615" s="3">
        <v>0</v>
      </c>
      <c r="N615" s="3">
        <v>155061</v>
      </c>
      <c r="O615" s="3">
        <v>90229.46</v>
      </c>
      <c r="P615" s="3">
        <v>64831.54</v>
      </c>
      <c r="Q615" t="s">
        <v>334</v>
      </c>
      <c r="R615">
        <v>2025</v>
      </c>
      <c r="S615">
        <v>9</v>
      </c>
    </row>
    <row r="616" spans="1:19" x14ac:dyDescent="0.3">
      <c r="A616" t="s">
        <v>675</v>
      </c>
      <c r="B616" s="2">
        <v>45904</v>
      </c>
      <c r="C616" t="s">
        <v>50</v>
      </c>
      <c r="D616" t="s">
        <v>34</v>
      </c>
      <c r="E616" t="s">
        <v>42</v>
      </c>
      <c r="F616" t="s">
        <v>23</v>
      </c>
      <c r="G616" t="s">
        <v>24</v>
      </c>
      <c r="H616" t="s">
        <v>25</v>
      </c>
      <c r="I616">
        <v>4</v>
      </c>
      <c r="J616" s="3">
        <v>17463</v>
      </c>
      <c r="K616" s="4">
        <v>0</v>
      </c>
      <c r="L616" s="3">
        <v>69852</v>
      </c>
      <c r="M616" s="3">
        <v>0</v>
      </c>
      <c r="N616" s="3">
        <v>69852</v>
      </c>
      <c r="O616" s="3">
        <v>43276.34</v>
      </c>
      <c r="P616" s="3">
        <v>26575.66</v>
      </c>
      <c r="Q616" t="s">
        <v>334</v>
      </c>
      <c r="R616">
        <v>2025</v>
      </c>
      <c r="S616">
        <v>9</v>
      </c>
    </row>
    <row r="617" spans="1:19" x14ac:dyDescent="0.3">
      <c r="A617" t="s">
        <v>676</v>
      </c>
      <c r="B617" s="2">
        <v>45904</v>
      </c>
      <c r="C617" t="s">
        <v>82</v>
      </c>
      <c r="D617" t="s">
        <v>21</v>
      </c>
      <c r="E617" t="s">
        <v>44</v>
      </c>
      <c r="F617" t="s">
        <v>37</v>
      </c>
      <c r="G617" t="s">
        <v>24</v>
      </c>
      <c r="H617" t="s">
        <v>25</v>
      </c>
      <c r="I617">
        <v>5</v>
      </c>
      <c r="J617" s="3">
        <v>45167</v>
      </c>
      <c r="K617" s="4">
        <v>0</v>
      </c>
      <c r="L617" s="3">
        <v>225835</v>
      </c>
      <c r="M617" s="3">
        <v>0</v>
      </c>
      <c r="N617" s="3">
        <v>225835</v>
      </c>
      <c r="O617" s="3">
        <v>144211.66</v>
      </c>
      <c r="P617" s="3">
        <v>81623.34</v>
      </c>
      <c r="Q617" t="s">
        <v>334</v>
      </c>
      <c r="R617">
        <v>2025</v>
      </c>
      <c r="S617">
        <v>9</v>
      </c>
    </row>
    <row r="618" spans="1:19" x14ac:dyDescent="0.3">
      <c r="A618" t="s">
        <v>677</v>
      </c>
      <c r="B618" s="2">
        <v>45904</v>
      </c>
      <c r="C618" t="s">
        <v>48</v>
      </c>
      <c r="D618" t="s">
        <v>34</v>
      </c>
      <c r="E618" t="s">
        <v>42</v>
      </c>
      <c r="F618" t="s">
        <v>40</v>
      </c>
      <c r="G618" t="s">
        <v>31</v>
      </c>
      <c r="H618" t="s">
        <v>25</v>
      </c>
      <c r="I618">
        <v>4</v>
      </c>
      <c r="J618" s="3">
        <v>25109</v>
      </c>
      <c r="K618" s="4">
        <v>0</v>
      </c>
      <c r="L618" s="3">
        <v>100436</v>
      </c>
      <c r="M618" s="3">
        <v>0</v>
      </c>
      <c r="N618" s="3">
        <v>100436</v>
      </c>
      <c r="O618" s="3">
        <v>48225.14</v>
      </c>
      <c r="P618" s="3">
        <v>52210.86</v>
      </c>
      <c r="Q618" t="s">
        <v>334</v>
      </c>
      <c r="R618">
        <v>2025</v>
      </c>
      <c r="S618">
        <v>9</v>
      </c>
    </row>
    <row r="619" spans="1:19" x14ac:dyDescent="0.3">
      <c r="A619" t="s">
        <v>678</v>
      </c>
      <c r="B619" s="2">
        <v>45906</v>
      </c>
      <c r="C619" t="s">
        <v>46</v>
      </c>
      <c r="D619" t="s">
        <v>21</v>
      </c>
      <c r="E619" t="s">
        <v>56</v>
      </c>
      <c r="F619" t="s">
        <v>30</v>
      </c>
      <c r="G619" t="s">
        <v>31</v>
      </c>
      <c r="H619" t="s">
        <v>25</v>
      </c>
      <c r="I619">
        <v>2</v>
      </c>
      <c r="J619" s="3">
        <v>12777</v>
      </c>
      <c r="K619" s="4">
        <v>0</v>
      </c>
      <c r="L619" s="3">
        <v>25554</v>
      </c>
      <c r="M619" s="3">
        <v>0</v>
      </c>
      <c r="N619" s="3">
        <v>25554</v>
      </c>
      <c r="O619" s="3">
        <v>13480.75</v>
      </c>
      <c r="P619" s="3">
        <v>12073.25</v>
      </c>
      <c r="Q619" t="s">
        <v>334</v>
      </c>
      <c r="R619">
        <v>2025</v>
      </c>
      <c r="S619">
        <v>9</v>
      </c>
    </row>
    <row r="620" spans="1:19" x14ac:dyDescent="0.3">
      <c r="A620" t="s">
        <v>679</v>
      </c>
      <c r="B620" s="2">
        <v>45907</v>
      </c>
      <c r="C620" t="s">
        <v>33</v>
      </c>
      <c r="D620" t="s">
        <v>34</v>
      </c>
      <c r="E620" t="s">
        <v>56</v>
      </c>
      <c r="F620" t="s">
        <v>40</v>
      </c>
      <c r="G620" t="s">
        <v>24</v>
      </c>
      <c r="H620" t="s">
        <v>25</v>
      </c>
      <c r="I620">
        <v>1</v>
      </c>
      <c r="J620" s="3">
        <v>38642</v>
      </c>
      <c r="K620" s="4">
        <v>0</v>
      </c>
      <c r="L620" s="3">
        <v>38642</v>
      </c>
      <c r="M620" s="3">
        <v>0</v>
      </c>
      <c r="N620" s="3">
        <v>38642</v>
      </c>
      <c r="O620" s="3">
        <v>25626.93</v>
      </c>
      <c r="P620" s="3">
        <v>13015.07</v>
      </c>
      <c r="Q620" t="s">
        <v>334</v>
      </c>
      <c r="R620">
        <v>2025</v>
      </c>
      <c r="S620">
        <v>9</v>
      </c>
    </row>
    <row r="621" spans="1:19" x14ac:dyDescent="0.3">
      <c r="A621" t="s">
        <v>680</v>
      </c>
      <c r="B621" s="2">
        <v>45908</v>
      </c>
      <c r="C621" t="s">
        <v>64</v>
      </c>
      <c r="D621" t="s">
        <v>29</v>
      </c>
      <c r="E621" t="s">
        <v>42</v>
      </c>
      <c r="F621" t="s">
        <v>37</v>
      </c>
      <c r="G621" t="s">
        <v>24</v>
      </c>
      <c r="H621" t="s">
        <v>25</v>
      </c>
      <c r="I621">
        <v>4</v>
      </c>
      <c r="J621" s="3">
        <v>31534</v>
      </c>
      <c r="K621" s="4">
        <v>0</v>
      </c>
      <c r="L621" s="3">
        <v>126136</v>
      </c>
      <c r="M621" s="3">
        <v>0</v>
      </c>
      <c r="N621" s="3">
        <v>126136</v>
      </c>
      <c r="O621" s="3">
        <v>65571.03</v>
      </c>
      <c r="P621" s="3">
        <v>60564.97</v>
      </c>
      <c r="Q621" t="s">
        <v>334</v>
      </c>
      <c r="R621">
        <v>2025</v>
      </c>
      <c r="S621">
        <v>9</v>
      </c>
    </row>
    <row r="622" spans="1:19" x14ac:dyDescent="0.3">
      <c r="A622" t="s">
        <v>681</v>
      </c>
      <c r="B622" s="2">
        <v>45911</v>
      </c>
      <c r="C622" t="s">
        <v>75</v>
      </c>
      <c r="D622" t="s">
        <v>34</v>
      </c>
      <c r="E622" t="s">
        <v>42</v>
      </c>
      <c r="F622" t="s">
        <v>30</v>
      </c>
      <c r="G622" t="s">
        <v>31</v>
      </c>
      <c r="H622" t="s">
        <v>25</v>
      </c>
      <c r="I622">
        <v>3</v>
      </c>
      <c r="J622" s="3">
        <v>38668</v>
      </c>
      <c r="K622" s="4">
        <v>0</v>
      </c>
      <c r="L622" s="3">
        <v>116004</v>
      </c>
      <c r="M622" s="3">
        <v>0</v>
      </c>
      <c r="N622" s="3">
        <v>116004</v>
      </c>
      <c r="O622" s="3">
        <v>62978.03</v>
      </c>
      <c r="P622" s="3">
        <v>53025.97</v>
      </c>
      <c r="Q622" t="s">
        <v>334</v>
      </c>
      <c r="R622">
        <v>2025</v>
      </c>
      <c r="S622">
        <v>9</v>
      </c>
    </row>
    <row r="623" spans="1:19" x14ac:dyDescent="0.3">
      <c r="A623" t="s">
        <v>682</v>
      </c>
      <c r="B623" s="2">
        <v>45914</v>
      </c>
      <c r="C623" t="s">
        <v>50</v>
      </c>
      <c r="D623" t="s">
        <v>34</v>
      </c>
      <c r="E623" t="s">
        <v>22</v>
      </c>
      <c r="F623" t="s">
        <v>35</v>
      </c>
      <c r="G623" t="s">
        <v>31</v>
      </c>
      <c r="H623" t="s">
        <v>25</v>
      </c>
      <c r="I623">
        <v>3</v>
      </c>
      <c r="J623" s="3">
        <v>19101</v>
      </c>
      <c r="K623" s="4">
        <v>0</v>
      </c>
      <c r="L623" s="3">
        <v>57303</v>
      </c>
      <c r="M623" s="3">
        <v>0</v>
      </c>
      <c r="N623" s="3">
        <v>57303</v>
      </c>
      <c r="O623" s="3">
        <v>28959.15</v>
      </c>
      <c r="P623" s="3">
        <v>28343.85</v>
      </c>
      <c r="Q623" t="s">
        <v>334</v>
      </c>
      <c r="R623">
        <v>2025</v>
      </c>
      <c r="S623">
        <v>9</v>
      </c>
    </row>
    <row r="624" spans="1:19" x14ac:dyDescent="0.3">
      <c r="A624" t="s">
        <v>683</v>
      </c>
      <c r="B624" s="2">
        <v>45914</v>
      </c>
      <c r="C624" t="s">
        <v>46</v>
      </c>
      <c r="D624" t="s">
        <v>21</v>
      </c>
      <c r="E624" t="s">
        <v>42</v>
      </c>
      <c r="F624" t="s">
        <v>40</v>
      </c>
      <c r="G624" t="s">
        <v>24</v>
      </c>
      <c r="H624" t="s">
        <v>25</v>
      </c>
      <c r="I624">
        <v>3</v>
      </c>
      <c r="J624" s="3">
        <v>12435</v>
      </c>
      <c r="K624" s="4">
        <v>0</v>
      </c>
      <c r="L624" s="3">
        <v>37305</v>
      </c>
      <c r="M624" s="3">
        <v>0</v>
      </c>
      <c r="N624" s="3">
        <v>37305</v>
      </c>
      <c r="O624" s="3">
        <v>25294.77</v>
      </c>
      <c r="P624" s="3">
        <v>12010.23</v>
      </c>
      <c r="Q624" t="s">
        <v>334</v>
      </c>
      <c r="R624">
        <v>2025</v>
      </c>
      <c r="S624">
        <v>9</v>
      </c>
    </row>
    <row r="625" spans="1:19" x14ac:dyDescent="0.3">
      <c r="A625" t="s">
        <v>684</v>
      </c>
      <c r="B625" s="2">
        <v>45915</v>
      </c>
      <c r="C625" t="s">
        <v>50</v>
      </c>
      <c r="D625" t="s">
        <v>34</v>
      </c>
      <c r="E625" t="s">
        <v>56</v>
      </c>
      <c r="F625" t="s">
        <v>40</v>
      </c>
      <c r="G625" t="s">
        <v>31</v>
      </c>
      <c r="H625" t="s">
        <v>25</v>
      </c>
      <c r="I625">
        <v>1</v>
      </c>
      <c r="J625" s="3">
        <v>18334</v>
      </c>
      <c r="K625" s="4">
        <v>0</v>
      </c>
      <c r="L625" s="3">
        <v>18334</v>
      </c>
      <c r="M625" s="3">
        <v>0</v>
      </c>
      <c r="N625" s="3">
        <v>18334</v>
      </c>
      <c r="O625" s="3">
        <v>10231.57</v>
      </c>
      <c r="P625" s="3">
        <v>8102.43</v>
      </c>
      <c r="Q625" t="s">
        <v>334</v>
      </c>
      <c r="R625">
        <v>2025</v>
      </c>
      <c r="S625">
        <v>9</v>
      </c>
    </row>
    <row r="626" spans="1:19" x14ac:dyDescent="0.3">
      <c r="A626" t="s">
        <v>685</v>
      </c>
      <c r="B626" s="2">
        <v>45915</v>
      </c>
      <c r="C626" t="s">
        <v>33</v>
      </c>
      <c r="D626" t="s">
        <v>34</v>
      </c>
      <c r="E626" t="s">
        <v>42</v>
      </c>
      <c r="F626" t="s">
        <v>37</v>
      </c>
      <c r="G626" t="s">
        <v>24</v>
      </c>
      <c r="H626" t="s">
        <v>25</v>
      </c>
      <c r="I626">
        <v>3</v>
      </c>
      <c r="J626" s="3">
        <v>43768</v>
      </c>
      <c r="K626" s="4">
        <v>0</v>
      </c>
      <c r="L626" s="3">
        <v>131304</v>
      </c>
      <c r="M626" s="3">
        <v>0</v>
      </c>
      <c r="N626" s="3">
        <v>131304</v>
      </c>
      <c r="O626" s="3">
        <v>86368.81</v>
      </c>
      <c r="P626" s="3">
        <v>44935.19</v>
      </c>
      <c r="Q626" t="s">
        <v>334</v>
      </c>
      <c r="R626">
        <v>2025</v>
      </c>
      <c r="S626">
        <v>9</v>
      </c>
    </row>
    <row r="627" spans="1:19" x14ac:dyDescent="0.3">
      <c r="A627" t="s">
        <v>686</v>
      </c>
      <c r="B627" s="2">
        <v>45915</v>
      </c>
      <c r="C627" t="s">
        <v>71</v>
      </c>
      <c r="D627" t="s">
        <v>34</v>
      </c>
      <c r="E627" t="s">
        <v>56</v>
      </c>
      <c r="F627" t="s">
        <v>40</v>
      </c>
      <c r="G627" t="s">
        <v>24</v>
      </c>
      <c r="H627" t="s">
        <v>25</v>
      </c>
      <c r="I627">
        <v>1</v>
      </c>
      <c r="J627" s="3">
        <v>49913</v>
      </c>
      <c r="K627" s="4">
        <v>0</v>
      </c>
      <c r="L627" s="3">
        <v>49913</v>
      </c>
      <c r="M627" s="3">
        <v>0</v>
      </c>
      <c r="N627" s="3">
        <v>49913</v>
      </c>
      <c r="O627" s="3">
        <v>33184.339999999997</v>
      </c>
      <c r="P627" s="3">
        <v>16728.66</v>
      </c>
      <c r="Q627" t="s">
        <v>334</v>
      </c>
      <c r="R627">
        <v>2025</v>
      </c>
      <c r="S627">
        <v>9</v>
      </c>
    </row>
    <row r="628" spans="1:19" x14ac:dyDescent="0.3">
      <c r="A628" t="s">
        <v>687</v>
      </c>
      <c r="B628" s="2">
        <v>45916</v>
      </c>
      <c r="C628" t="s">
        <v>48</v>
      </c>
      <c r="D628" t="s">
        <v>34</v>
      </c>
      <c r="E628" t="s">
        <v>42</v>
      </c>
      <c r="F628" t="s">
        <v>37</v>
      </c>
      <c r="G628" t="s">
        <v>24</v>
      </c>
      <c r="H628" t="s">
        <v>25</v>
      </c>
      <c r="I628">
        <v>1</v>
      </c>
      <c r="J628" s="3">
        <v>26890</v>
      </c>
      <c r="K628" s="4">
        <v>5</v>
      </c>
      <c r="L628" s="3">
        <v>26890</v>
      </c>
      <c r="M628" s="3">
        <v>1344.5</v>
      </c>
      <c r="N628" s="3">
        <v>25545.5</v>
      </c>
      <c r="O628" s="3">
        <v>13552.14</v>
      </c>
      <c r="P628" s="3">
        <v>11993.36</v>
      </c>
      <c r="Q628" t="s">
        <v>334</v>
      </c>
      <c r="R628">
        <v>2025</v>
      </c>
      <c r="S628">
        <v>9</v>
      </c>
    </row>
    <row r="629" spans="1:19" x14ac:dyDescent="0.3">
      <c r="A629" t="s">
        <v>688</v>
      </c>
      <c r="B629" s="2">
        <v>45917</v>
      </c>
      <c r="C629" t="s">
        <v>64</v>
      </c>
      <c r="D629" t="s">
        <v>29</v>
      </c>
      <c r="E629" t="s">
        <v>44</v>
      </c>
      <c r="F629" t="s">
        <v>40</v>
      </c>
      <c r="G629" t="s">
        <v>24</v>
      </c>
      <c r="H629" t="s">
        <v>25</v>
      </c>
      <c r="I629">
        <v>5</v>
      </c>
      <c r="J629" s="3">
        <v>28286</v>
      </c>
      <c r="K629" s="4">
        <v>0</v>
      </c>
      <c r="L629" s="3">
        <v>141430</v>
      </c>
      <c r="M629" s="3">
        <v>0</v>
      </c>
      <c r="N629" s="3">
        <v>141430</v>
      </c>
      <c r="O629" s="3">
        <v>90451.05</v>
      </c>
      <c r="P629" s="3">
        <v>50978.95</v>
      </c>
      <c r="Q629" t="s">
        <v>334</v>
      </c>
      <c r="R629">
        <v>2025</v>
      </c>
      <c r="S629">
        <v>9</v>
      </c>
    </row>
    <row r="630" spans="1:19" x14ac:dyDescent="0.3">
      <c r="A630" t="s">
        <v>689</v>
      </c>
      <c r="B630" s="2">
        <v>45918</v>
      </c>
      <c r="C630" t="s">
        <v>20</v>
      </c>
      <c r="D630" t="s">
        <v>21</v>
      </c>
      <c r="E630" t="s">
        <v>42</v>
      </c>
      <c r="F630" t="s">
        <v>40</v>
      </c>
      <c r="G630" t="s">
        <v>31</v>
      </c>
      <c r="H630" t="s">
        <v>25</v>
      </c>
      <c r="I630">
        <v>1</v>
      </c>
      <c r="J630" s="3">
        <v>14317</v>
      </c>
      <c r="K630" s="4">
        <v>10</v>
      </c>
      <c r="L630" s="3">
        <v>14317</v>
      </c>
      <c r="M630" s="3">
        <v>1431.7</v>
      </c>
      <c r="N630" s="3">
        <v>12885.3</v>
      </c>
      <c r="O630" s="3">
        <v>8254.8799999999992</v>
      </c>
      <c r="P630" s="3">
        <v>4630.42</v>
      </c>
      <c r="Q630" t="s">
        <v>334</v>
      </c>
      <c r="R630">
        <v>2025</v>
      </c>
      <c r="S630">
        <v>9</v>
      </c>
    </row>
    <row r="631" spans="1:19" x14ac:dyDescent="0.3">
      <c r="A631" t="s">
        <v>690</v>
      </c>
      <c r="B631" s="2">
        <v>45919</v>
      </c>
      <c r="C631" t="s">
        <v>33</v>
      </c>
      <c r="D631" t="s">
        <v>34</v>
      </c>
      <c r="E631" t="s">
        <v>22</v>
      </c>
      <c r="F631" t="s">
        <v>40</v>
      </c>
      <c r="G631" t="s">
        <v>31</v>
      </c>
      <c r="H631" t="s">
        <v>25</v>
      </c>
      <c r="I631">
        <v>1</v>
      </c>
      <c r="J631" s="3">
        <v>40701</v>
      </c>
      <c r="K631" s="4">
        <v>5</v>
      </c>
      <c r="L631" s="3">
        <v>40701</v>
      </c>
      <c r="M631" s="3">
        <v>2035.05</v>
      </c>
      <c r="N631" s="3">
        <v>38665.949999999997</v>
      </c>
      <c r="O631" s="3">
        <v>24593.919999999998</v>
      </c>
      <c r="P631" s="3">
        <v>14072.03</v>
      </c>
      <c r="Q631" t="s">
        <v>334</v>
      </c>
      <c r="R631">
        <v>2025</v>
      </c>
      <c r="S631">
        <v>9</v>
      </c>
    </row>
    <row r="632" spans="1:19" x14ac:dyDescent="0.3">
      <c r="A632" t="s">
        <v>691</v>
      </c>
      <c r="B632" s="2">
        <v>45919</v>
      </c>
      <c r="C632" t="s">
        <v>75</v>
      </c>
      <c r="D632" t="s">
        <v>34</v>
      </c>
      <c r="E632" t="s">
        <v>56</v>
      </c>
      <c r="F632" t="s">
        <v>37</v>
      </c>
      <c r="G632" t="s">
        <v>31</v>
      </c>
      <c r="H632" t="s">
        <v>25</v>
      </c>
      <c r="I632">
        <v>1</v>
      </c>
      <c r="J632" s="3">
        <v>35232</v>
      </c>
      <c r="K632" s="4">
        <v>0</v>
      </c>
      <c r="L632" s="3">
        <v>35232</v>
      </c>
      <c r="M632" s="3">
        <v>0</v>
      </c>
      <c r="N632" s="3">
        <v>35232</v>
      </c>
      <c r="O632" s="3">
        <v>23581.8</v>
      </c>
      <c r="P632" s="3">
        <v>11650.2</v>
      </c>
      <c r="Q632" t="s">
        <v>334</v>
      </c>
      <c r="R632">
        <v>2025</v>
      </c>
      <c r="S632">
        <v>9</v>
      </c>
    </row>
    <row r="633" spans="1:19" x14ac:dyDescent="0.3">
      <c r="A633" t="s">
        <v>692</v>
      </c>
      <c r="B633" s="2">
        <v>45920</v>
      </c>
      <c r="C633" t="s">
        <v>71</v>
      </c>
      <c r="D633" t="s">
        <v>34</v>
      </c>
      <c r="E633" t="s">
        <v>44</v>
      </c>
      <c r="F633" t="s">
        <v>37</v>
      </c>
      <c r="G633" t="s">
        <v>24</v>
      </c>
      <c r="H633" t="s">
        <v>25</v>
      </c>
      <c r="I633">
        <v>3</v>
      </c>
      <c r="J633" s="3">
        <v>46923</v>
      </c>
      <c r="K633" s="4">
        <v>0</v>
      </c>
      <c r="L633" s="3">
        <v>140769</v>
      </c>
      <c r="M633" s="3">
        <v>0</v>
      </c>
      <c r="N633" s="3">
        <v>140769</v>
      </c>
      <c r="O633" s="3">
        <v>91288.08</v>
      </c>
      <c r="P633" s="3">
        <v>49480.92</v>
      </c>
      <c r="Q633" t="s">
        <v>334</v>
      </c>
      <c r="R633">
        <v>2025</v>
      </c>
      <c r="S633">
        <v>9</v>
      </c>
    </row>
    <row r="634" spans="1:19" x14ac:dyDescent="0.3">
      <c r="A634" t="s">
        <v>693</v>
      </c>
      <c r="B634" s="2">
        <v>45923</v>
      </c>
      <c r="C634" t="s">
        <v>64</v>
      </c>
      <c r="D634" t="s">
        <v>29</v>
      </c>
      <c r="E634" t="s">
        <v>22</v>
      </c>
      <c r="F634" t="s">
        <v>30</v>
      </c>
      <c r="G634" t="s">
        <v>24</v>
      </c>
      <c r="H634" t="s">
        <v>25</v>
      </c>
      <c r="I634">
        <v>5</v>
      </c>
      <c r="J634" s="3">
        <v>27610</v>
      </c>
      <c r="K634" s="4">
        <v>0</v>
      </c>
      <c r="L634" s="3">
        <v>138050</v>
      </c>
      <c r="M634" s="3">
        <v>0</v>
      </c>
      <c r="N634" s="3">
        <v>138050</v>
      </c>
      <c r="O634" s="3">
        <v>88863.96</v>
      </c>
      <c r="P634" s="3">
        <v>49186.04</v>
      </c>
      <c r="Q634" t="s">
        <v>334</v>
      </c>
      <c r="R634">
        <v>2025</v>
      </c>
      <c r="S634">
        <v>9</v>
      </c>
    </row>
    <row r="635" spans="1:19" x14ac:dyDescent="0.3">
      <c r="A635" t="s">
        <v>694</v>
      </c>
      <c r="B635" s="2">
        <v>45924</v>
      </c>
      <c r="C635" t="s">
        <v>48</v>
      </c>
      <c r="D635" t="s">
        <v>34</v>
      </c>
      <c r="E635" t="s">
        <v>56</v>
      </c>
      <c r="F635" t="s">
        <v>37</v>
      </c>
      <c r="G635" t="s">
        <v>31</v>
      </c>
      <c r="H635" t="s">
        <v>25</v>
      </c>
      <c r="I635">
        <v>3</v>
      </c>
      <c r="J635" s="3">
        <v>25328</v>
      </c>
      <c r="K635" s="4">
        <v>15</v>
      </c>
      <c r="L635" s="3">
        <v>75984</v>
      </c>
      <c r="M635" s="3">
        <v>11397.6</v>
      </c>
      <c r="N635" s="3">
        <v>64586.400000000001</v>
      </c>
      <c r="O635" s="3">
        <v>45606.720000000001</v>
      </c>
      <c r="P635" s="3">
        <v>18979.68</v>
      </c>
      <c r="Q635" t="s">
        <v>334</v>
      </c>
      <c r="R635">
        <v>2025</v>
      </c>
      <c r="S635">
        <v>9</v>
      </c>
    </row>
    <row r="636" spans="1:19" x14ac:dyDescent="0.3">
      <c r="A636" t="s">
        <v>695</v>
      </c>
      <c r="B636" s="2">
        <v>45925</v>
      </c>
      <c r="C636" t="s">
        <v>82</v>
      </c>
      <c r="D636" t="s">
        <v>21</v>
      </c>
      <c r="E636" t="s">
        <v>42</v>
      </c>
      <c r="F636" t="s">
        <v>40</v>
      </c>
      <c r="G636" t="s">
        <v>24</v>
      </c>
      <c r="H636" t="s">
        <v>25</v>
      </c>
      <c r="I636">
        <v>1</v>
      </c>
      <c r="J636" s="3">
        <v>45019</v>
      </c>
      <c r="K636" s="4">
        <v>0</v>
      </c>
      <c r="L636" s="3">
        <v>45019</v>
      </c>
      <c r="M636" s="3">
        <v>0</v>
      </c>
      <c r="N636" s="3">
        <v>45019</v>
      </c>
      <c r="O636" s="3">
        <v>27469.09</v>
      </c>
      <c r="P636" s="3">
        <v>17549.91</v>
      </c>
      <c r="Q636" t="s">
        <v>334</v>
      </c>
      <c r="R636">
        <v>2025</v>
      </c>
      <c r="S636">
        <v>9</v>
      </c>
    </row>
    <row r="637" spans="1:19" x14ac:dyDescent="0.3">
      <c r="A637" t="s">
        <v>696</v>
      </c>
      <c r="B637" s="2">
        <v>45925</v>
      </c>
      <c r="C637" t="s">
        <v>71</v>
      </c>
      <c r="D637" t="s">
        <v>34</v>
      </c>
      <c r="E637" t="s">
        <v>44</v>
      </c>
      <c r="F637" t="s">
        <v>40</v>
      </c>
      <c r="G637" t="s">
        <v>31</v>
      </c>
      <c r="H637" t="s">
        <v>25</v>
      </c>
      <c r="I637">
        <v>3</v>
      </c>
      <c r="J637" s="3">
        <v>48462</v>
      </c>
      <c r="K637" s="4">
        <v>0</v>
      </c>
      <c r="L637" s="3">
        <v>145386</v>
      </c>
      <c r="M637" s="3">
        <v>0</v>
      </c>
      <c r="N637" s="3">
        <v>145386</v>
      </c>
      <c r="O637" s="3">
        <v>95894.720000000001</v>
      </c>
      <c r="P637" s="3">
        <v>49491.28</v>
      </c>
      <c r="Q637" t="s">
        <v>334</v>
      </c>
      <c r="R637">
        <v>2025</v>
      </c>
      <c r="S637">
        <v>9</v>
      </c>
    </row>
    <row r="638" spans="1:19" x14ac:dyDescent="0.3">
      <c r="A638" t="s">
        <v>697</v>
      </c>
      <c r="B638" s="2">
        <v>45925</v>
      </c>
      <c r="C638" t="s">
        <v>75</v>
      </c>
      <c r="D638" t="s">
        <v>34</v>
      </c>
      <c r="E638" t="s">
        <v>42</v>
      </c>
      <c r="F638" t="s">
        <v>40</v>
      </c>
      <c r="G638" t="s">
        <v>31</v>
      </c>
      <c r="H638" t="s">
        <v>25</v>
      </c>
      <c r="I638">
        <v>1</v>
      </c>
      <c r="J638" s="3">
        <v>36066</v>
      </c>
      <c r="K638" s="4">
        <v>10</v>
      </c>
      <c r="L638" s="3">
        <v>36066</v>
      </c>
      <c r="M638" s="3">
        <v>3606.6</v>
      </c>
      <c r="N638" s="3">
        <v>32459.4</v>
      </c>
      <c r="O638" s="3">
        <v>23405.37</v>
      </c>
      <c r="P638" s="3">
        <v>9054.0300000000007</v>
      </c>
      <c r="Q638" t="s">
        <v>334</v>
      </c>
      <c r="R638">
        <v>2025</v>
      </c>
      <c r="S638">
        <v>9</v>
      </c>
    </row>
    <row r="639" spans="1:19" x14ac:dyDescent="0.3">
      <c r="A639" t="s">
        <v>698</v>
      </c>
      <c r="B639" s="2">
        <v>45925</v>
      </c>
      <c r="C639" t="s">
        <v>50</v>
      </c>
      <c r="D639" t="s">
        <v>34</v>
      </c>
      <c r="E639" t="s">
        <v>42</v>
      </c>
      <c r="F639" t="s">
        <v>37</v>
      </c>
      <c r="G639" t="s">
        <v>24</v>
      </c>
      <c r="H639" t="s">
        <v>25</v>
      </c>
      <c r="I639">
        <v>1</v>
      </c>
      <c r="J639" s="3">
        <v>17345</v>
      </c>
      <c r="K639" s="4">
        <v>0</v>
      </c>
      <c r="L639" s="3">
        <v>17345</v>
      </c>
      <c r="M639" s="3">
        <v>0</v>
      </c>
      <c r="N639" s="3">
        <v>17345</v>
      </c>
      <c r="O639" s="3">
        <v>11405.51</v>
      </c>
      <c r="P639" s="3">
        <v>5939.49</v>
      </c>
      <c r="Q639" t="s">
        <v>334</v>
      </c>
      <c r="R639">
        <v>2025</v>
      </c>
      <c r="S639">
        <v>9</v>
      </c>
    </row>
    <row r="640" spans="1:19" x14ac:dyDescent="0.3">
      <c r="A640" t="s">
        <v>699</v>
      </c>
      <c r="B640" s="2">
        <v>45925</v>
      </c>
      <c r="C640" t="s">
        <v>71</v>
      </c>
      <c r="D640" t="s">
        <v>34</v>
      </c>
      <c r="E640" t="s">
        <v>42</v>
      </c>
      <c r="F640" t="s">
        <v>23</v>
      </c>
      <c r="G640" t="s">
        <v>31</v>
      </c>
      <c r="H640" t="s">
        <v>25</v>
      </c>
      <c r="I640">
        <v>3</v>
      </c>
      <c r="J640" s="3">
        <v>53847</v>
      </c>
      <c r="K640" s="4">
        <v>0</v>
      </c>
      <c r="L640" s="3">
        <v>161541</v>
      </c>
      <c r="M640" s="3">
        <v>0</v>
      </c>
      <c r="N640" s="3">
        <v>161541</v>
      </c>
      <c r="O640" s="3">
        <v>78347.87</v>
      </c>
      <c r="P640" s="3">
        <v>83193.13</v>
      </c>
      <c r="Q640" t="s">
        <v>334</v>
      </c>
      <c r="R640">
        <v>2025</v>
      </c>
      <c r="S640">
        <v>9</v>
      </c>
    </row>
    <row r="641" spans="1:19" x14ac:dyDescent="0.3">
      <c r="A641" t="s">
        <v>700</v>
      </c>
      <c r="B641" s="2">
        <v>45926</v>
      </c>
      <c r="C641" t="s">
        <v>33</v>
      </c>
      <c r="D641" t="s">
        <v>34</v>
      </c>
      <c r="E641" t="s">
        <v>44</v>
      </c>
      <c r="F641" t="s">
        <v>37</v>
      </c>
      <c r="G641" t="s">
        <v>24</v>
      </c>
      <c r="H641" t="s">
        <v>25</v>
      </c>
      <c r="I641">
        <v>4</v>
      </c>
      <c r="J641" s="3">
        <v>45238</v>
      </c>
      <c r="K641" s="4">
        <v>0</v>
      </c>
      <c r="L641" s="3">
        <v>180952</v>
      </c>
      <c r="M641" s="3">
        <v>0</v>
      </c>
      <c r="N641" s="3">
        <v>180952</v>
      </c>
      <c r="O641" s="3">
        <v>104811.8</v>
      </c>
      <c r="P641" s="3">
        <v>76140.2</v>
      </c>
      <c r="Q641" t="s">
        <v>334</v>
      </c>
      <c r="R641">
        <v>2025</v>
      </c>
      <c r="S641">
        <v>9</v>
      </c>
    </row>
    <row r="642" spans="1:19" x14ac:dyDescent="0.3">
      <c r="A642" t="s">
        <v>701</v>
      </c>
      <c r="B642" s="2">
        <v>45927</v>
      </c>
      <c r="C642" t="s">
        <v>64</v>
      </c>
      <c r="D642" t="s">
        <v>29</v>
      </c>
      <c r="E642" t="s">
        <v>42</v>
      </c>
      <c r="F642" t="s">
        <v>35</v>
      </c>
      <c r="G642" t="s">
        <v>31</v>
      </c>
      <c r="H642" t="s">
        <v>25</v>
      </c>
      <c r="I642">
        <v>2</v>
      </c>
      <c r="J642" s="3">
        <v>31921</v>
      </c>
      <c r="K642" s="4">
        <v>0</v>
      </c>
      <c r="L642" s="3">
        <v>63842</v>
      </c>
      <c r="M642" s="3">
        <v>0</v>
      </c>
      <c r="N642" s="3">
        <v>63842</v>
      </c>
      <c r="O642" s="3">
        <v>39280.21</v>
      </c>
      <c r="P642" s="3">
        <v>24561.79</v>
      </c>
      <c r="Q642" t="s">
        <v>334</v>
      </c>
      <c r="R642">
        <v>2025</v>
      </c>
      <c r="S642">
        <v>9</v>
      </c>
    </row>
    <row r="643" spans="1:19" x14ac:dyDescent="0.3">
      <c r="A643" t="s">
        <v>702</v>
      </c>
      <c r="B643" s="2">
        <v>45930</v>
      </c>
      <c r="C643" t="s">
        <v>75</v>
      </c>
      <c r="D643" t="s">
        <v>34</v>
      </c>
      <c r="E643" t="s">
        <v>56</v>
      </c>
      <c r="F643" t="s">
        <v>35</v>
      </c>
      <c r="G643" t="s">
        <v>31</v>
      </c>
      <c r="H643" t="s">
        <v>25</v>
      </c>
      <c r="I643">
        <v>2</v>
      </c>
      <c r="J643" s="3">
        <v>37726</v>
      </c>
      <c r="K643" s="4">
        <v>0</v>
      </c>
      <c r="L643" s="3">
        <v>75452</v>
      </c>
      <c r="M643" s="3">
        <v>0</v>
      </c>
      <c r="N643" s="3">
        <v>75452</v>
      </c>
      <c r="O643" s="3">
        <v>46880.480000000003</v>
      </c>
      <c r="P643" s="3">
        <v>28571.52</v>
      </c>
      <c r="Q643" t="s">
        <v>334</v>
      </c>
      <c r="R643">
        <v>2025</v>
      </c>
      <c r="S643">
        <v>9</v>
      </c>
    </row>
    <row r="644" spans="1:19" x14ac:dyDescent="0.3">
      <c r="A644" t="s">
        <v>703</v>
      </c>
      <c r="B644" s="2">
        <v>45931</v>
      </c>
      <c r="C644" t="s">
        <v>50</v>
      </c>
      <c r="D644" t="s">
        <v>34</v>
      </c>
      <c r="E644" t="s">
        <v>22</v>
      </c>
      <c r="F644" t="s">
        <v>37</v>
      </c>
      <c r="G644" t="s">
        <v>24</v>
      </c>
      <c r="H644" t="s">
        <v>25</v>
      </c>
      <c r="I644">
        <v>1</v>
      </c>
      <c r="J644" s="3">
        <v>17022</v>
      </c>
      <c r="K644" s="4">
        <v>0</v>
      </c>
      <c r="L644" s="3">
        <v>17022</v>
      </c>
      <c r="M644" s="3">
        <v>0</v>
      </c>
      <c r="N644" s="3">
        <v>17022</v>
      </c>
      <c r="O644" s="3">
        <v>8802.58</v>
      </c>
      <c r="P644" s="3">
        <v>8219.42</v>
      </c>
      <c r="Q644" t="s">
        <v>364</v>
      </c>
      <c r="R644">
        <v>2025</v>
      </c>
      <c r="S644">
        <v>10</v>
      </c>
    </row>
    <row r="645" spans="1:19" x14ac:dyDescent="0.3">
      <c r="A645" t="s">
        <v>704</v>
      </c>
      <c r="B645" s="2">
        <v>45931</v>
      </c>
      <c r="C645" t="s">
        <v>82</v>
      </c>
      <c r="D645" t="s">
        <v>21</v>
      </c>
      <c r="E645" t="s">
        <v>56</v>
      </c>
      <c r="F645" t="s">
        <v>40</v>
      </c>
      <c r="G645" t="s">
        <v>24</v>
      </c>
      <c r="H645" t="s">
        <v>25</v>
      </c>
      <c r="I645">
        <v>1</v>
      </c>
      <c r="J645" s="3">
        <v>45125</v>
      </c>
      <c r="K645" s="4">
        <v>0</v>
      </c>
      <c r="L645" s="3">
        <v>45125</v>
      </c>
      <c r="M645" s="3">
        <v>0</v>
      </c>
      <c r="N645" s="3">
        <v>45125</v>
      </c>
      <c r="O645" s="3">
        <v>26615.48</v>
      </c>
      <c r="P645" s="3">
        <v>18509.52</v>
      </c>
      <c r="Q645" t="s">
        <v>364</v>
      </c>
      <c r="R645">
        <v>2025</v>
      </c>
      <c r="S645">
        <v>10</v>
      </c>
    </row>
    <row r="646" spans="1:19" x14ac:dyDescent="0.3">
      <c r="A646" t="s">
        <v>705</v>
      </c>
      <c r="B646" s="2">
        <v>45932</v>
      </c>
      <c r="C646" t="s">
        <v>75</v>
      </c>
      <c r="D646" t="s">
        <v>34</v>
      </c>
      <c r="E646" t="s">
        <v>22</v>
      </c>
      <c r="F646" t="s">
        <v>23</v>
      </c>
      <c r="G646" t="s">
        <v>31</v>
      </c>
      <c r="H646" t="s">
        <v>25</v>
      </c>
      <c r="I646">
        <v>1</v>
      </c>
      <c r="J646" s="3">
        <v>37252</v>
      </c>
      <c r="K646" s="4">
        <v>5</v>
      </c>
      <c r="L646" s="3">
        <v>37252</v>
      </c>
      <c r="M646" s="3">
        <v>1862.6</v>
      </c>
      <c r="N646" s="3">
        <v>35389.4</v>
      </c>
      <c r="O646" s="3">
        <v>23876.69</v>
      </c>
      <c r="P646" s="3">
        <v>11512.71</v>
      </c>
      <c r="Q646" t="s">
        <v>364</v>
      </c>
      <c r="R646">
        <v>2025</v>
      </c>
      <c r="S646">
        <v>10</v>
      </c>
    </row>
    <row r="647" spans="1:19" x14ac:dyDescent="0.3">
      <c r="A647" t="s">
        <v>706</v>
      </c>
      <c r="B647" s="2">
        <v>45933</v>
      </c>
      <c r="C647" t="s">
        <v>50</v>
      </c>
      <c r="D647" t="s">
        <v>34</v>
      </c>
      <c r="E647" t="s">
        <v>44</v>
      </c>
      <c r="F647" t="s">
        <v>40</v>
      </c>
      <c r="G647" t="s">
        <v>24</v>
      </c>
      <c r="H647" t="s">
        <v>25</v>
      </c>
      <c r="I647">
        <v>2</v>
      </c>
      <c r="J647" s="3">
        <v>18364</v>
      </c>
      <c r="K647" s="4">
        <v>0</v>
      </c>
      <c r="L647" s="3">
        <v>36728</v>
      </c>
      <c r="M647" s="3">
        <v>0</v>
      </c>
      <c r="N647" s="3">
        <v>36728</v>
      </c>
      <c r="O647" s="3">
        <v>17769.86</v>
      </c>
      <c r="P647" s="3">
        <v>18958.14</v>
      </c>
      <c r="Q647" t="s">
        <v>364</v>
      </c>
      <c r="R647">
        <v>2025</v>
      </c>
      <c r="S647">
        <v>10</v>
      </c>
    </row>
    <row r="648" spans="1:19" x14ac:dyDescent="0.3">
      <c r="A648" t="s">
        <v>707</v>
      </c>
      <c r="B648" s="2">
        <v>45934</v>
      </c>
      <c r="C648" t="s">
        <v>75</v>
      </c>
      <c r="D648" t="s">
        <v>34</v>
      </c>
      <c r="E648" t="s">
        <v>42</v>
      </c>
      <c r="F648" t="s">
        <v>40</v>
      </c>
      <c r="G648" t="s">
        <v>24</v>
      </c>
      <c r="H648" t="s">
        <v>25</v>
      </c>
      <c r="I648">
        <v>1</v>
      </c>
      <c r="J648" s="3">
        <v>38122</v>
      </c>
      <c r="K648" s="4">
        <v>0</v>
      </c>
      <c r="L648" s="3">
        <v>38122</v>
      </c>
      <c r="M648" s="3">
        <v>0</v>
      </c>
      <c r="N648" s="3">
        <v>38122</v>
      </c>
      <c r="O648" s="3">
        <v>22551.599999999999</v>
      </c>
      <c r="P648" s="3">
        <v>15570.4</v>
      </c>
      <c r="Q648" t="s">
        <v>364</v>
      </c>
      <c r="R648">
        <v>2025</v>
      </c>
      <c r="S648">
        <v>10</v>
      </c>
    </row>
    <row r="649" spans="1:19" x14ac:dyDescent="0.3">
      <c r="A649" t="s">
        <v>708</v>
      </c>
      <c r="B649" s="2">
        <v>45936</v>
      </c>
      <c r="C649" t="s">
        <v>20</v>
      </c>
      <c r="D649" t="s">
        <v>21</v>
      </c>
      <c r="E649" t="s">
        <v>56</v>
      </c>
      <c r="F649" t="s">
        <v>40</v>
      </c>
      <c r="G649" t="s">
        <v>31</v>
      </c>
      <c r="H649" t="s">
        <v>25</v>
      </c>
      <c r="I649">
        <v>3</v>
      </c>
      <c r="J649" s="3">
        <v>14093</v>
      </c>
      <c r="K649" s="4">
        <v>5</v>
      </c>
      <c r="L649" s="3">
        <v>42279</v>
      </c>
      <c r="M649" s="3">
        <v>2113.9499999999998</v>
      </c>
      <c r="N649" s="3">
        <v>40165.050000000003</v>
      </c>
      <c r="O649" s="3">
        <v>27730.48</v>
      </c>
      <c r="P649" s="3">
        <v>12434.57</v>
      </c>
      <c r="Q649" t="s">
        <v>364</v>
      </c>
      <c r="R649">
        <v>2025</v>
      </c>
      <c r="S649">
        <v>10</v>
      </c>
    </row>
    <row r="650" spans="1:19" x14ac:dyDescent="0.3">
      <c r="A650" t="s">
        <v>709</v>
      </c>
      <c r="B650" s="2">
        <v>45937</v>
      </c>
      <c r="C650" t="s">
        <v>20</v>
      </c>
      <c r="D650" t="s">
        <v>21</v>
      </c>
      <c r="E650" t="s">
        <v>22</v>
      </c>
      <c r="F650" t="s">
        <v>40</v>
      </c>
      <c r="G650" t="s">
        <v>31</v>
      </c>
      <c r="H650" t="s">
        <v>25</v>
      </c>
      <c r="I650">
        <v>1</v>
      </c>
      <c r="J650" s="3">
        <v>15404</v>
      </c>
      <c r="K650" s="4">
        <v>0</v>
      </c>
      <c r="L650" s="3">
        <v>15404</v>
      </c>
      <c r="M650" s="3">
        <v>0</v>
      </c>
      <c r="N650" s="3">
        <v>15404</v>
      </c>
      <c r="O650" s="3">
        <v>8508.92</v>
      </c>
      <c r="P650" s="3">
        <v>6895.08</v>
      </c>
      <c r="Q650" t="s">
        <v>364</v>
      </c>
      <c r="R650">
        <v>2025</v>
      </c>
      <c r="S650">
        <v>10</v>
      </c>
    </row>
    <row r="651" spans="1:19" x14ac:dyDescent="0.3">
      <c r="A651" t="s">
        <v>710</v>
      </c>
      <c r="B651" s="2">
        <v>45937</v>
      </c>
      <c r="C651" t="s">
        <v>64</v>
      </c>
      <c r="D651" t="s">
        <v>29</v>
      </c>
      <c r="E651" t="s">
        <v>44</v>
      </c>
      <c r="F651" t="s">
        <v>40</v>
      </c>
      <c r="G651" t="s">
        <v>31</v>
      </c>
      <c r="H651" t="s">
        <v>25</v>
      </c>
      <c r="I651">
        <v>1</v>
      </c>
      <c r="J651" s="3">
        <v>31098</v>
      </c>
      <c r="K651" s="4">
        <v>0</v>
      </c>
      <c r="L651" s="3">
        <v>31098</v>
      </c>
      <c r="M651" s="3">
        <v>0</v>
      </c>
      <c r="N651" s="3">
        <v>31098</v>
      </c>
      <c r="O651" s="3">
        <v>16661.509999999998</v>
      </c>
      <c r="P651" s="3">
        <v>14436.49</v>
      </c>
      <c r="Q651" t="s">
        <v>364</v>
      </c>
      <c r="R651">
        <v>2025</v>
      </c>
      <c r="S651">
        <v>10</v>
      </c>
    </row>
    <row r="652" spans="1:19" x14ac:dyDescent="0.3">
      <c r="A652" t="s">
        <v>711</v>
      </c>
      <c r="B652" s="2">
        <v>45937</v>
      </c>
      <c r="C652" t="s">
        <v>48</v>
      </c>
      <c r="D652" t="s">
        <v>34</v>
      </c>
      <c r="E652" t="s">
        <v>42</v>
      </c>
      <c r="F652" t="s">
        <v>40</v>
      </c>
      <c r="G652" t="s">
        <v>31</v>
      </c>
      <c r="H652" t="s">
        <v>25</v>
      </c>
      <c r="I652">
        <v>2</v>
      </c>
      <c r="J652" s="3">
        <v>26849</v>
      </c>
      <c r="K652" s="4">
        <v>0</v>
      </c>
      <c r="L652" s="3">
        <v>53698</v>
      </c>
      <c r="M652" s="3">
        <v>0</v>
      </c>
      <c r="N652" s="3">
        <v>53698</v>
      </c>
      <c r="O652" s="3">
        <v>34776.53</v>
      </c>
      <c r="P652" s="3">
        <v>18921.47</v>
      </c>
      <c r="Q652" t="s">
        <v>364</v>
      </c>
      <c r="R652">
        <v>2025</v>
      </c>
      <c r="S652">
        <v>10</v>
      </c>
    </row>
    <row r="653" spans="1:19" x14ac:dyDescent="0.3">
      <c r="A653" t="s">
        <v>712</v>
      </c>
      <c r="B653" s="2">
        <v>45938</v>
      </c>
      <c r="C653" t="s">
        <v>46</v>
      </c>
      <c r="D653" t="s">
        <v>21</v>
      </c>
      <c r="E653" t="s">
        <v>22</v>
      </c>
      <c r="F653" t="s">
        <v>40</v>
      </c>
      <c r="G653" t="s">
        <v>31</v>
      </c>
      <c r="H653" t="s">
        <v>25</v>
      </c>
      <c r="I653">
        <v>1</v>
      </c>
      <c r="J653" s="3">
        <v>11281</v>
      </c>
      <c r="K653" s="4">
        <v>0</v>
      </c>
      <c r="L653" s="3">
        <v>11281</v>
      </c>
      <c r="M653" s="3">
        <v>0</v>
      </c>
      <c r="N653" s="3">
        <v>11281</v>
      </c>
      <c r="O653" s="3">
        <v>5738.74</v>
      </c>
      <c r="P653" s="3">
        <v>5542.26</v>
      </c>
      <c r="Q653" t="s">
        <v>364</v>
      </c>
      <c r="R653">
        <v>2025</v>
      </c>
      <c r="S653">
        <v>10</v>
      </c>
    </row>
    <row r="654" spans="1:19" x14ac:dyDescent="0.3">
      <c r="A654" t="s">
        <v>713</v>
      </c>
      <c r="B654" s="2">
        <v>45939</v>
      </c>
      <c r="C654" t="s">
        <v>64</v>
      </c>
      <c r="D654" t="s">
        <v>29</v>
      </c>
      <c r="E654" t="s">
        <v>44</v>
      </c>
      <c r="F654" t="s">
        <v>30</v>
      </c>
      <c r="G654" t="s">
        <v>31</v>
      </c>
      <c r="H654" t="s">
        <v>25</v>
      </c>
      <c r="I654">
        <v>1</v>
      </c>
      <c r="J654" s="3">
        <v>31084</v>
      </c>
      <c r="K654" s="4">
        <v>0</v>
      </c>
      <c r="L654" s="3">
        <v>31084</v>
      </c>
      <c r="M654" s="3">
        <v>0</v>
      </c>
      <c r="N654" s="3">
        <v>31084</v>
      </c>
      <c r="O654" s="3">
        <v>16247.68</v>
      </c>
      <c r="P654" s="3">
        <v>14836.32</v>
      </c>
      <c r="Q654" t="s">
        <v>364</v>
      </c>
      <c r="R654">
        <v>2025</v>
      </c>
      <c r="S654">
        <v>10</v>
      </c>
    </row>
    <row r="655" spans="1:19" x14ac:dyDescent="0.3">
      <c r="A655" t="s">
        <v>714</v>
      </c>
      <c r="B655" s="2">
        <v>45940</v>
      </c>
      <c r="C655" t="s">
        <v>75</v>
      </c>
      <c r="D655" t="s">
        <v>34</v>
      </c>
      <c r="E655" t="s">
        <v>42</v>
      </c>
      <c r="F655" t="s">
        <v>40</v>
      </c>
      <c r="G655" t="s">
        <v>24</v>
      </c>
      <c r="H655" t="s">
        <v>25</v>
      </c>
      <c r="I655">
        <v>2</v>
      </c>
      <c r="J655" s="3">
        <v>36864</v>
      </c>
      <c r="K655" s="4">
        <v>0</v>
      </c>
      <c r="L655" s="3">
        <v>73728</v>
      </c>
      <c r="M655" s="3">
        <v>0</v>
      </c>
      <c r="N655" s="3">
        <v>73728</v>
      </c>
      <c r="O655" s="3">
        <v>42583.1</v>
      </c>
      <c r="P655" s="3">
        <v>31144.9</v>
      </c>
      <c r="Q655" t="s">
        <v>364</v>
      </c>
      <c r="R655">
        <v>2025</v>
      </c>
      <c r="S655">
        <v>10</v>
      </c>
    </row>
    <row r="656" spans="1:19" x14ac:dyDescent="0.3">
      <c r="A656" t="s">
        <v>715</v>
      </c>
      <c r="B656" s="2">
        <v>45944</v>
      </c>
      <c r="C656" t="s">
        <v>64</v>
      </c>
      <c r="D656" t="s">
        <v>29</v>
      </c>
      <c r="E656" t="s">
        <v>22</v>
      </c>
      <c r="F656" t="s">
        <v>40</v>
      </c>
      <c r="G656" t="s">
        <v>24</v>
      </c>
      <c r="H656" t="s">
        <v>25</v>
      </c>
      <c r="I656">
        <v>3</v>
      </c>
      <c r="J656" s="3">
        <v>28147</v>
      </c>
      <c r="K656" s="4">
        <v>0</v>
      </c>
      <c r="L656" s="3">
        <v>84441</v>
      </c>
      <c r="M656" s="3">
        <v>0</v>
      </c>
      <c r="N656" s="3">
        <v>84441</v>
      </c>
      <c r="O656" s="3">
        <v>54621.919999999998</v>
      </c>
      <c r="P656" s="3">
        <v>29819.08</v>
      </c>
      <c r="Q656" t="s">
        <v>364</v>
      </c>
      <c r="R656">
        <v>2025</v>
      </c>
      <c r="S656">
        <v>10</v>
      </c>
    </row>
    <row r="657" spans="1:19" x14ac:dyDescent="0.3">
      <c r="A657" t="s">
        <v>716</v>
      </c>
      <c r="B657" s="2">
        <v>45945</v>
      </c>
      <c r="C657" t="s">
        <v>64</v>
      </c>
      <c r="D657" t="s">
        <v>29</v>
      </c>
      <c r="E657" t="s">
        <v>56</v>
      </c>
      <c r="F657" t="s">
        <v>23</v>
      </c>
      <c r="G657" t="s">
        <v>31</v>
      </c>
      <c r="H657" t="s">
        <v>25</v>
      </c>
      <c r="I657">
        <v>3</v>
      </c>
      <c r="J657" s="3">
        <v>28292</v>
      </c>
      <c r="K657" s="4">
        <v>0</v>
      </c>
      <c r="L657" s="3">
        <v>84876</v>
      </c>
      <c r="M657" s="3">
        <v>0</v>
      </c>
      <c r="N657" s="3">
        <v>84876</v>
      </c>
      <c r="O657" s="3">
        <v>41203.050000000003</v>
      </c>
      <c r="P657" s="3">
        <v>43672.95</v>
      </c>
      <c r="Q657" t="s">
        <v>364</v>
      </c>
      <c r="R657">
        <v>2025</v>
      </c>
      <c r="S657">
        <v>10</v>
      </c>
    </row>
    <row r="658" spans="1:19" x14ac:dyDescent="0.3">
      <c r="A658" t="s">
        <v>717</v>
      </c>
      <c r="B658" s="2">
        <v>45945</v>
      </c>
      <c r="C658" t="s">
        <v>71</v>
      </c>
      <c r="D658" t="s">
        <v>34</v>
      </c>
      <c r="E658" t="s">
        <v>56</v>
      </c>
      <c r="F658" t="s">
        <v>37</v>
      </c>
      <c r="G658" t="s">
        <v>31</v>
      </c>
      <c r="H658" t="s">
        <v>25</v>
      </c>
      <c r="I658">
        <v>2</v>
      </c>
      <c r="J658" s="3">
        <v>46915</v>
      </c>
      <c r="K658" s="4">
        <v>0</v>
      </c>
      <c r="L658" s="3">
        <v>93830</v>
      </c>
      <c r="M658" s="3">
        <v>0</v>
      </c>
      <c r="N658" s="3">
        <v>93830</v>
      </c>
      <c r="O658" s="3">
        <v>59699.47</v>
      </c>
      <c r="P658" s="3">
        <v>34130.53</v>
      </c>
      <c r="Q658" t="s">
        <v>364</v>
      </c>
      <c r="R658">
        <v>2025</v>
      </c>
      <c r="S658">
        <v>10</v>
      </c>
    </row>
    <row r="659" spans="1:19" x14ac:dyDescent="0.3">
      <c r="A659" t="s">
        <v>718</v>
      </c>
      <c r="B659" s="2">
        <v>45947</v>
      </c>
      <c r="C659" t="s">
        <v>71</v>
      </c>
      <c r="D659" t="s">
        <v>34</v>
      </c>
      <c r="E659" t="s">
        <v>44</v>
      </c>
      <c r="F659" t="s">
        <v>30</v>
      </c>
      <c r="G659" t="s">
        <v>31</v>
      </c>
      <c r="H659" t="s">
        <v>25</v>
      </c>
      <c r="I659">
        <v>4</v>
      </c>
      <c r="J659" s="3">
        <v>48022</v>
      </c>
      <c r="K659" s="4">
        <v>0</v>
      </c>
      <c r="L659" s="3">
        <v>192088</v>
      </c>
      <c r="M659" s="3">
        <v>0</v>
      </c>
      <c r="N659" s="3">
        <v>192088</v>
      </c>
      <c r="O659" s="3">
        <v>102498.05</v>
      </c>
      <c r="P659" s="3">
        <v>89589.95</v>
      </c>
      <c r="Q659" t="s">
        <v>364</v>
      </c>
      <c r="R659">
        <v>2025</v>
      </c>
      <c r="S659">
        <v>10</v>
      </c>
    </row>
    <row r="660" spans="1:19" x14ac:dyDescent="0.3">
      <c r="A660" t="s">
        <v>719</v>
      </c>
      <c r="B660" s="2">
        <v>45947</v>
      </c>
      <c r="C660" t="s">
        <v>46</v>
      </c>
      <c r="D660" t="s">
        <v>21</v>
      </c>
      <c r="E660" t="s">
        <v>44</v>
      </c>
      <c r="F660" t="s">
        <v>40</v>
      </c>
      <c r="G660" t="s">
        <v>24</v>
      </c>
      <c r="H660" t="s">
        <v>25</v>
      </c>
      <c r="I660">
        <v>2</v>
      </c>
      <c r="J660" s="3">
        <v>11093</v>
      </c>
      <c r="K660" s="4">
        <v>0</v>
      </c>
      <c r="L660" s="3">
        <v>22186</v>
      </c>
      <c r="M660" s="3">
        <v>0</v>
      </c>
      <c r="N660" s="3">
        <v>22186</v>
      </c>
      <c r="O660" s="3">
        <v>14229.02</v>
      </c>
      <c r="P660" s="3">
        <v>7956.98</v>
      </c>
      <c r="Q660" t="s">
        <v>364</v>
      </c>
      <c r="R660">
        <v>2025</v>
      </c>
      <c r="S660">
        <v>10</v>
      </c>
    </row>
    <row r="661" spans="1:19" x14ac:dyDescent="0.3">
      <c r="A661" t="s">
        <v>720</v>
      </c>
      <c r="B661" s="2">
        <v>45948</v>
      </c>
      <c r="C661" t="s">
        <v>75</v>
      </c>
      <c r="D661" t="s">
        <v>34</v>
      </c>
      <c r="E661" t="s">
        <v>22</v>
      </c>
      <c r="F661" t="s">
        <v>35</v>
      </c>
      <c r="G661" t="s">
        <v>31</v>
      </c>
      <c r="H661" t="s">
        <v>25</v>
      </c>
      <c r="I661">
        <v>3</v>
      </c>
      <c r="J661" s="3">
        <v>38983</v>
      </c>
      <c r="K661" s="4">
        <v>5</v>
      </c>
      <c r="L661" s="3">
        <v>116949</v>
      </c>
      <c r="M661" s="3">
        <v>5847.45</v>
      </c>
      <c r="N661" s="3">
        <v>111101.55</v>
      </c>
      <c r="O661" s="3">
        <v>70016.460000000006</v>
      </c>
      <c r="P661" s="3">
        <v>41085.089999999997</v>
      </c>
      <c r="Q661" t="s">
        <v>364</v>
      </c>
      <c r="R661">
        <v>2025</v>
      </c>
      <c r="S661">
        <v>10</v>
      </c>
    </row>
    <row r="662" spans="1:19" x14ac:dyDescent="0.3">
      <c r="A662" t="s">
        <v>721</v>
      </c>
      <c r="B662" s="2">
        <v>45949</v>
      </c>
      <c r="C662" t="s">
        <v>33</v>
      </c>
      <c r="D662" t="s">
        <v>34</v>
      </c>
      <c r="E662" t="s">
        <v>22</v>
      </c>
      <c r="F662" t="s">
        <v>40</v>
      </c>
      <c r="G662" t="s">
        <v>24</v>
      </c>
      <c r="H662" t="s">
        <v>25</v>
      </c>
      <c r="I662">
        <v>2</v>
      </c>
      <c r="J662" s="3">
        <v>39172</v>
      </c>
      <c r="K662" s="4">
        <v>0</v>
      </c>
      <c r="L662" s="3">
        <v>78344</v>
      </c>
      <c r="M662" s="3">
        <v>0</v>
      </c>
      <c r="N662" s="3">
        <v>78344</v>
      </c>
      <c r="O662" s="3">
        <v>37909.85</v>
      </c>
      <c r="P662" s="3">
        <v>40434.15</v>
      </c>
      <c r="Q662" t="s">
        <v>364</v>
      </c>
      <c r="R662">
        <v>2025</v>
      </c>
      <c r="S662">
        <v>10</v>
      </c>
    </row>
    <row r="663" spans="1:19" x14ac:dyDescent="0.3">
      <c r="A663" t="s">
        <v>722</v>
      </c>
      <c r="B663" s="2">
        <v>45950</v>
      </c>
      <c r="C663" t="s">
        <v>64</v>
      </c>
      <c r="D663" t="s">
        <v>29</v>
      </c>
      <c r="E663" t="s">
        <v>22</v>
      </c>
      <c r="F663" t="s">
        <v>35</v>
      </c>
      <c r="G663" t="s">
        <v>24</v>
      </c>
      <c r="H663" t="s">
        <v>25</v>
      </c>
      <c r="I663">
        <v>1</v>
      </c>
      <c r="J663" s="3">
        <v>31564</v>
      </c>
      <c r="K663" s="4">
        <v>0</v>
      </c>
      <c r="L663" s="3">
        <v>31564</v>
      </c>
      <c r="M663" s="3">
        <v>0</v>
      </c>
      <c r="N663" s="3">
        <v>31564</v>
      </c>
      <c r="O663" s="3">
        <v>16908.57</v>
      </c>
      <c r="P663" s="3">
        <v>14655.43</v>
      </c>
      <c r="Q663" t="s">
        <v>364</v>
      </c>
      <c r="R663">
        <v>2025</v>
      </c>
      <c r="S663">
        <v>10</v>
      </c>
    </row>
    <row r="664" spans="1:19" x14ac:dyDescent="0.3">
      <c r="A664" t="s">
        <v>723</v>
      </c>
      <c r="B664" s="2">
        <v>45951</v>
      </c>
      <c r="C664" t="s">
        <v>46</v>
      </c>
      <c r="D664" t="s">
        <v>21</v>
      </c>
      <c r="E664" t="s">
        <v>56</v>
      </c>
      <c r="F664" t="s">
        <v>40</v>
      </c>
      <c r="G664" t="s">
        <v>31</v>
      </c>
      <c r="H664" t="s">
        <v>25</v>
      </c>
      <c r="I664">
        <v>2</v>
      </c>
      <c r="J664" s="3">
        <v>12666</v>
      </c>
      <c r="K664" s="4">
        <v>0</v>
      </c>
      <c r="L664" s="3">
        <v>25332</v>
      </c>
      <c r="M664" s="3">
        <v>0</v>
      </c>
      <c r="N664" s="3">
        <v>0</v>
      </c>
      <c r="O664" s="3">
        <v>16711.830000000002</v>
      </c>
      <c r="P664" s="3">
        <v>0</v>
      </c>
      <c r="Q664" t="s">
        <v>364</v>
      </c>
      <c r="R664">
        <v>2025</v>
      </c>
      <c r="S664">
        <v>10</v>
      </c>
    </row>
    <row r="665" spans="1:19" x14ac:dyDescent="0.3">
      <c r="A665" t="s">
        <v>724</v>
      </c>
      <c r="B665" s="2">
        <v>45952</v>
      </c>
      <c r="C665" t="s">
        <v>48</v>
      </c>
      <c r="D665" t="s">
        <v>34</v>
      </c>
      <c r="E665" t="s">
        <v>56</v>
      </c>
      <c r="F665" t="s">
        <v>37</v>
      </c>
      <c r="G665" t="s">
        <v>24</v>
      </c>
      <c r="H665" t="s">
        <v>25</v>
      </c>
      <c r="I665">
        <v>3</v>
      </c>
      <c r="J665" s="3">
        <v>26951</v>
      </c>
      <c r="K665" s="4">
        <v>0</v>
      </c>
      <c r="L665" s="3">
        <v>80853</v>
      </c>
      <c r="M665" s="3">
        <v>0</v>
      </c>
      <c r="N665" s="3">
        <v>0</v>
      </c>
      <c r="O665" s="3">
        <v>45883.91</v>
      </c>
      <c r="P665" s="3">
        <v>0</v>
      </c>
      <c r="Q665" t="s">
        <v>364</v>
      </c>
      <c r="R665">
        <v>2025</v>
      </c>
      <c r="S665">
        <v>10</v>
      </c>
    </row>
    <row r="666" spans="1:19" x14ac:dyDescent="0.3">
      <c r="A666" t="s">
        <v>725</v>
      </c>
      <c r="B666" s="2">
        <v>45952</v>
      </c>
      <c r="C666" t="s">
        <v>75</v>
      </c>
      <c r="D666" t="s">
        <v>34</v>
      </c>
      <c r="E666" t="s">
        <v>42</v>
      </c>
      <c r="F666" t="s">
        <v>37</v>
      </c>
      <c r="G666" t="s">
        <v>24</v>
      </c>
      <c r="H666" t="s">
        <v>25</v>
      </c>
      <c r="I666">
        <v>3</v>
      </c>
      <c r="J666" s="3">
        <v>40072</v>
      </c>
      <c r="K666" s="4">
        <v>10</v>
      </c>
      <c r="L666" s="3">
        <v>120216</v>
      </c>
      <c r="M666" s="3">
        <v>12021.6</v>
      </c>
      <c r="N666" s="3">
        <v>108194.4</v>
      </c>
      <c r="O666" s="3">
        <v>72353.289999999994</v>
      </c>
      <c r="P666" s="3">
        <v>35841.11</v>
      </c>
      <c r="Q666" t="s">
        <v>364</v>
      </c>
      <c r="R666">
        <v>2025</v>
      </c>
      <c r="S666">
        <v>10</v>
      </c>
    </row>
    <row r="667" spans="1:19" x14ac:dyDescent="0.3">
      <c r="A667" t="s">
        <v>726</v>
      </c>
      <c r="B667" s="2">
        <v>45953</v>
      </c>
      <c r="C667" t="s">
        <v>82</v>
      </c>
      <c r="D667" t="s">
        <v>21</v>
      </c>
      <c r="E667" t="s">
        <v>44</v>
      </c>
      <c r="F667" t="s">
        <v>23</v>
      </c>
      <c r="G667" t="s">
        <v>24</v>
      </c>
      <c r="H667" t="s">
        <v>25</v>
      </c>
      <c r="I667">
        <v>2</v>
      </c>
      <c r="J667" s="3">
        <v>47450</v>
      </c>
      <c r="K667" s="4">
        <v>0</v>
      </c>
      <c r="L667" s="3">
        <v>94900</v>
      </c>
      <c r="M667" s="3">
        <v>0</v>
      </c>
      <c r="N667" s="3">
        <v>94900</v>
      </c>
      <c r="O667" s="3">
        <v>51981.47</v>
      </c>
      <c r="P667" s="3">
        <v>42918.53</v>
      </c>
      <c r="Q667" t="s">
        <v>364</v>
      </c>
      <c r="R667">
        <v>2025</v>
      </c>
      <c r="S667">
        <v>10</v>
      </c>
    </row>
    <row r="668" spans="1:19" x14ac:dyDescent="0.3">
      <c r="A668" t="s">
        <v>727</v>
      </c>
      <c r="B668" s="2">
        <v>45953</v>
      </c>
      <c r="C668" t="s">
        <v>48</v>
      </c>
      <c r="D668" t="s">
        <v>34</v>
      </c>
      <c r="E668" t="s">
        <v>44</v>
      </c>
      <c r="F668" t="s">
        <v>30</v>
      </c>
      <c r="G668" t="s">
        <v>31</v>
      </c>
      <c r="H668" t="s">
        <v>25</v>
      </c>
      <c r="I668">
        <v>4</v>
      </c>
      <c r="J668" s="3">
        <v>26378</v>
      </c>
      <c r="K668" s="4">
        <v>0</v>
      </c>
      <c r="L668" s="3">
        <v>105512</v>
      </c>
      <c r="M668" s="3">
        <v>0</v>
      </c>
      <c r="N668" s="3">
        <v>105512</v>
      </c>
      <c r="O668" s="3">
        <v>59948.86</v>
      </c>
      <c r="P668" s="3">
        <v>45563.14</v>
      </c>
      <c r="Q668" t="s">
        <v>364</v>
      </c>
      <c r="R668">
        <v>2025</v>
      </c>
      <c r="S668">
        <v>10</v>
      </c>
    </row>
    <row r="669" spans="1:19" x14ac:dyDescent="0.3">
      <c r="A669" t="s">
        <v>728</v>
      </c>
      <c r="B669" s="2">
        <v>45954</v>
      </c>
      <c r="C669" t="s">
        <v>71</v>
      </c>
      <c r="D669" t="s">
        <v>34</v>
      </c>
      <c r="E669" t="s">
        <v>56</v>
      </c>
      <c r="F669" t="s">
        <v>23</v>
      </c>
      <c r="G669" t="s">
        <v>24</v>
      </c>
      <c r="H669" t="s">
        <v>25</v>
      </c>
      <c r="I669">
        <v>2</v>
      </c>
      <c r="J669" s="3">
        <v>52440</v>
      </c>
      <c r="K669" s="4">
        <v>0</v>
      </c>
      <c r="L669" s="3">
        <v>104880</v>
      </c>
      <c r="M669" s="3">
        <v>0</v>
      </c>
      <c r="N669" s="3">
        <v>104880</v>
      </c>
      <c r="O669" s="3">
        <v>58629.04</v>
      </c>
      <c r="P669" s="3">
        <v>46250.96</v>
      </c>
      <c r="Q669" t="s">
        <v>364</v>
      </c>
      <c r="R669">
        <v>2025</v>
      </c>
      <c r="S669">
        <v>10</v>
      </c>
    </row>
    <row r="670" spans="1:19" x14ac:dyDescent="0.3">
      <c r="A670" t="s">
        <v>729</v>
      </c>
      <c r="B670" s="2">
        <v>45955</v>
      </c>
      <c r="C670" t="s">
        <v>75</v>
      </c>
      <c r="D670" t="s">
        <v>34</v>
      </c>
      <c r="E670" t="s">
        <v>56</v>
      </c>
      <c r="F670" t="s">
        <v>40</v>
      </c>
      <c r="G670" t="s">
        <v>24</v>
      </c>
      <c r="H670" t="s">
        <v>25</v>
      </c>
      <c r="I670">
        <v>3</v>
      </c>
      <c r="J670" s="3">
        <v>40038</v>
      </c>
      <c r="K670" s="4">
        <v>0</v>
      </c>
      <c r="L670" s="3">
        <v>120114</v>
      </c>
      <c r="M670" s="3">
        <v>0</v>
      </c>
      <c r="N670" s="3">
        <v>120114</v>
      </c>
      <c r="O670" s="3">
        <v>75073.490000000005</v>
      </c>
      <c r="P670" s="3">
        <v>45040.51</v>
      </c>
      <c r="Q670" t="s">
        <v>364</v>
      </c>
      <c r="R670">
        <v>2025</v>
      </c>
      <c r="S670">
        <v>10</v>
      </c>
    </row>
    <row r="671" spans="1:19" x14ac:dyDescent="0.3">
      <c r="A671" t="s">
        <v>730</v>
      </c>
      <c r="B671" s="2">
        <v>45955</v>
      </c>
      <c r="C671" t="s">
        <v>48</v>
      </c>
      <c r="D671" t="s">
        <v>34</v>
      </c>
      <c r="E671" t="s">
        <v>44</v>
      </c>
      <c r="F671" t="s">
        <v>40</v>
      </c>
      <c r="G671" t="s">
        <v>31</v>
      </c>
      <c r="H671" t="s">
        <v>25</v>
      </c>
      <c r="I671">
        <v>2</v>
      </c>
      <c r="J671" s="3">
        <v>24498</v>
      </c>
      <c r="K671" s="4">
        <v>5</v>
      </c>
      <c r="L671" s="3">
        <v>48996</v>
      </c>
      <c r="M671" s="3">
        <v>2449.8000000000002</v>
      </c>
      <c r="N671" s="3">
        <v>46546.2</v>
      </c>
      <c r="O671" s="3">
        <v>27313.22</v>
      </c>
      <c r="P671" s="3">
        <v>19232.98</v>
      </c>
      <c r="Q671" t="s">
        <v>364</v>
      </c>
      <c r="R671">
        <v>2025</v>
      </c>
      <c r="S671">
        <v>10</v>
      </c>
    </row>
    <row r="672" spans="1:19" x14ac:dyDescent="0.3">
      <c r="A672" t="s">
        <v>731</v>
      </c>
      <c r="B672" s="2">
        <v>45955</v>
      </c>
      <c r="C672" t="s">
        <v>33</v>
      </c>
      <c r="D672" t="s">
        <v>34</v>
      </c>
      <c r="E672" t="s">
        <v>56</v>
      </c>
      <c r="F672" t="s">
        <v>40</v>
      </c>
      <c r="G672" t="s">
        <v>31</v>
      </c>
      <c r="H672" t="s">
        <v>25</v>
      </c>
      <c r="I672">
        <v>1</v>
      </c>
      <c r="J672" s="3">
        <v>40456</v>
      </c>
      <c r="K672" s="4">
        <v>0</v>
      </c>
      <c r="L672" s="3">
        <v>40456</v>
      </c>
      <c r="M672" s="3">
        <v>0</v>
      </c>
      <c r="N672" s="3">
        <v>40456</v>
      </c>
      <c r="O672" s="3">
        <v>23931.41</v>
      </c>
      <c r="P672" s="3">
        <v>16524.59</v>
      </c>
      <c r="Q672" t="s">
        <v>364</v>
      </c>
      <c r="R672">
        <v>2025</v>
      </c>
      <c r="S672">
        <v>10</v>
      </c>
    </row>
    <row r="673" spans="1:19" x14ac:dyDescent="0.3">
      <c r="A673" t="s">
        <v>732</v>
      </c>
      <c r="B673" s="2">
        <v>45956</v>
      </c>
      <c r="C673" t="s">
        <v>82</v>
      </c>
      <c r="D673" t="s">
        <v>21</v>
      </c>
      <c r="E673" t="s">
        <v>42</v>
      </c>
      <c r="F673" t="s">
        <v>37</v>
      </c>
      <c r="G673" t="s">
        <v>31</v>
      </c>
      <c r="H673" t="s">
        <v>25</v>
      </c>
      <c r="I673">
        <v>1</v>
      </c>
      <c r="J673" s="3">
        <v>44596</v>
      </c>
      <c r="K673" s="4">
        <v>0</v>
      </c>
      <c r="L673" s="3">
        <v>44596</v>
      </c>
      <c r="M673" s="3">
        <v>0</v>
      </c>
      <c r="N673" s="3">
        <v>44596</v>
      </c>
      <c r="O673" s="3">
        <v>23177.88</v>
      </c>
      <c r="P673" s="3">
        <v>21418.12</v>
      </c>
      <c r="Q673" t="s">
        <v>364</v>
      </c>
      <c r="R673">
        <v>2025</v>
      </c>
      <c r="S673">
        <v>10</v>
      </c>
    </row>
    <row r="674" spans="1:19" x14ac:dyDescent="0.3">
      <c r="A674" t="s">
        <v>733</v>
      </c>
      <c r="B674" s="2">
        <v>45957</v>
      </c>
      <c r="C674" t="s">
        <v>50</v>
      </c>
      <c r="D674" t="s">
        <v>34</v>
      </c>
      <c r="E674" t="s">
        <v>42</v>
      </c>
      <c r="F674" t="s">
        <v>35</v>
      </c>
      <c r="G674" t="s">
        <v>31</v>
      </c>
      <c r="H674" t="s">
        <v>25</v>
      </c>
      <c r="I674">
        <v>3</v>
      </c>
      <c r="J674" s="3">
        <v>17757</v>
      </c>
      <c r="K674" s="4">
        <v>0</v>
      </c>
      <c r="L674" s="3">
        <v>53271</v>
      </c>
      <c r="M674" s="3">
        <v>0</v>
      </c>
      <c r="N674" s="3">
        <v>53271</v>
      </c>
      <c r="O674" s="3">
        <v>29487.72</v>
      </c>
      <c r="P674" s="3">
        <v>23783.279999999999</v>
      </c>
      <c r="Q674" t="s">
        <v>364</v>
      </c>
      <c r="R674">
        <v>2025</v>
      </c>
      <c r="S674">
        <v>10</v>
      </c>
    </row>
    <row r="675" spans="1:19" x14ac:dyDescent="0.3">
      <c r="A675" t="s">
        <v>734</v>
      </c>
      <c r="B675" s="2">
        <v>45957</v>
      </c>
      <c r="C675" t="s">
        <v>46</v>
      </c>
      <c r="D675" t="s">
        <v>21</v>
      </c>
      <c r="E675" t="s">
        <v>22</v>
      </c>
      <c r="F675" t="s">
        <v>35</v>
      </c>
      <c r="G675" t="s">
        <v>31</v>
      </c>
      <c r="H675" t="s">
        <v>25</v>
      </c>
      <c r="I675">
        <v>1</v>
      </c>
      <c r="J675" s="3">
        <v>11597</v>
      </c>
      <c r="K675" s="4">
        <v>0</v>
      </c>
      <c r="L675" s="3">
        <v>11597</v>
      </c>
      <c r="M675" s="3">
        <v>0</v>
      </c>
      <c r="N675" s="3">
        <v>11597</v>
      </c>
      <c r="O675" s="3">
        <v>5936.25</v>
      </c>
      <c r="P675" s="3">
        <v>5660.75</v>
      </c>
      <c r="Q675" t="s">
        <v>364</v>
      </c>
      <c r="R675">
        <v>2025</v>
      </c>
      <c r="S675">
        <v>10</v>
      </c>
    </row>
    <row r="676" spans="1:19" x14ac:dyDescent="0.3">
      <c r="A676" t="s">
        <v>735</v>
      </c>
      <c r="B676" s="2">
        <v>45957</v>
      </c>
      <c r="C676" t="s">
        <v>28</v>
      </c>
      <c r="D676" t="s">
        <v>29</v>
      </c>
      <c r="E676" t="s">
        <v>22</v>
      </c>
      <c r="F676" t="s">
        <v>30</v>
      </c>
      <c r="G676" t="s">
        <v>24</v>
      </c>
      <c r="H676" t="s">
        <v>25</v>
      </c>
      <c r="I676">
        <v>1</v>
      </c>
      <c r="J676" s="3">
        <v>64209</v>
      </c>
      <c r="K676" s="4">
        <v>0</v>
      </c>
      <c r="L676" s="3">
        <v>64209</v>
      </c>
      <c r="M676" s="3">
        <v>0</v>
      </c>
      <c r="N676" s="3">
        <v>64209</v>
      </c>
      <c r="O676" s="3">
        <v>41074.449999999997</v>
      </c>
      <c r="P676" s="3">
        <v>23134.55</v>
      </c>
      <c r="Q676" t="s">
        <v>364</v>
      </c>
      <c r="R676">
        <v>2025</v>
      </c>
      <c r="S676">
        <v>10</v>
      </c>
    </row>
    <row r="677" spans="1:19" x14ac:dyDescent="0.3">
      <c r="A677" t="s">
        <v>736</v>
      </c>
      <c r="B677" s="2">
        <v>45958</v>
      </c>
      <c r="C677" t="s">
        <v>28</v>
      </c>
      <c r="D677" t="s">
        <v>29</v>
      </c>
      <c r="E677" t="s">
        <v>42</v>
      </c>
      <c r="F677" t="s">
        <v>35</v>
      </c>
      <c r="G677" t="s">
        <v>31</v>
      </c>
      <c r="H677" t="s">
        <v>25</v>
      </c>
      <c r="I677">
        <v>1</v>
      </c>
      <c r="J677" s="3">
        <v>66109</v>
      </c>
      <c r="K677" s="4">
        <v>0</v>
      </c>
      <c r="L677" s="3">
        <v>66109</v>
      </c>
      <c r="M677" s="3">
        <v>0</v>
      </c>
      <c r="N677" s="3">
        <v>66109</v>
      </c>
      <c r="O677" s="3">
        <v>32010.74</v>
      </c>
      <c r="P677" s="3">
        <v>34098.26</v>
      </c>
      <c r="Q677" t="s">
        <v>364</v>
      </c>
      <c r="R677">
        <v>2025</v>
      </c>
      <c r="S677">
        <v>10</v>
      </c>
    </row>
    <row r="678" spans="1:19" x14ac:dyDescent="0.3">
      <c r="A678" t="s">
        <v>737</v>
      </c>
      <c r="B678" s="2">
        <v>45959</v>
      </c>
      <c r="C678" t="s">
        <v>48</v>
      </c>
      <c r="D678" t="s">
        <v>34</v>
      </c>
      <c r="E678" t="s">
        <v>56</v>
      </c>
      <c r="F678" t="s">
        <v>40</v>
      </c>
      <c r="G678" t="s">
        <v>24</v>
      </c>
      <c r="H678" t="s">
        <v>25</v>
      </c>
      <c r="I678">
        <v>4</v>
      </c>
      <c r="J678" s="3">
        <v>23769</v>
      </c>
      <c r="K678" s="4">
        <v>0</v>
      </c>
      <c r="L678" s="3">
        <v>95076</v>
      </c>
      <c r="M678" s="3">
        <v>0</v>
      </c>
      <c r="N678" s="3">
        <v>95076</v>
      </c>
      <c r="O678" s="3">
        <v>58269.03</v>
      </c>
      <c r="P678" s="3">
        <v>36806.97</v>
      </c>
      <c r="Q678" t="s">
        <v>364</v>
      </c>
      <c r="R678">
        <v>2025</v>
      </c>
      <c r="S678">
        <v>10</v>
      </c>
    </row>
    <row r="679" spans="1:19" x14ac:dyDescent="0.3">
      <c r="A679" t="s">
        <v>738</v>
      </c>
      <c r="B679" s="2">
        <v>45961</v>
      </c>
      <c r="C679" t="s">
        <v>71</v>
      </c>
      <c r="D679" t="s">
        <v>34</v>
      </c>
      <c r="E679" t="s">
        <v>22</v>
      </c>
      <c r="F679" t="s">
        <v>40</v>
      </c>
      <c r="G679" t="s">
        <v>31</v>
      </c>
      <c r="H679" t="s">
        <v>25</v>
      </c>
      <c r="I679">
        <v>2</v>
      </c>
      <c r="J679" s="3">
        <v>47174</v>
      </c>
      <c r="K679" s="4">
        <v>0</v>
      </c>
      <c r="L679" s="3">
        <v>94348</v>
      </c>
      <c r="M679" s="3">
        <v>0</v>
      </c>
      <c r="N679" s="3">
        <v>94348</v>
      </c>
      <c r="O679" s="3">
        <v>45615.95</v>
      </c>
      <c r="P679" s="3">
        <v>48732.05</v>
      </c>
      <c r="Q679" t="s">
        <v>364</v>
      </c>
      <c r="R679">
        <v>2025</v>
      </c>
      <c r="S679">
        <v>10</v>
      </c>
    </row>
    <row r="680" spans="1:19" x14ac:dyDescent="0.3">
      <c r="A680" t="s">
        <v>739</v>
      </c>
      <c r="B680" s="2">
        <v>45963</v>
      </c>
      <c r="C680" t="s">
        <v>75</v>
      </c>
      <c r="D680" t="s">
        <v>34</v>
      </c>
      <c r="E680" t="s">
        <v>56</v>
      </c>
      <c r="F680" t="s">
        <v>40</v>
      </c>
      <c r="G680" t="s">
        <v>24</v>
      </c>
      <c r="H680" t="s">
        <v>388</v>
      </c>
      <c r="I680">
        <v>2</v>
      </c>
      <c r="J680" s="3">
        <v>37670</v>
      </c>
      <c r="K680" s="4">
        <v>10</v>
      </c>
      <c r="L680" s="3">
        <v>75340</v>
      </c>
      <c r="M680" s="3">
        <v>7534</v>
      </c>
      <c r="N680" s="3">
        <v>67806</v>
      </c>
      <c r="O680" s="3">
        <v>40155.72</v>
      </c>
      <c r="P680" s="3">
        <v>27650.28</v>
      </c>
      <c r="Q680" t="s">
        <v>389</v>
      </c>
      <c r="R680">
        <v>2025</v>
      </c>
      <c r="S680">
        <v>11</v>
      </c>
    </row>
    <row r="681" spans="1:19" x14ac:dyDescent="0.3">
      <c r="A681" t="s">
        <v>740</v>
      </c>
      <c r="B681" s="2">
        <v>45963</v>
      </c>
      <c r="C681" t="s">
        <v>20</v>
      </c>
      <c r="D681" t="s">
        <v>21</v>
      </c>
      <c r="E681" t="s">
        <v>42</v>
      </c>
      <c r="F681" t="s">
        <v>23</v>
      </c>
      <c r="G681" t="s">
        <v>31</v>
      </c>
      <c r="H681" t="s">
        <v>25</v>
      </c>
      <c r="I681">
        <v>1</v>
      </c>
      <c r="J681" s="3">
        <v>14358</v>
      </c>
      <c r="K681" s="4">
        <v>0</v>
      </c>
      <c r="L681" s="3">
        <v>14358</v>
      </c>
      <c r="M681" s="3">
        <v>0</v>
      </c>
      <c r="N681" s="3">
        <v>14358</v>
      </c>
      <c r="O681" s="3">
        <v>8854.3799999999992</v>
      </c>
      <c r="P681" s="3">
        <v>5503.62</v>
      </c>
      <c r="Q681" t="s">
        <v>389</v>
      </c>
      <c r="R681">
        <v>2025</v>
      </c>
      <c r="S681">
        <v>11</v>
      </c>
    </row>
    <row r="682" spans="1:19" x14ac:dyDescent="0.3">
      <c r="A682" t="s">
        <v>741</v>
      </c>
      <c r="B682" s="2">
        <v>45965</v>
      </c>
      <c r="C682" t="s">
        <v>28</v>
      </c>
      <c r="D682" t="s">
        <v>29</v>
      </c>
      <c r="E682" t="s">
        <v>22</v>
      </c>
      <c r="F682" t="s">
        <v>40</v>
      </c>
      <c r="G682" t="s">
        <v>31</v>
      </c>
      <c r="H682" t="s">
        <v>388</v>
      </c>
      <c r="I682">
        <v>5</v>
      </c>
      <c r="J682" s="3">
        <v>64213</v>
      </c>
      <c r="K682" s="4">
        <v>10</v>
      </c>
      <c r="L682" s="3">
        <v>321065</v>
      </c>
      <c r="M682" s="3">
        <v>32106.5</v>
      </c>
      <c r="N682" s="3">
        <v>288958.5</v>
      </c>
      <c r="O682" s="3">
        <v>192882.54</v>
      </c>
      <c r="P682" s="3">
        <v>96075.96</v>
      </c>
      <c r="Q682" t="s">
        <v>389</v>
      </c>
      <c r="R682">
        <v>2025</v>
      </c>
      <c r="S682">
        <v>11</v>
      </c>
    </row>
    <row r="683" spans="1:19" x14ac:dyDescent="0.3">
      <c r="A683" t="s">
        <v>742</v>
      </c>
      <c r="B683" s="2">
        <v>45967</v>
      </c>
      <c r="C683" t="s">
        <v>64</v>
      </c>
      <c r="D683" t="s">
        <v>29</v>
      </c>
      <c r="E683" t="s">
        <v>22</v>
      </c>
      <c r="F683" t="s">
        <v>23</v>
      </c>
      <c r="G683" t="s">
        <v>31</v>
      </c>
      <c r="H683" t="s">
        <v>388</v>
      </c>
      <c r="I683">
        <v>1</v>
      </c>
      <c r="J683" s="3">
        <v>32154</v>
      </c>
      <c r="K683" s="4">
        <v>10</v>
      </c>
      <c r="L683" s="3">
        <v>32154</v>
      </c>
      <c r="M683" s="3">
        <v>3215.4</v>
      </c>
      <c r="N683" s="3">
        <v>28938.6</v>
      </c>
      <c r="O683" s="3">
        <v>16436.490000000002</v>
      </c>
      <c r="P683" s="3">
        <v>12502.11</v>
      </c>
      <c r="Q683" t="s">
        <v>389</v>
      </c>
      <c r="R683">
        <v>2025</v>
      </c>
      <c r="S683">
        <v>11</v>
      </c>
    </row>
    <row r="684" spans="1:19" x14ac:dyDescent="0.3">
      <c r="A684" t="s">
        <v>743</v>
      </c>
      <c r="B684" s="2">
        <v>45967</v>
      </c>
      <c r="C684" t="s">
        <v>28</v>
      </c>
      <c r="D684" t="s">
        <v>29</v>
      </c>
      <c r="E684" t="s">
        <v>22</v>
      </c>
      <c r="F684" t="s">
        <v>35</v>
      </c>
      <c r="G684" t="s">
        <v>24</v>
      </c>
      <c r="H684" t="s">
        <v>388</v>
      </c>
      <c r="I684">
        <v>2</v>
      </c>
      <c r="J684" s="3">
        <v>67091</v>
      </c>
      <c r="K684" s="4">
        <v>5</v>
      </c>
      <c r="L684" s="3">
        <v>134182</v>
      </c>
      <c r="M684" s="3">
        <v>6709.1</v>
      </c>
      <c r="N684" s="3">
        <v>127472.9</v>
      </c>
      <c r="O684" s="3">
        <v>88874.85</v>
      </c>
      <c r="P684" s="3">
        <v>38598.050000000003</v>
      </c>
      <c r="Q684" t="s">
        <v>389</v>
      </c>
      <c r="R684">
        <v>2025</v>
      </c>
      <c r="S684">
        <v>11</v>
      </c>
    </row>
    <row r="685" spans="1:19" x14ac:dyDescent="0.3">
      <c r="A685" t="s">
        <v>744</v>
      </c>
      <c r="B685" s="2">
        <v>45967</v>
      </c>
      <c r="C685" t="s">
        <v>82</v>
      </c>
      <c r="D685" t="s">
        <v>21</v>
      </c>
      <c r="E685" t="s">
        <v>44</v>
      </c>
      <c r="F685" t="s">
        <v>35</v>
      </c>
      <c r="G685" t="s">
        <v>31</v>
      </c>
      <c r="H685" t="s">
        <v>388</v>
      </c>
      <c r="I685">
        <v>2</v>
      </c>
      <c r="J685" s="3">
        <v>46135</v>
      </c>
      <c r="K685" s="4">
        <v>20</v>
      </c>
      <c r="L685" s="3">
        <v>92270</v>
      </c>
      <c r="M685" s="3">
        <v>18454</v>
      </c>
      <c r="N685" s="3">
        <v>73816</v>
      </c>
      <c r="O685" s="3">
        <v>61506.38</v>
      </c>
      <c r="P685" s="3">
        <v>12309.62</v>
      </c>
      <c r="Q685" t="s">
        <v>389</v>
      </c>
      <c r="R685">
        <v>2025</v>
      </c>
      <c r="S685">
        <v>11</v>
      </c>
    </row>
    <row r="686" spans="1:19" x14ac:dyDescent="0.3">
      <c r="A686" t="s">
        <v>745</v>
      </c>
      <c r="B686" s="2">
        <v>45968</v>
      </c>
      <c r="C686" t="s">
        <v>71</v>
      </c>
      <c r="D686" t="s">
        <v>34</v>
      </c>
      <c r="E686" t="s">
        <v>42</v>
      </c>
      <c r="F686" t="s">
        <v>40</v>
      </c>
      <c r="G686" t="s">
        <v>24</v>
      </c>
      <c r="H686" t="s">
        <v>388</v>
      </c>
      <c r="I686">
        <v>2</v>
      </c>
      <c r="J686" s="3">
        <v>51958</v>
      </c>
      <c r="K686" s="4">
        <v>10</v>
      </c>
      <c r="L686" s="3">
        <v>103916</v>
      </c>
      <c r="M686" s="3">
        <v>10391.6</v>
      </c>
      <c r="N686" s="3">
        <v>93524.4</v>
      </c>
      <c r="O686" s="3">
        <v>53827.13</v>
      </c>
      <c r="P686" s="3">
        <v>39697.269999999997</v>
      </c>
      <c r="Q686" t="s">
        <v>389</v>
      </c>
      <c r="R686">
        <v>2025</v>
      </c>
      <c r="S686">
        <v>11</v>
      </c>
    </row>
    <row r="687" spans="1:19" x14ac:dyDescent="0.3">
      <c r="A687" t="s">
        <v>746</v>
      </c>
      <c r="B687" s="2">
        <v>45973</v>
      </c>
      <c r="C687" t="s">
        <v>50</v>
      </c>
      <c r="D687" t="s">
        <v>34</v>
      </c>
      <c r="E687" t="s">
        <v>22</v>
      </c>
      <c r="F687" t="s">
        <v>40</v>
      </c>
      <c r="G687" t="s">
        <v>31</v>
      </c>
      <c r="H687" t="s">
        <v>388</v>
      </c>
      <c r="I687">
        <v>3</v>
      </c>
      <c r="J687" s="3">
        <v>17828</v>
      </c>
      <c r="K687" s="4">
        <v>15</v>
      </c>
      <c r="L687" s="3">
        <v>53484</v>
      </c>
      <c r="M687" s="3">
        <v>8022.6</v>
      </c>
      <c r="N687" s="3">
        <v>45461.4</v>
      </c>
      <c r="O687" s="3">
        <v>29761.200000000001</v>
      </c>
      <c r="P687" s="3">
        <v>15700.2</v>
      </c>
      <c r="Q687" t="s">
        <v>389</v>
      </c>
      <c r="R687">
        <v>2025</v>
      </c>
      <c r="S687">
        <v>11</v>
      </c>
    </row>
    <row r="688" spans="1:19" x14ac:dyDescent="0.3">
      <c r="A688" t="s">
        <v>747</v>
      </c>
      <c r="B688" s="2">
        <v>45973</v>
      </c>
      <c r="C688" t="s">
        <v>82</v>
      </c>
      <c r="D688" t="s">
        <v>21</v>
      </c>
      <c r="E688" t="s">
        <v>44</v>
      </c>
      <c r="F688" t="s">
        <v>37</v>
      </c>
      <c r="G688" t="s">
        <v>24</v>
      </c>
      <c r="H688" t="s">
        <v>25</v>
      </c>
      <c r="I688">
        <v>1</v>
      </c>
      <c r="J688" s="3">
        <v>44240</v>
      </c>
      <c r="K688" s="4">
        <v>0</v>
      </c>
      <c r="L688" s="3">
        <v>44240</v>
      </c>
      <c r="M688" s="3">
        <v>0</v>
      </c>
      <c r="N688" s="3">
        <v>44240</v>
      </c>
      <c r="O688" s="3">
        <v>24871.91</v>
      </c>
      <c r="P688" s="3">
        <v>19368.09</v>
      </c>
      <c r="Q688" t="s">
        <v>389</v>
      </c>
      <c r="R688">
        <v>2025</v>
      </c>
      <c r="S688">
        <v>11</v>
      </c>
    </row>
    <row r="689" spans="1:19" x14ac:dyDescent="0.3">
      <c r="A689" t="s">
        <v>748</v>
      </c>
      <c r="B689" s="2">
        <v>45973</v>
      </c>
      <c r="C689" t="s">
        <v>20</v>
      </c>
      <c r="D689" t="s">
        <v>21</v>
      </c>
      <c r="E689" t="s">
        <v>22</v>
      </c>
      <c r="F689" t="s">
        <v>40</v>
      </c>
      <c r="G689" t="s">
        <v>31</v>
      </c>
      <c r="H689" t="s">
        <v>25</v>
      </c>
      <c r="I689">
        <v>2</v>
      </c>
      <c r="J689" s="3">
        <v>14885</v>
      </c>
      <c r="K689" s="4">
        <v>0</v>
      </c>
      <c r="L689" s="3">
        <v>29770</v>
      </c>
      <c r="M689" s="3">
        <v>0</v>
      </c>
      <c r="N689" s="3">
        <v>0</v>
      </c>
      <c r="O689" s="3">
        <v>16132.96</v>
      </c>
      <c r="P689" s="3">
        <v>0</v>
      </c>
      <c r="Q689" t="s">
        <v>389</v>
      </c>
      <c r="R689">
        <v>2025</v>
      </c>
      <c r="S689">
        <v>11</v>
      </c>
    </row>
    <row r="690" spans="1:19" x14ac:dyDescent="0.3">
      <c r="A690" t="s">
        <v>749</v>
      </c>
      <c r="B690" s="2">
        <v>45974</v>
      </c>
      <c r="C690" t="s">
        <v>28</v>
      </c>
      <c r="D690" t="s">
        <v>29</v>
      </c>
      <c r="E690" t="s">
        <v>22</v>
      </c>
      <c r="F690" t="s">
        <v>35</v>
      </c>
      <c r="G690" t="s">
        <v>31</v>
      </c>
      <c r="H690" t="s">
        <v>25</v>
      </c>
      <c r="I690">
        <v>1</v>
      </c>
      <c r="J690" s="3">
        <v>65204</v>
      </c>
      <c r="K690" s="4">
        <v>15</v>
      </c>
      <c r="L690" s="3">
        <v>65204</v>
      </c>
      <c r="M690" s="3">
        <v>9780.6</v>
      </c>
      <c r="N690" s="3">
        <v>55423.4</v>
      </c>
      <c r="O690" s="3">
        <v>38114.26</v>
      </c>
      <c r="P690" s="3">
        <v>17309.14</v>
      </c>
      <c r="Q690" t="s">
        <v>389</v>
      </c>
      <c r="R690">
        <v>2025</v>
      </c>
      <c r="S690">
        <v>11</v>
      </c>
    </row>
    <row r="691" spans="1:19" x14ac:dyDescent="0.3">
      <c r="A691" t="s">
        <v>750</v>
      </c>
      <c r="B691" s="2">
        <v>45975</v>
      </c>
      <c r="C691" t="s">
        <v>20</v>
      </c>
      <c r="D691" t="s">
        <v>21</v>
      </c>
      <c r="E691" t="s">
        <v>22</v>
      </c>
      <c r="F691" t="s">
        <v>40</v>
      </c>
      <c r="G691" t="s">
        <v>31</v>
      </c>
      <c r="H691" t="s">
        <v>25</v>
      </c>
      <c r="I691">
        <v>3</v>
      </c>
      <c r="J691" s="3">
        <v>14615</v>
      </c>
      <c r="K691" s="4">
        <v>0</v>
      </c>
      <c r="L691" s="3">
        <v>43845</v>
      </c>
      <c r="M691" s="3">
        <v>0</v>
      </c>
      <c r="N691" s="3">
        <v>43845</v>
      </c>
      <c r="O691" s="3">
        <v>25823.37</v>
      </c>
      <c r="P691" s="3">
        <v>18021.63</v>
      </c>
      <c r="Q691" t="s">
        <v>389</v>
      </c>
      <c r="R691">
        <v>2025</v>
      </c>
      <c r="S691">
        <v>11</v>
      </c>
    </row>
    <row r="692" spans="1:19" x14ac:dyDescent="0.3">
      <c r="A692" t="s">
        <v>751</v>
      </c>
      <c r="B692" s="2">
        <v>45975</v>
      </c>
      <c r="C692" t="s">
        <v>75</v>
      </c>
      <c r="D692" t="s">
        <v>34</v>
      </c>
      <c r="E692" t="s">
        <v>42</v>
      </c>
      <c r="F692" t="s">
        <v>30</v>
      </c>
      <c r="G692" t="s">
        <v>24</v>
      </c>
      <c r="H692" t="s">
        <v>25</v>
      </c>
      <c r="I692">
        <v>2</v>
      </c>
      <c r="J692" s="3">
        <v>35983</v>
      </c>
      <c r="K692" s="4">
        <v>0</v>
      </c>
      <c r="L692" s="3">
        <v>71966</v>
      </c>
      <c r="M692" s="3">
        <v>0</v>
      </c>
      <c r="N692" s="3">
        <v>71966</v>
      </c>
      <c r="O692" s="3">
        <v>46613.09</v>
      </c>
      <c r="P692" s="3">
        <v>25352.91</v>
      </c>
      <c r="Q692" t="s">
        <v>389</v>
      </c>
      <c r="R692">
        <v>2025</v>
      </c>
      <c r="S692">
        <v>11</v>
      </c>
    </row>
    <row r="693" spans="1:19" x14ac:dyDescent="0.3">
      <c r="A693" t="s">
        <v>752</v>
      </c>
      <c r="B693" s="2">
        <v>45976</v>
      </c>
      <c r="C693" t="s">
        <v>33</v>
      </c>
      <c r="D693" t="s">
        <v>34</v>
      </c>
      <c r="E693" t="s">
        <v>44</v>
      </c>
      <c r="F693" t="s">
        <v>40</v>
      </c>
      <c r="G693" t="s">
        <v>24</v>
      </c>
      <c r="H693" t="s">
        <v>388</v>
      </c>
      <c r="I693">
        <v>2</v>
      </c>
      <c r="J693" s="3">
        <v>42898</v>
      </c>
      <c r="K693" s="4">
        <v>15</v>
      </c>
      <c r="L693" s="3">
        <v>85796</v>
      </c>
      <c r="M693" s="3">
        <v>12869.4</v>
      </c>
      <c r="N693" s="3">
        <v>72926.600000000006</v>
      </c>
      <c r="O693" s="3">
        <v>48782.76</v>
      </c>
      <c r="P693" s="3">
        <v>24143.84</v>
      </c>
      <c r="Q693" t="s">
        <v>389</v>
      </c>
      <c r="R693">
        <v>2025</v>
      </c>
      <c r="S693">
        <v>11</v>
      </c>
    </row>
    <row r="694" spans="1:19" x14ac:dyDescent="0.3">
      <c r="A694" t="s">
        <v>753</v>
      </c>
      <c r="B694" s="2">
        <v>45976</v>
      </c>
      <c r="C694" t="s">
        <v>50</v>
      </c>
      <c r="D694" t="s">
        <v>34</v>
      </c>
      <c r="E694" t="s">
        <v>42</v>
      </c>
      <c r="F694" t="s">
        <v>30</v>
      </c>
      <c r="G694" t="s">
        <v>31</v>
      </c>
      <c r="H694" t="s">
        <v>25</v>
      </c>
      <c r="I694">
        <v>3</v>
      </c>
      <c r="J694" s="3">
        <v>18349</v>
      </c>
      <c r="K694" s="4">
        <v>0</v>
      </c>
      <c r="L694" s="3">
        <v>55047</v>
      </c>
      <c r="M694" s="3">
        <v>0</v>
      </c>
      <c r="N694" s="3">
        <v>0</v>
      </c>
      <c r="O694" s="3">
        <v>31746.43</v>
      </c>
      <c r="P694" s="3">
        <v>0</v>
      </c>
      <c r="Q694" t="s">
        <v>389</v>
      </c>
      <c r="R694">
        <v>2025</v>
      </c>
      <c r="S694">
        <v>11</v>
      </c>
    </row>
    <row r="695" spans="1:19" x14ac:dyDescent="0.3">
      <c r="A695" t="s">
        <v>754</v>
      </c>
      <c r="B695" s="2">
        <v>45976</v>
      </c>
      <c r="C695" t="s">
        <v>46</v>
      </c>
      <c r="D695" t="s">
        <v>21</v>
      </c>
      <c r="E695" t="s">
        <v>22</v>
      </c>
      <c r="F695" t="s">
        <v>30</v>
      </c>
      <c r="G695" t="s">
        <v>24</v>
      </c>
      <c r="H695" t="s">
        <v>25</v>
      </c>
      <c r="I695">
        <v>3</v>
      </c>
      <c r="J695" s="3">
        <v>11972</v>
      </c>
      <c r="K695" s="4">
        <v>0</v>
      </c>
      <c r="L695" s="3">
        <v>35916</v>
      </c>
      <c r="M695" s="3">
        <v>0</v>
      </c>
      <c r="N695" s="3">
        <v>35916</v>
      </c>
      <c r="O695" s="3">
        <v>22139.72</v>
      </c>
      <c r="P695" s="3">
        <v>13776.28</v>
      </c>
      <c r="Q695" t="s">
        <v>389</v>
      </c>
      <c r="R695">
        <v>2025</v>
      </c>
      <c r="S695">
        <v>11</v>
      </c>
    </row>
    <row r="696" spans="1:19" x14ac:dyDescent="0.3">
      <c r="A696" t="s">
        <v>755</v>
      </c>
      <c r="B696" s="2">
        <v>45977</v>
      </c>
      <c r="C696" t="s">
        <v>64</v>
      </c>
      <c r="D696" t="s">
        <v>29</v>
      </c>
      <c r="E696" t="s">
        <v>42</v>
      </c>
      <c r="F696" t="s">
        <v>37</v>
      </c>
      <c r="G696" t="s">
        <v>31</v>
      </c>
      <c r="H696" t="s">
        <v>388</v>
      </c>
      <c r="I696">
        <v>1</v>
      </c>
      <c r="J696" s="3">
        <v>28489</v>
      </c>
      <c r="K696" s="4">
        <v>10</v>
      </c>
      <c r="L696" s="3">
        <v>28489</v>
      </c>
      <c r="M696" s="3">
        <v>2848.9</v>
      </c>
      <c r="N696" s="3">
        <v>25640.1</v>
      </c>
      <c r="O696" s="3">
        <v>14920.88</v>
      </c>
      <c r="P696" s="3">
        <v>10719.22</v>
      </c>
      <c r="Q696" t="s">
        <v>389</v>
      </c>
      <c r="R696">
        <v>2025</v>
      </c>
      <c r="S696">
        <v>11</v>
      </c>
    </row>
    <row r="697" spans="1:19" x14ac:dyDescent="0.3">
      <c r="A697" t="s">
        <v>756</v>
      </c>
      <c r="B697" s="2">
        <v>45978</v>
      </c>
      <c r="C697" t="s">
        <v>71</v>
      </c>
      <c r="D697" t="s">
        <v>34</v>
      </c>
      <c r="E697" t="s">
        <v>42</v>
      </c>
      <c r="F697" t="s">
        <v>40</v>
      </c>
      <c r="G697" t="s">
        <v>31</v>
      </c>
      <c r="H697" t="s">
        <v>388</v>
      </c>
      <c r="I697">
        <v>3</v>
      </c>
      <c r="J697" s="3">
        <v>47989</v>
      </c>
      <c r="K697" s="4">
        <v>10</v>
      </c>
      <c r="L697" s="3">
        <v>143967</v>
      </c>
      <c r="M697" s="3">
        <v>14396.7</v>
      </c>
      <c r="N697" s="3">
        <v>129570.3</v>
      </c>
      <c r="O697" s="3">
        <v>89454.68</v>
      </c>
      <c r="P697" s="3">
        <v>40115.620000000003</v>
      </c>
      <c r="Q697" t="s">
        <v>389</v>
      </c>
      <c r="R697">
        <v>2025</v>
      </c>
      <c r="S697">
        <v>11</v>
      </c>
    </row>
    <row r="698" spans="1:19" x14ac:dyDescent="0.3">
      <c r="A698" t="s">
        <v>757</v>
      </c>
      <c r="B698" s="2">
        <v>45979</v>
      </c>
      <c r="C698" t="s">
        <v>50</v>
      </c>
      <c r="D698" t="s">
        <v>34</v>
      </c>
      <c r="E698" t="s">
        <v>56</v>
      </c>
      <c r="F698" t="s">
        <v>30</v>
      </c>
      <c r="G698" t="s">
        <v>24</v>
      </c>
      <c r="H698" t="s">
        <v>388</v>
      </c>
      <c r="I698">
        <v>3</v>
      </c>
      <c r="J698" s="3">
        <v>19202</v>
      </c>
      <c r="K698" s="4">
        <v>10</v>
      </c>
      <c r="L698" s="3">
        <v>57606</v>
      </c>
      <c r="M698" s="3">
        <v>5760.6</v>
      </c>
      <c r="N698" s="3">
        <v>51845.4</v>
      </c>
      <c r="O698" s="3">
        <v>36226.15</v>
      </c>
      <c r="P698" s="3">
        <v>15619.25</v>
      </c>
      <c r="Q698" t="s">
        <v>389</v>
      </c>
      <c r="R698">
        <v>2025</v>
      </c>
      <c r="S698">
        <v>11</v>
      </c>
    </row>
    <row r="699" spans="1:19" x14ac:dyDescent="0.3">
      <c r="A699" t="s">
        <v>758</v>
      </c>
      <c r="B699" s="2">
        <v>45979</v>
      </c>
      <c r="C699" t="s">
        <v>46</v>
      </c>
      <c r="D699" t="s">
        <v>21</v>
      </c>
      <c r="E699" t="s">
        <v>56</v>
      </c>
      <c r="F699" t="s">
        <v>40</v>
      </c>
      <c r="G699" t="s">
        <v>24</v>
      </c>
      <c r="H699" t="s">
        <v>25</v>
      </c>
      <c r="I699">
        <v>1</v>
      </c>
      <c r="J699" s="3">
        <v>12869</v>
      </c>
      <c r="K699" s="4">
        <v>0</v>
      </c>
      <c r="L699" s="3">
        <v>12869</v>
      </c>
      <c r="M699" s="3">
        <v>0</v>
      </c>
      <c r="N699" s="3">
        <v>12869</v>
      </c>
      <c r="O699" s="3">
        <v>7089.34</v>
      </c>
      <c r="P699" s="3">
        <v>5779.66</v>
      </c>
      <c r="Q699" t="s">
        <v>389</v>
      </c>
      <c r="R699">
        <v>2025</v>
      </c>
      <c r="S699">
        <v>11</v>
      </c>
    </row>
    <row r="700" spans="1:19" x14ac:dyDescent="0.3">
      <c r="A700" t="s">
        <v>759</v>
      </c>
      <c r="B700" s="2">
        <v>45980</v>
      </c>
      <c r="C700" t="s">
        <v>82</v>
      </c>
      <c r="D700" t="s">
        <v>21</v>
      </c>
      <c r="E700" t="s">
        <v>22</v>
      </c>
      <c r="F700" t="s">
        <v>23</v>
      </c>
      <c r="G700" t="s">
        <v>24</v>
      </c>
      <c r="H700" t="s">
        <v>388</v>
      </c>
      <c r="I700">
        <v>4</v>
      </c>
      <c r="J700" s="3">
        <v>47182</v>
      </c>
      <c r="K700" s="4">
        <v>10</v>
      </c>
      <c r="L700" s="3">
        <v>188728</v>
      </c>
      <c r="M700" s="3">
        <v>18872.8</v>
      </c>
      <c r="N700" s="3">
        <v>169855.2</v>
      </c>
      <c r="O700" s="3">
        <v>104815.57</v>
      </c>
      <c r="P700" s="3">
        <v>65039.63</v>
      </c>
      <c r="Q700" t="s">
        <v>389</v>
      </c>
      <c r="R700">
        <v>2025</v>
      </c>
      <c r="S700">
        <v>11</v>
      </c>
    </row>
    <row r="701" spans="1:19" x14ac:dyDescent="0.3">
      <c r="A701" t="s">
        <v>760</v>
      </c>
      <c r="B701" s="2">
        <v>45980</v>
      </c>
      <c r="C701" t="s">
        <v>75</v>
      </c>
      <c r="D701" t="s">
        <v>34</v>
      </c>
      <c r="E701" t="s">
        <v>22</v>
      </c>
      <c r="F701" t="s">
        <v>23</v>
      </c>
      <c r="G701" t="s">
        <v>31</v>
      </c>
      <c r="H701" t="s">
        <v>388</v>
      </c>
      <c r="I701">
        <v>1</v>
      </c>
      <c r="J701" s="3">
        <v>39814</v>
      </c>
      <c r="K701" s="4">
        <v>5</v>
      </c>
      <c r="L701" s="3">
        <v>39814</v>
      </c>
      <c r="M701" s="3">
        <v>1990.7</v>
      </c>
      <c r="N701" s="3">
        <v>37823.300000000003</v>
      </c>
      <c r="O701" s="3">
        <v>20626.689999999999</v>
      </c>
      <c r="P701" s="3">
        <v>17196.61</v>
      </c>
      <c r="Q701" t="s">
        <v>389</v>
      </c>
      <c r="R701">
        <v>2025</v>
      </c>
      <c r="S701">
        <v>11</v>
      </c>
    </row>
    <row r="702" spans="1:19" x14ac:dyDescent="0.3">
      <c r="A702" t="s">
        <v>761</v>
      </c>
      <c r="B702" s="2">
        <v>45980</v>
      </c>
      <c r="C702" t="s">
        <v>48</v>
      </c>
      <c r="D702" t="s">
        <v>34</v>
      </c>
      <c r="E702" t="s">
        <v>56</v>
      </c>
      <c r="F702" t="s">
        <v>40</v>
      </c>
      <c r="G702" t="s">
        <v>31</v>
      </c>
      <c r="H702" t="s">
        <v>388</v>
      </c>
      <c r="I702">
        <v>3</v>
      </c>
      <c r="J702" s="3">
        <v>24783</v>
      </c>
      <c r="K702" s="4">
        <v>15</v>
      </c>
      <c r="L702" s="3">
        <v>74349</v>
      </c>
      <c r="M702" s="3">
        <v>11152.35</v>
      </c>
      <c r="N702" s="3">
        <v>63196.65</v>
      </c>
      <c r="O702" s="3">
        <v>46495.839999999997</v>
      </c>
      <c r="P702" s="3">
        <v>16700.810000000001</v>
      </c>
      <c r="Q702" t="s">
        <v>389</v>
      </c>
      <c r="R702">
        <v>2025</v>
      </c>
      <c r="S702">
        <v>11</v>
      </c>
    </row>
    <row r="703" spans="1:19" x14ac:dyDescent="0.3">
      <c r="A703" t="s">
        <v>762</v>
      </c>
      <c r="B703" s="2">
        <v>45981</v>
      </c>
      <c r="C703" t="s">
        <v>20</v>
      </c>
      <c r="D703" t="s">
        <v>21</v>
      </c>
      <c r="E703" t="s">
        <v>42</v>
      </c>
      <c r="F703" t="s">
        <v>40</v>
      </c>
      <c r="G703" t="s">
        <v>31</v>
      </c>
      <c r="H703" t="s">
        <v>388</v>
      </c>
      <c r="I703">
        <v>1</v>
      </c>
      <c r="J703" s="3">
        <v>14868</v>
      </c>
      <c r="K703" s="4">
        <v>5</v>
      </c>
      <c r="L703" s="3">
        <v>14868</v>
      </c>
      <c r="M703" s="3">
        <v>743.4</v>
      </c>
      <c r="N703" s="3">
        <v>14124.6</v>
      </c>
      <c r="O703" s="3">
        <v>9166.58</v>
      </c>
      <c r="P703" s="3">
        <v>4958.0200000000004</v>
      </c>
      <c r="Q703" t="s">
        <v>389</v>
      </c>
      <c r="R703">
        <v>2025</v>
      </c>
      <c r="S703">
        <v>11</v>
      </c>
    </row>
    <row r="704" spans="1:19" x14ac:dyDescent="0.3">
      <c r="A704" t="s">
        <v>763</v>
      </c>
      <c r="B704" s="2">
        <v>45981</v>
      </c>
      <c r="C704" t="s">
        <v>20</v>
      </c>
      <c r="D704" t="s">
        <v>21</v>
      </c>
      <c r="E704" t="s">
        <v>22</v>
      </c>
      <c r="F704" t="s">
        <v>35</v>
      </c>
      <c r="G704" t="s">
        <v>31</v>
      </c>
      <c r="H704" t="s">
        <v>25</v>
      </c>
      <c r="I704">
        <v>1</v>
      </c>
      <c r="J704" s="3">
        <v>15650</v>
      </c>
      <c r="K704" s="4">
        <v>0</v>
      </c>
      <c r="L704" s="3">
        <v>15650</v>
      </c>
      <c r="M704" s="3">
        <v>0</v>
      </c>
      <c r="N704" s="3">
        <v>15650</v>
      </c>
      <c r="O704" s="3">
        <v>10475.620000000001</v>
      </c>
      <c r="P704" s="3">
        <v>5174.38</v>
      </c>
      <c r="Q704" t="s">
        <v>389</v>
      </c>
      <c r="R704">
        <v>2025</v>
      </c>
      <c r="S704">
        <v>11</v>
      </c>
    </row>
    <row r="705" spans="1:19" x14ac:dyDescent="0.3">
      <c r="A705" t="s">
        <v>764</v>
      </c>
      <c r="B705" s="2">
        <v>45981</v>
      </c>
      <c r="C705" t="s">
        <v>50</v>
      </c>
      <c r="D705" t="s">
        <v>34</v>
      </c>
      <c r="E705" t="s">
        <v>22</v>
      </c>
      <c r="F705" t="s">
        <v>35</v>
      </c>
      <c r="G705" t="s">
        <v>31</v>
      </c>
      <c r="H705" t="s">
        <v>388</v>
      </c>
      <c r="I705">
        <v>2</v>
      </c>
      <c r="J705" s="3">
        <v>19270</v>
      </c>
      <c r="K705" s="4">
        <v>10</v>
      </c>
      <c r="L705" s="3">
        <v>38540</v>
      </c>
      <c r="M705" s="3">
        <v>3854</v>
      </c>
      <c r="N705" s="3">
        <v>34686</v>
      </c>
      <c r="O705" s="3">
        <v>20897.87</v>
      </c>
      <c r="P705" s="3">
        <v>13788.13</v>
      </c>
      <c r="Q705" t="s">
        <v>389</v>
      </c>
      <c r="R705">
        <v>2025</v>
      </c>
      <c r="S705">
        <v>11</v>
      </c>
    </row>
    <row r="706" spans="1:19" x14ac:dyDescent="0.3">
      <c r="A706" t="s">
        <v>765</v>
      </c>
      <c r="B706" s="2">
        <v>45982</v>
      </c>
      <c r="C706" t="s">
        <v>82</v>
      </c>
      <c r="D706" t="s">
        <v>21</v>
      </c>
      <c r="E706" t="s">
        <v>42</v>
      </c>
      <c r="F706" t="s">
        <v>23</v>
      </c>
      <c r="G706" t="s">
        <v>31</v>
      </c>
      <c r="H706" t="s">
        <v>388</v>
      </c>
      <c r="I706">
        <v>3</v>
      </c>
      <c r="J706" s="3">
        <v>45751</v>
      </c>
      <c r="K706" s="4">
        <v>10</v>
      </c>
      <c r="L706" s="3">
        <v>137253</v>
      </c>
      <c r="M706" s="3">
        <v>13725.3</v>
      </c>
      <c r="N706" s="3">
        <v>123527.7</v>
      </c>
      <c r="O706" s="3">
        <v>88630</v>
      </c>
      <c r="P706" s="3">
        <v>34897.699999999997</v>
      </c>
      <c r="Q706" t="s">
        <v>389</v>
      </c>
      <c r="R706">
        <v>2025</v>
      </c>
      <c r="S706">
        <v>11</v>
      </c>
    </row>
    <row r="707" spans="1:19" x14ac:dyDescent="0.3">
      <c r="A707" t="s">
        <v>766</v>
      </c>
      <c r="B707" s="2">
        <v>45983</v>
      </c>
      <c r="C707" t="s">
        <v>71</v>
      </c>
      <c r="D707" t="s">
        <v>34</v>
      </c>
      <c r="E707" t="s">
        <v>56</v>
      </c>
      <c r="F707" t="s">
        <v>23</v>
      </c>
      <c r="G707" t="s">
        <v>31</v>
      </c>
      <c r="H707" t="s">
        <v>388</v>
      </c>
      <c r="I707">
        <v>3</v>
      </c>
      <c r="J707" s="3">
        <v>47300</v>
      </c>
      <c r="K707" s="4">
        <v>10</v>
      </c>
      <c r="L707" s="3">
        <v>141900</v>
      </c>
      <c r="M707" s="3">
        <v>14190</v>
      </c>
      <c r="N707" s="3">
        <v>127710</v>
      </c>
      <c r="O707" s="3">
        <v>71899.850000000006</v>
      </c>
      <c r="P707" s="3">
        <v>55810.15</v>
      </c>
      <c r="Q707" t="s">
        <v>389</v>
      </c>
      <c r="R707">
        <v>2025</v>
      </c>
      <c r="S707">
        <v>11</v>
      </c>
    </row>
    <row r="708" spans="1:19" x14ac:dyDescent="0.3">
      <c r="A708" t="s">
        <v>767</v>
      </c>
      <c r="B708" s="2">
        <v>45984</v>
      </c>
      <c r="C708" t="s">
        <v>20</v>
      </c>
      <c r="D708" t="s">
        <v>21</v>
      </c>
      <c r="E708" t="s">
        <v>44</v>
      </c>
      <c r="F708" t="s">
        <v>30</v>
      </c>
      <c r="G708" t="s">
        <v>24</v>
      </c>
      <c r="H708" t="s">
        <v>388</v>
      </c>
      <c r="I708">
        <v>1</v>
      </c>
      <c r="J708" s="3">
        <v>14082</v>
      </c>
      <c r="K708" s="4">
        <v>15</v>
      </c>
      <c r="L708" s="3">
        <v>14082</v>
      </c>
      <c r="M708" s="3">
        <v>2112.3000000000002</v>
      </c>
      <c r="N708" s="3">
        <v>11969.7</v>
      </c>
      <c r="O708" s="3">
        <v>7392.52</v>
      </c>
      <c r="P708" s="3">
        <v>4577.18</v>
      </c>
      <c r="Q708" t="s">
        <v>389</v>
      </c>
      <c r="R708">
        <v>2025</v>
      </c>
      <c r="S708">
        <v>11</v>
      </c>
    </row>
    <row r="709" spans="1:19" x14ac:dyDescent="0.3">
      <c r="A709" t="s">
        <v>768</v>
      </c>
      <c r="B709" s="2">
        <v>45988</v>
      </c>
      <c r="C709" t="s">
        <v>82</v>
      </c>
      <c r="D709" t="s">
        <v>21</v>
      </c>
      <c r="E709" t="s">
        <v>42</v>
      </c>
      <c r="F709" t="s">
        <v>35</v>
      </c>
      <c r="G709" t="s">
        <v>31</v>
      </c>
      <c r="H709" t="s">
        <v>388</v>
      </c>
      <c r="I709">
        <v>2</v>
      </c>
      <c r="J709" s="3">
        <v>41775</v>
      </c>
      <c r="K709" s="4">
        <v>10</v>
      </c>
      <c r="L709" s="3">
        <v>83550</v>
      </c>
      <c r="M709" s="3">
        <v>8355</v>
      </c>
      <c r="N709" s="3">
        <v>0</v>
      </c>
      <c r="O709" s="3">
        <v>40474.29</v>
      </c>
      <c r="P709" s="3">
        <v>0</v>
      </c>
      <c r="Q709" t="s">
        <v>389</v>
      </c>
      <c r="R709">
        <v>2025</v>
      </c>
      <c r="S709">
        <v>11</v>
      </c>
    </row>
    <row r="710" spans="1:19" x14ac:dyDescent="0.3">
      <c r="A710" t="s">
        <v>769</v>
      </c>
      <c r="B710" s="2">
        <v>45988</v>
      </c>
      <c r="C710" t="s">
        <v>64</v>
      </c>
      <c r="D710" t="s">
        <v>29</v>
      </c>
      <c r="E710" t="s">
        <v>42</v>
      </c>
      <c r="F710" t="s">
        <v>40</v>
      </c>
      <c r="G710" t="s">
        <v>31</v>
      </c>
      <c r="H710" t="s">
        <v>25</v>
      </c>
      <c r="I710">
        <v>4</v>
      </c>
      <c r="J710" s="3">
        <v>28545</v>
      </c>
      <c r="K710" s="4">
        <v>0</v>
      </c>
      <c r="L710" s="3">
        <v>114180</v>
      </c>
      <c r="M710" s="3">
        <v>0</v>
      </c>
      <c r="N710" s="3">
        <v>114180</v>
      </c>
      <c r="O710" s="3">
        <v>59360.160000000003</v>
      </c>
      <c r="P710" s="3">
        <v>54819.839999999997</v>
      </c>
      <c r="Q710" t="s">
        <v>389</v>
      </c>
      <c r="R710">
        <v>2025</v>
      </c>
      <c r="S710">
        <v>11</v>
      </c>
    </row>
    <row r="711" spans="1:19" x14ac:dyDescent="0.3">
      <c r="A711" t="s">
        <v>770</v>
      </c>
      <c r="B711" s="2">
        <v>45989</v>
      </c>
      <c r="C711" t="s">
        <v>71</v>
      </c>
      <c r="D711" t="s">
        <v>34</v>
      </c>
      <c r="E711" t="s">
        <v>42</v>
      </c>
      <c r="F711" t="s">
        <v>40</v>
      </c>
      <c r="G711" t="s">
        <v>31</v>
      </c>
      <c r="H711" t="s">
        <v>25</v>
      </c>
      <c r="I711">
        <v>2</v>
      </c>
      <c r="J711" s="3">
        <v>53479</v>
      </c>
      <c r="K711" s="4">
        <v>0</v>
      </c>
      <c r="L711" s="3">
        <v>106958</v>
      </c>
      <c r="M711" s="3">
        <v>0</v>
      </c>
      <c r="N711" s="3">
        <v>106958</v>
      </c>
      <c r="O711" s="3">
        <v>70563.78</v>
      </c>
      <c r="P711" s="3">
        <v>36394.22</v>
      </c>
      <c r="Q711" t="s">
        <v>389</v>
      </c>
      <c r="R711">
        <v>2025</v>
      </c>
      <c r="S711">
        <v>11</v>
      </c>
    </row>
    <row r="712" spans="1:19" x14ac:dyDescent="0.3">
      <c r="A712" t="s">
        <v>771</v>
      </c>
      <c r="B712" s="2">
        <v>45990</v>
      </c>
      <c r="C712" t="s">
        <v>46</v>
      </c>
      <c r="D712" t="s">
        <v>21</v>
      </c>
      <c r="E712" t="s">
        <v>44</v>
      </c>
      <c r="F712" t="s">
        <v>30</v>
      </c>
      <c r="G712" t="s">
        <v>31</v>
      </c>
      <c r="H712" t="s">
        <v>388</v>
      </c>
      <c r="I712">
        <v>5</v>
      </c>
      <c r="J712" s="3">
        <v>12698</v>
      </c>
      <c r="K712" s="4">
        <v>10</v>
      </c>
      <c r="L712" s="3">
        <v>63490</v>
      </c>
      <c r="M712" s="3">
        <v>6349</v>
      </c>
      <c r="N712" s="3">
        <v>57141</v>
      </c>
      <c r="O712" s="3">
        <v>35241.14</v>
      </c>
      <c r="P712" s="3">
        <v>21899.86</v>
      </c>
      <c r="Q712" t="s">
        <v>389</v>
      </c>
      <c r="R712">
        <v>2025</v>
      </c>
      <c r="S712">
        <v>11</v>
      </c>
    </row>
    <row r="713" spans="1:19" x14ac:dyDescent="0.3">
      <c r="A713" t="s">
        <v>772</v>
      </c>
      <c r="B713" s="2">
        <v>45990</v>
      </c>
      <c r="C713" t="s">
        <v>33</v>
      </c>
      <c r="D713" t="s">
        <v>34</v>
      </c>
      <c r="E713" t="s">
        <v>42</v>
      </c>
      <c r="F713" t="s">
        <v>40</v>
      </c>
      <c r="G713" t="s">
        <v>31</v>
      </c>
      <c r="H713" t="s">
        <v>388</v>
      </c>
      <c r="I713">
        <v>2</v>
      </c>
      <c r="J713" s="3">
        <v>39541</v>
      </c>
      <c r="K713" s="4">
        <v>5</v>
      </c>
      <c r="L713" s="3">
        <v>79082</v>
      </c>
      <c r="M713" s="3">
        <v>3954.1</v>
      </c>
      <c r="N713" s="3">
        <v>75127.899999999994</v>
      </c>
      <c r="O713" s="3">
        <v>43331.57</v>
      </c>
      <c r="P713" s="3">
        <v>31796.33</v>
      </c>
      <c r="Q713" t="s">
        <v>389</v>
      </c>
      <c r="R713">
        <v>2025</v>
      </c>
      <c r="S713">
        <v>11</v>
      </c>
    </row>
    <row r="714" spans="1:19" x14ac:dyDescent="0.3">
      <c r="A714" t="s">
        <v>773</v>
      </c>
      <c r="B714" s="2">
        <v>45990</v>
      </c>
      <c r="C714" t="s">
        <v>75</v>
      </c>
      <c r="D714" t="s">
        <v>34</v>
      </c>
      <c r="E714" t="s">
        <v>42</v>
      </c>
      <c r="F714" t="s">
        <v>35</v>
      </c>
      <c r="G714" t="s">
        <v>24</v>
      </c>
      <c r="H714" t="s">
        <v>25</v>
      </c>
      <c r="I714">
        <v>2</v>
      </c>
      <c r="J714" s="3">
        <v>35698</v>
      </c>
      <c r="K714" s="4">
        <v>0</v>
      </c>
      <c r="L714" s="3">
        <v>71396</v>
      </c>
      <c r="M714" s="3">
        <v>0</v>
      </c>
      <c r="N714" s="3">
        <v>71396</v>
      </c>
      <c r="O714" s="3">
        <v>36894.379999999997</v>
      </c>
      <c r="P714" s="3">
        <v>34501.620000000003</v>
      </c>
      <c r="Q714" t="s">
        <v>389</v>
      </c>
      <c r="R714">
        <v>2025</v>
      </c>
      <c r="S714">
        <v>11</v>
      </c>
    </row>
    <row r="715" spans="1:19" x14ac:dyDescent="0.3">
      <c r="A715" t="s">
        <v>774</v>
      </c>
      <c r="B715" s="2">
        <v>45991</v>
      </c>
      <c r="C715" t="s">
        <v>48</v>
      </c>
      <c r="D715" t="s">
        <v>34</v>
      </c>
      <c r="E715" t="s">
        <v>22</v>
      </c>
      <c r="F715" t="s">
        <v>37</v>
      </c>
      <c r="G715" t="s">
        <v>31</v>
      </c>
      <c r="H715" t="s">
        <v>388</v>
      </c>
      <c r="I715">
        <v>2</v>
      </c>
      <c r="J715" s="3">
        <v>24001</v>
      </c>
      <c r="K715" s="4">
        <v>10</v>
      </c>
      <c r="L715" s="3">
        <v>48002</v>
      </c>
      <c r="M715" s="3">
        <v>4800.2</v>
      </c>
      <c r="N715" s="3">
        <v>43201.8</v>
      </c>
      <c r="O715" s="3">
        <v>26238.71</v>
      </c>
      <c r="P715" s="3">
        <v>16963.09</v>
      </c>
      <c r="Q715" t="s">
        <v>389</v>
      </c>
      <c r="R715">
        <v>2025</v>
      </c>
      <c r="S715">
        <v>11</v>
      </c>
    </row>
    <row r="716" spans="1:19" x14ac:dyDescent="0.3">
      <c r="A716" t="s">
        <v>775</v>
      </c>
      <c r="B716" s="2">
        <v>45991</v>
      </c>
      <c r="C716" t="s">
        <v>48</v>
      </c>
      <c r="D716" t="s">
        <v>34</v>
      </c>
      <c r="E716" t="s">
        <v>22</v>
      </c>
      <c r="F716" t="s">
        <v>23</v>
      </c>
      <c r="G716" t="s">
        <v>24</v>
      </c>
      <c r="H716" t="s">
        <v>388</v>
      </c>
      <c r="I716">
        <v>1</v>
      </c>
      <c r="J716" s="3">
        <v>26649</v>
      </c>
      <c r="K716" s="4">
        <v>10</v>
      </c>
      <c r="L716" s="3">
        <v>26649</v>
      </c>
      <c r="M716" s="3">
        <v>2664.9</v>
      </c>
      <c r="N716" s="3">
        <v>23984.1</v>
      </c>
      <c r="O716" s="3">
        <v>16111.81</v>
      </c>
      <c r="P716" s="3">
        <v>7872.29</v>
      </c>
      <c r="Q716" t="s">
        <v>389</v>
      </c>
      <c r="R716">
        <v>2025</v>
      </c>
      <c r="S716">
        <v>11</v>
      </c>
    </row>
    <row r="717" spans="1:19" x14ac:dyDescent="0.3">
      <c r="A717" t="s">
        <v>776</v>
      </c>
      <c r="B717" s="2">
        <v>45991</v>
      </c>
      <c r="C717" t="s">
        <v>28</v>
      </c>
      <c r="D717" t="s">
        <v>29</v>
      </c>
      <c r="E717" t="s">
        <v>44</v>
      </c>
      <c r="F717" t="s">
        <v>35</v>
      </c>
      <c r="G717" t="s">
        <v>24</v>
      </c>
      <c r="H717" t="s">
        <v>388</v>
      </c>
      <c r="I717">
        <v>3</v>
      </c>
      <c r="J717" s="3">
        <v>63286</v>
      </c>
      <c r="K717" s="4">
        <v>5</v>
      </c>
      <c r="L717" s="3">
        <v>189858</v>
      </c>
      <c r="M717" s="3">
        <v>9492.9</v>
      </c>
      <c r="N717" s="3">
        <v>180365.1</v>
      </c>
      <c r="O717" s="3">
        <v>128167.18</v>
      </c>
      <c r="P717" s="3">
        <v>52197.919999999998</v>
      </c>
      <c r="Q717" t="s">
        <v>389</v>
      </c>
      <c r="R717">
        <v>2025</v>
      </c>
      <c r="S717">
        <v>11</v>
      </c>
    </row>
    <row r="718" spans="1:19" x14ac:dyDescent="0.3">
      <c r="A718" t="s">
        <v>777</v>
      </c>
      <c r="B718" s="2">
        <v>45993</v>
      </c>
      <c r="C718" t="s">
        <v>46</v>
      </c>
      <c r="D718" t="s">
        <v>21</v>
      </c>
      <c r="E718" t="s">
        <v>44</v>
      </c>
      <c r="F718" t="s">
        <v>40</v>
      </c>
      <c r="G718" t="s">
        <v>31</v>
      </c>
      <c r="H718" t="s">
        <v>415</v>
      </c>
      <c r="I718">
        <v>1</v>
      </c>
      <c r="J718" s="3">
        <v>12343</v>
      </c>
      <c r="K718" s="4">
        <v>10</v>
      </c>
      <c r="L718" s="3">
        <v>12343</v>
      </c>
      <c r="M718" s="3">
        <v>1234.3</v>
      </c>
      <c r="N718" s="3">
        <v>11108.7</v>
      </c>
      <c r="O718" s="3">
        <v>7181.17</v>
      </c>
      <c r="P718" s="3">
        <v>3927.53</v>
      </c>
      <c r="Q718" t="s">
        <v>416</v>
      </c>
      <c r="R718">
        <v>2025</v>
      </c>
      <c r="S718">
        <v>12</v>
      </c>
    </row>
    <row r="719" spans="1:19" x14ac:dyDescent="0.3">
      <c r="A719" t="s">
        <v>778</v>
      </c>
      <c r="B719" s="2">
        <v>45994</v>
      </c>
      <c r="C719" t="s">
        <v>75</v>
      </c>
      <c r="D719" t="s">
        <v>34</v>
      </c>
      <c r="E719" t="s">
        <v>44</v>
      </c>
      <c r="F719" t="s">
        <v>35</v>
      </c>
      <c r="G719" t="s">
        <v>24</v>
      </c>
      <c r="H719" t="s">
        <v>415</v>
      </c>
      <c r="I719">
        <v>2</v>
      </c>
      <c r="J719" s="3">
        <v>39956</v>
      </c>
      <c r="K719" s="4">
        <v>10</v>
      </c>
      <c r="L719" s="3">
        <v>79912</v>
      </c>
      <c r="M719" s="3">
        <v>7991.2</v>
      </c>
      <c r="N719" s="3">
        <v>0</v>
      </c>
      <c r="O719" s="3">
        <v>43166.11</v>
      </c>
      <c r="P719" s="3">
        <v>0</v>
      </c>
      <c r="Q719" t="s">
        <v>416</v>
      </c>
      <c r="R719">
        <v>2025</v>
      </c>
      <c r="S719">
        <v>12</v>
      </c>
    </row>
    <row r="720" spans="1:19" x14ac:dyDescent="0.3">
      <c r="A720" t="s">
        <v>779</v>
      </c>
      <c r="B720" s="2">
        <v>45995</v>
      </c>
      <c r="C720" t="s">
        <v>50</v>
      </c>
      <c r="D720" t="s">
        <v>34</v>
      </c>
      <c r="E720" t="s">
        <v>44</v>
      </c>
      <c r="F720" t="s">
        <v>40</v>
      </c>
      <c r="G720" t="s">
        <v>31</v>
      </c>
      <c r="H720" t="s">
        <v>415</v>
      </c>
      <c r="I720">
        <v>2</v>
      </c>
      <c r="J720" s="3">
        <v>17533</v>
      </c>
      <c r="K720" s="4">
        <v>10</v>
      </c>
      <c r="L720" s="3">
        <v>35066</v>
      </c>
      <c r="M720" s="3">
        <v>3506.6</v>
      </c>
      <c r="N720" s="3">
        <v>31559.4</v>
      </c>
      <c r="O720" s="3">
        <v>19579.05</v>
      </c>
      <c r="P720" s="3">
        <v>11980.35</v>
      </c>
      <c r="Q720" t="s">
        <v>416</v>
      </c>
      <c r="R720">
        <v>2025</v>
      </c>
      <c r="S720">
        <v>12</v>
      </c>
    </row>
    <row r="721" spans="1:19" x14ac:dyDescent="0.3">
      <c r="A721" t="s">
        <v>780</v>
      </c>
      <c r="B721" s="2">
        <v>45996</v>
      </c>
      <c r="C721" t="s">
        <v>20</v>
      </c>
      <c r="D721" t="s">
        <v>21</v>
      </c>
      <c r="E721" t="s">
        <v>22</v>
      </c>
      <c r="F721" t="s">
        <v>37</v>
      </c>
      <c r="G721" t="s">
        <v>31</v>
      </c>
      <c r="H721" t="s">
        <v>415</v>
      </c>
      <c r="I721">
        <v>5</v>
      </c>
      <c r="J721" s="3">
        <v>15553</v>
      </c>
      <c r="K721" s="4">
        <v>20</v>
      </c>
      <c r="L721" s="3">
        <v>77765</v>
      </c>
      <c r="M721" s="3">
        <v>15553</v>
      </c>
      <c r="N721" s="3">
        <v>62212</v>
      </c>
      <c r="O721" s="3">
        <v>38911.910000000003</v>
      </c>
      <c r="P721" s="3">
        <v>23300.09</v>
      </c>
      <c r="Q721" t="s">
        <v>416</v>
      </c>
      <c r="R721">
        <v>2025</v>
      </c>
      <c r="S721">
        <v>12</v>
      </c>
    </row>
    <row r="722" spans="1:19" x14ac:dyDescent="0.3">
      <c r="A722" t="s">
        <v>781</v>
      </c>
      <c r="B722" s="2">
        <v>45998</v>
      </c>
      <c r="C722" t="s">
        <v>75</v>
      </c>
      <c r="D722" t="s">
        <v>34</v>
      </c>
      <c r="E722" t="s">
        <v>22</v>
      </c>
      <c r="F722" t="s">
        <v>37</v>
      </c>
      <c r="G722" t="s">
        <v>31</v>
      </c>
      <c r="H722" t="s">
        <v>25</v>
      </c>
      <c r="I722">
        <v>1</v>
      </c>
      <c r="J722" s="3">
        <v>40623</v>
      </c>
      <c r="K722" s="4">
        <v>0</v>
      </c>
      <c r="L722" s="3">
        <v>40623</v>
      </c>
      <c r="M722" s="3">
        <v>0</v>
      </c>
      <c r="N722" s="3">
        <v>40623</v>
      </c>
      <c r="O722" s="3">
        <v>27023.58</v>
      </c>
      <c r="P722" s="3">
        <v>13599.42</v>
      </c>
      <c r="Q722" t="s">
        <v>416</v>
      </c>
      <c r="R722">
        <v>2025</v>
      </c>
      <c r="S722">
        <v>12</v>
      </c>
    </row>
    <row r="723" spans="1:19" x14ac:dyDescent="0.3">
      <c r="A723" t="s">
        <v>782</v>
      </c>
      <c r="B723" s="2">
        <v>46000</v>
      </c>
      <c r="C723" t="s">
        <v>82</v>
      </c>
      <c r="D723" t="s">
        <v>21</v>
      </c>
      <c r="E723" t="s">
        <v>22</v>
      </c>
      <c r="F723" t="s">
        <v>37</v>
      </c>
      <c r="G723" t="s">
        <v>31</v>
      </c>
      <c r="H723" t="s">
        <v>25</v>
      </c>
      <c r="I723">
        <v>1</v>
      </c>
      <c r="J723" s="3">
        <v>43115</v>
      </c>
      <c r="K723" s="4">
        <v>0</v>
      </c>
      <c r="L723" s="3">
        <v>43115</v>
      </c>
      <c r="M723" s="3">
        <v>0</v>
      </c>
      <c r="N723" s="3">
        <v>43115</v>
      </c>
      <c r="O723" s="3">
        <v>28179.66</v>
      </c>
      <c r="P723" s="3">
        <v>14935.34</v>
      </c>
      <c r="Q723" t="s">
        <v>416</v>
      </c>
      <c r="R723">
        <v>2025</v>
      </c>
      <c r="S723">
        <v>12</v>
      </c>
    </row>
    <row r="724" spans="1:19" x14ac:dyDescent="0.3">
      <c r="A724" t="s">
        <v>783</v>
      </c>
      <c r="B724" s="2">
        <v>46000</v>
      </c>
      <c r="C724" t="s">
        <v>75</v>
      </c>
      <c r="D724" t="s">
        <v>34</v>
      </c>
      <c r="E724" t="s">
        <v>22</v>
      </c>
      <c r="F724" t="s">
        <v>23</v>
      </c>
      <c r="G724" t="s">
        <v>31</v>
      </c>
      <c r="H724" t="s">
        <v>25</v>
      </c>
      <c r="I724">
        <v>1</v>
      </c>
      <c r="J724" s="3">
        <v>38534</v>
      </c>
      <c r="K724" s="4">
        <v>10</v>
      </c>
      <c r="L724" s="3">
        <v>38534</v>
      </c>
      <c r="M724" s="3">
        <v>3853.4</v>
      </c>
      <c r="N724" s="3">
        <v>34680.6</v>
      </c>
      <c r="O724" s="3">
        <v>24091.93</v>
      </c>
      <c r="P724" s="3">
        <v>10588.67</v>
      </c>
      <c r="Q724" t="s">
        <v>416</v>
      </c>
      <c r="R724">
        <v>2025</v>
      </c>
      <c r="S724">
        <v>12</v>
      </c>
    </row>
    <row r="725" spans="1:19" x14ac:dyDescent="0.3">
      <c r="A725" t="s">
        <v>784</v>
      </c>
      <c r="B725" s="2">
        <v>46000</v>
      </c>
      <c r="C725" t="s">
        <v>46</v>
      </c>
      <c r="D725" t="s">
        <v>21</v>
      </c>
      <c r="E725" t="s">
        <v>42</v>
      </c>
      <c r="F725" t="s">
        <v>37</v>
      </c>
      <c r="G725" t="s">
        <v>24</v>
      </c>
      <c r="H725" t="s">
        <v>415</v>
      </c>
      <c r="I725">
        <v>4</v>
      </c>
      <c r="J725" s="3">
        <v>11712</v>
      </c>
      <c r="K725" s="4">
        <v>15</v>
      </c>
      <c r="L725" s="3">
        <v>46848</v>
      </c>
      <c r="M725" s="3">
        <v>7027.2</v>
      </c>
      <c r="N725" s="3">
        <v>39820.800000000003</v>
      </c>
      <c r="O725" s="3">
        <v>29275.86</v>
      </c>
      <c r="P725" s="3">
        <v>10544.94</v>
      </c>
      <c r="Q725" t="s">
        <v>416</v>
      </c>
      <c r="R725">
        <v>2025</v>
      </c>
      <c r="S725">
        <v>12</v>
      </c>
    </row>
    <row r="726" spans="1:19" x14ac:dyDescent="0.3">
      <c r="A726" t="s">
        <v>785</v>
      </c>
      <c r="B726" s="2">
        <v>46001</v>
      </c>
      <c r="C726" t="s">
        <v>33</v>
      </c>
      <c r="D726" t="s">
        <v>34</v>
      </c>
      <c r="E726" t="s">
        <v>42</v>
      </c>
      <c r="F726" t="s">
        <v>23</v>
      </c>
      <c r="G726" t="s">
        <v>24</v>
      </c>
      <c r="H726" t="s">
        <v>415</v>
      </c>
      <c r="I726">
        <v>1</v>
      </c>
      <c r="J726" s="3">
        <v>38893</v>
      </c>
      <c r="K726" s="4">
        <v>20</v>
      </c>
      <c r="L726" s="3">
        <v>38893</v>
      </c>
      <c r="M726" s="3">
        <v>7778.6</v>
      </c>
      <c r="N726" s="3">
        <v>31114.400000000001</v>
      </c>
      <c r="O726" s="3">
        <v>18704.77</v>
      </c>
      <c r="P726" s="3">
        <v>12409.63</v>
      </c>
      <c r="Q726" t="s">
        <v>416</v>
      </c>
      <c r="R726">
        <v>2025</v>
      </c>
      <c r="S726">
        <v>12</v>
      </c>
    </row>
    <row r="727" spans="1:19" x14ac:dyDescent="0.3">
      <c r="A727" t="s">
        <v>786</v>
      </c>
      <c r="B727" s="2">
        <v>46001</v>
      </c>
      <c r="C727" t="s">
        <v>20</v>
      </c>
      <c r="D727" t="s">
        <v>21</v>
      </c>
      <c r="E727" t="s">
        <v>42</v>
      </c>
      <c r="F727" t="s">
        <v>40</v>
      </c>
      <c r="G727" t="s">
        <v>24</v>
      </c>
      <c r="H727" t="s">
        <v>415</v>
      </c>
      <c r="I727">
        <v>1</v>
      </c>
      <c r="J727" s="3">
        <v>14838</v>
      </c>
      <c r="K727" s="4">
        <v>5</v>
      </c>
      <c r="L727" s="3">
        <v>14838</v>
      </c>
      <c r="M727" s="3">
        <v>741.9</v>
      </c>
      <c r="N727" s="3">
        <v>14096.1</v>
      </c>
      <c r="O727" s="3">
        <v>9014.57</v>
      </c>
      <c r="P727" s="3">
        <v>5081.53</v>
      </c>
      <c r="Q727" t="s">
        <v>416</v>
      </c>
      <c r="R727">
        <v>2025</v>
      </c>
      <c r="S727">
        <v>12</v>
      </c>
    </row>
    <row r="728" spans="1:19" x14ac:dyDescent="0.3">
      <c r="A728" t="s">
        <v>787</v>
      </c>
      <c r="B728" s="2">
        <v>46001</v>
      </c>
      <c r="C728" t="s">
        <v>82</v>
      </c>
      <c r="D728" t="s">
        <v>21</v>
      </c>
      <c r="E728" t="s">
        <v>56</v>
      </c>
      <c r="F728" t="s">
        <v>35</v>
      </c>
      <c r="G728" t="s">
        <v>24</v>
      </c>
      <c r="H728" t="s">
        <v>415</v>
      </c>
      <c r="I728">
        <v>2</v>
      </c>
      <c r="J728" s="3">
        <v>45789</v>
      </c>
      <c r="K728" s="4">
        <v>15</v>
      </c>
      <c r="L728" s="3">
        <v>91578</v>
      </c>
      <c r="M728" s="3">
        <v>13736.7</v>
      </c>
      <c r="N728" s="3">
        <v>77841.3</v>
      </c>
      <c r="O728" s="3">
        <v>55454.74</v>
      </c>
      <c r="P728" s="3">
        <v>22386.560000000001</v>
      </c>
      <c r="Q728" t="s">
        <v>416</v>
      </c>
      <c r="R728">
        <v>2025</v>
      </c>
      <c r="S728">
        <v>12</v>
      </c>
    </row>
    <row r="729" spans="1:19" x14ac:dyDescent="0.3">
      <c r="A729" t="s">
        <v>788</v>
      </c>
      <c r="B729" s="2">
        <v>46001</v>
      </c>
      <c r="C729" t="s">
        <v>20</v>
      </c>
      <c r="D729" t="s">
        <v>21</v>
      </c>
      <c r="E729" t="s">
        <v>56</v>
      </c>
      <c r="F729" t="s">
        <v>40</v>
      </c>
      <c r="G729" t="s">
        <v>24</v>
      </c>
      <c r="H729" t="s">
        <v>415</v>
      </c>
      <c r="I729">
        <v>3</v>
      </c>
      <c r="J729" s="3">
        <v>14965</v>
      </c>
      <c r="K729" s="4">
        <v>5</v>
      </c>
      <c r="L729" s="3">
        <v>44895</v>
      </c>
      <c r="M729" s="3">
        <v>2244.75</v>
      </c>
      <c r="N729" s="3">
        <v>0</v>
      </c>
      <c r="O729" s="3">
        <v>26088.080000000002</v>
      </c>
      <c r="P729" s="3">
        <v>0</v>
      </c>
      <c r="Q729" t="s">
        <v>416</v>
      </c>
      <c r="R729">
        <v>2025</v>
      </c>
      <c r="S729">
        <v>12</v>
      </c>
    </row>
    <row r="730" spans="1:19" x14ac:dyDescent="0.3">
      <c r="A730" t="s">
        <v>789</v>
      </c>
      <c r="B730" s="2">
        <v>46002</v>
      </c>
      <c r="C730" t="s">
        <v>20</v>
      </c>
      <c r="D730" t="s">
        <v>21</v>
      </c>
      <c r="E730" t="s">
        <v>42</v>
      </c>
      <c r="F730" t="s">
        <v>40</v>
      </c>
      <c r="G730" t="s">
        <v>24</v>
      </c>
      <c r="H730" t="s">
        <v>415</v>
      </c>
      <c r="I730">
        <v>2</v>
      </c>
      <c r="J730" s="3">
        <v>15971</v>
      </c>
      <c r="K730" s="4">
        <v>10</v>
      </c>
      <c r="L730" s="3">
        <v>31942</v>
      </c>
      <c r="M730" s="3">
        <v>3194.2</v>
      </c>
      <c r="N730" s="3">
        <v>28747.8</v>
      </c>
      <c r="O730" s="3">
        <v>16762.77</v>
      </c>
      <c r="P730" s="3">
        <v>11985.03</v>
      </c>
      <c r="Q730" t="s">
        <v>416</v>
      </c>
      <c r="R730">
        <v>2025</v>
      </c>
      <c r="S730">
        <v>12</v>
      </c>
    </row>
    <row r="731" spans="1:19" x14ac:dyDescent="0.3">
      <c r="A731" t="s">
        <v>790</v>
      </c>
      <c r="B731" s="2">
        <v>46003</v>
      </c>
      <c r="C731" t="s">
        <v>50</v>
      </c>
      <c r="D731" t="s">
        <v>34</v>
      </c>
      <c r="E731" t="s">
        <v>56</v>
      </c>
      <c r="F731" t="s">
        <v>40</v>
      </c>
      <c r="G731" t="s">
        <v>31</v>
      </c>
      <c r="H731" t="s">
        <v>415</v>
      </c>
      <c r="I731">
        <v>2</v>
      </c>
      <c r="J731" s="3">
        <v>17632</v>
      </c>
      <c r="K731" s="4">
        <v>15</v>
      </c>
      <c r="L731" s="3">
        <v>35264</v>
      </c>
      <c r="M731" s="3">
        <v>5289.6</v>
      </c>
      <c r="N731" s="3">
        <v>29974.400000000001</v>
      </c>
      <c r="O731" s="3">
        <v>22284.880000000001</v>
      </c>
      <c r="P731" s="3">
        <v>7689.52</v>
      </c>
      <c r="Q731" t="s">
        <v>416</v>
      </c>
      <c r="R731">
        <v>2025</v>
      </c>
      <c r="S731">
        <v>12</v>
      </c>
    </row>
    <row r="732" spans="1:19" x14ac:dyDescent="0.3">
      <c r="A732" t="s">
        <v>791</v>
      </c>
      <c r="B732" s="2">
        <v>46004</v>
      </c>
      <c r="C732" t="s">
        <v>46</v>
      </c>
      <c r="D732" t="s">
        <v>21</v>
      </c>
      <c r="E732" t="s">
        <v>22</v>
      </c>
      <c r="F732" t="s">
        <v>40</v>
      </c>
      <c r="G732" t="s">
        <v>31</v>
      </c>
      <c r="H732" t="s">
        <v>415</v>
      </c>
      <c r="I732">
        <v>4</v>
      </c>
      <c r="J732" s="3">
        <v>12137</v>
      </c>
      <c r="K732" s="4">
        <v>5</v>
      </c>
      <c r="L732" s="3">
        <v>48548</v>
      </c>
      <c r="M732" s="3">
        <v>2427.4</v>
      </c>
      <c r="N732" s="3">
        <v>46120.6</v>
      </c>
      <c r="O732" s="3">
        <v>31084.04</v>
      </c>
      <c r="P732" s="3">
        <v>15036.56</v>
      </c>
      <c r="Q732" t="s">
        <v>416</v>
      </c>
      <c r="R732">
        <v>2025</v>
      </c>
      <c r="S732">
        <v>12</v>
      </c>
    </row>
    <row r="733" spans="1:19" x14ac:dyDescent="0.3">
      <c r="A733" t="s">
        <v>792</v>
      </c>
      <c r="B733" s="2">
        <v>46005</v>
      </c>
      <c r="C733" t="s">
        <v>75</v>
      </c>
      <c r="D733" t="s">
        <v>34</v>
      </c>
      <c r="E733" t="s">
        <v>44</v>
      </c>
      <c r="F733" t="s">
        <v>35</v>
      </c>
      <c r="G733" t="s">
        <v>31</v>
      </c>
      <c r="H733" t="s">
        <v>415</v>
      </c>
      <c r="I733">
        <v>2</v>
      </c>
      <c r="J733" s="3">
        <v>39977</v>
      </c>
      <c r="K733" s="4">
        <v>15</v>
      </c>
      <c r="L733" s="3">
        <v>79954</v>
      </c>
      <c r="M733" s="3">
        <v>11993.1</v>
      </c>
      <c r="N733" s="3">
        <v>67960.899999999994</v>
      </c>
      <c r="O733" s="3">
        <v>45000.21</v>
      </c>
      <c r="P733" s="3">
        <v>22960.69</v>
      </c>
      <c r="Q733" t="s">
        <v>416</v>
      </c>
      <c r="R733">
        <v>2025</v>
      </c>
      <c r="S733">
        <v>12</v>
      </c>
    </row>
    <row r="734" spans="1:19" x14ac:dyDescent="0.3">
      <c r="A734" t="s">
        <v>793</v>
      </c>
      <c r="B734" s="2">
        <v>46005</v>
      </c>
      <c r="C734" t="s">
        <v>28</v>
      </c>
      <c r="D734" t="s">
        <v>29</v>
      </c>
      <c r="E734" t="s">
        <v>22</v>
      </c>
      <c r="F734" t="s">
        <v>30</v>
      </c>
      <c r="G734" t="s">
        <v>31</v>
      </c>
      <c r="H734" t="s">
        <v>415</v>
      </c>
      <c r="I734">
        <v>2</v>
      </c>
      <c r="J734" s="3">
        <v>61426</v>
      </c>
      <c r="K734" s="4">
        <v>20</v>
      </c>
      <c r="L734" s="3">
        <v>122852</v>
      </c>
      <c r="M734" s="3">
        <v>24570.400000000001</v>
      </c>
      <c r="N734" s="3">
        <v>98281.600000000006</v>
      </c>
      <c r="O734" s="3">
        <v>72931.55</v>
      </c>
      <c r="P734" s="3">
        <v>25350.05</v>
      </c>
      <c r="Q734" t="s">
        <v>416</v>
      </c>
      <c r="R734">
        <v>2025</v>
      </c>
      <c r="S734">
        <v>12</v>
      </c>
    </row>
    <row r="735" spans="1:19" x14ac:dyDescent="0.3">
      <c r="A735" t="s">
        <v>794</v>
      </c>
      <c r="B735" s="2">
        <v>46005</v>
      </c>
      <c r="C735" t="s">
        <v>46</v>
      </c>
      <c r="D735" t="s">
        <v>21</v>
      </c>
      <c r="E735" t="s">
        <v>42</v>
      </c>
      <c r="F735" t="s">
        <v>23</v>
      </c>
      <c r="G735" t="s">
        <v>24</v>
      </c>
      <c r="H735" t="s">
        <v>25</v>
      </c>
      <c r="I735">
        <v>2</v>
      </c>
      <c r="J735" s="3">
        <v>11932</v>
      </c>
      <c r="K735" s="4">
        <v>0</v>
      </c>
      <c r="L735" s="3">
        <v>23864</v>
      </c>
      <c r="M735" s="3">
        <v>0</v>
      </c>
      <c r="N735" s="3">
        <v>23864</v>
      </c>
      <c r="O735" s="3">
        <v>13600.57</v>
      </c>
      <c r="P735" s="3">
        <v>10263.43</v>
      </c>
      <c r="Q735" t="s">
        <v>416</v>
      </c>
      <c r="R735">
        <v>2025</v>
      </c>
      <c r="S735">
        <v>12</v>
      </c>
    </row>
    <row r="736" spans="1:19" x14ac:dyDescent="0.3">
      <c r="A736" t="s">
        <v>795</v>
      </c>
      <c r="B736" s="2">
        <v>46005</v>
      </c>
      <c r="C736" t="s">
        <v>48</v>
      </c>
      <c r="D736" t="s">
        <v>34</v>
      </c>
      <c r="E736" t="s">
        <v>22</v>
      </c>
      <c r="F736" t="s">
        <v>40</v>
      </c>
      <c r="G736" t="s">
        <v>31</v>
      </c>
      <c r="H736" t="s">
        <v>25</v>
      </c>
      <c r="I736">
        <v>2</v>
      </c>
      <c r="J736" s="3">
        <v>25490</v>
      </c>
      <c r="K736" s="4">
        <v>0</v>
      </c>
      <c r="L736" s="3">
        <v>50980</v>
      </c>
      <c r="M736" s="3">
        <v>0</v>
      </c>
      <c r="N736" s="3">
        <v>50980</v>
      </c>
      <c r="O736" s="3">
        <v>32315.16</v>
      </c>
      <c r="P736" s="3">
        <v>18664.84</v>
      </c>
      <c r="Q736" t="s">
        <v>416</v>
      </c>
      <c r="R736">
        <v>2025</v>
      </c>
      <c r="S736">
        <v>12</v>
      </c>
    </row>
    <row r="737" spans="1:19" x14ac:dyDescent="0.3">
      <c r="A737" t="s">
        <v>796</v>
      </c>
      <c r="B737" s="2">
        <v>46006</v>
      </c>
      <c r="C737" t="s">
        <v>48</v>
      </c>
      <c r="D737" t="s">
        <v>34</v>
      </c>
      <c r="E737" t="s">
        <v>44</v>
      </c>
      <c r="F737" t="s">
        <v>40</v>
      </c>
      <c r="G737" t="s">
        <v>24</v>
      </c>
      <c r="H737" t="s">
        <v>415</v>
      </c>
      <c r="I737">
        <v>1</v>
      </c>
      <c r="J737" s="3">
        <v>25356</v>
      </c>
      <c r="K737" s="4">
        <v>10</v>
      </c>
      <c r="L737" s="3">
        <v>25356</v>
      </c>
      <c r="M737" s="3">
        <v>2535.6</v>
      </c>
      <c r="N737" s="3">
        <v>22820.400000000001</v>
      </c>
      <c r="O737" s="3">
        <v>15949.66</v>
      </c>
      <c r="P737" s="3">
        <v>6870.74</v>
      </c>
      <c r="Q737" t="s">
        <v>416</v>
      </c>
      <c r="R737">
        <v>2025</v>
      </c>
      <c r="S737">
        <v>12</v>
      </c>
    </row>
    <row r="738" spans="1:19" x14ac:dyDescent="0.3">
      <c r="A738" t="s">
        <v>797</v>
      </c>
      <c r="B738" s="2">
        <v>46008</v>
      </c>
      <c r="C738" t="s">
        <v>20</v>
      </c>
      <c r="D738" t="s">
        <v>21</v>
      </c>
      <c r="E738" t="s">
        <v>56</v>
      </c>
      <c r="F738" t="s">
        <v>23</v>
      </c>
      <c r="G738" t="s">
        <v>24</v>
      </c>
      <c r="H738" t="s">
        <v>25</v>
      </c>
      <c r="I738">
        <v>1</v>
      </c>
      <c r="J738" s="3">
        <v>13943</v>
      </c>
      <c r="K738" s="4">
        <v>0</v>
      </c>
      <c r="L738" s="3">
        <v>13943</v>
      </c>
      <c r="M738" s="3">
        <v>0</v>
      </c>
      <c r="N738" s="3">
        <v>13943</v>
      </c>
      <c r="O738" s="3">
        <v>7610.3</v>
      </c>
      <c r="P738" s="3">
        <v>6332.7</v>
      </c>
      <c r="Q738" t="s">
        <v>416</v>
      </c>
      <c r="R738">
        <v>2025</v>
      </c>
      <c r="S738">
        <v>12</v>
      </c>
    </row>
    <row r="739" spans="1:19" x14ac:dyDescent="0.3">
      <c r="A739" t="s">
        <v>798</v>
      </c>
      <c r="B739" s="2">
        <v>46009</v>
      </c>
      <c r="C739" t="s">
        <v>50</v>
      </c>
      <c r="D739" t="s">
        <v>34</v>
      </c>
      <c r="E739" t="s">
        <v>44</v>
      </c>
      <c r="F739" t="s">
        <v>30</v>
      </c>
      <c r="G739" t="s">
        <v>24</v>
      </c>
      <c r="H739" t="s">
        <v>415</v>
      </c>
      <c r="I739">
        <v>3</v>
      </c>
      <c r="J739" s="3">
        <v>18376</v>
      </c>
      <c r="K739" s="4">
        <v>10</v>
      </c>
      <c r="L739" s="3">
        <v>55128</v>
      </c>
      <c r="M739" s="3">
        <v>5512.8</v>
      </c>
      <c r="N739" s="3">
        <v>49615.199999999997</v>
      </c>
      <c r="O739" s="3">
        <v>31775.97</v>
      </c>
      <c r="P739" s="3">
        <v>17839.23</v>
      </c>
      <c r="Q739" t="s">
        <v>416</v>
      </c>
      <c r="R739">
        <v>2025</v>
      </c>
      <c r="S739">
        <v>12</v>
      </c>
    </row>
    <row r="740" spans="1:19" x14ac:dyDescent="0.3">
      <c r="A740" t="s">
        <v>799</v>
      </c>
      <c r="B740" s="2">
        <v>46010</v>
      </c>
      <c r="C740" t="s">
        <v>20</v>
      </c>
      <c r="D740" t="s">
        <v>21</v>
      </c>
      <c r="E740" t="s">
        <v>44</v>
      </c>
      <c r="F740" t="s">
        <v>40</v>
      </c>
      <c r="G740" t="s">
        <v>31</v>
      </c>
      <c r="H740" t="s">
        <v>415</v>
      </c>
      <c r="I740">
        <v>3</v>
      </c>
      <c r="J740" s="3">
        <v>14265</v>
      </c>
      <c r="K740" s="4">
        <v>5</v>
      </c>
      <c r="L740" s="3">
        <v>42795</v>
      </c>
      <c r="M740" s="3">
        <v>2139.75</v>
      </c>
      <c r="N740" s="3">
        <v>40655.25</v>
      </c>
      <c r="O740" s="3">
        <v>26859.43</v>
      </c>
      <c r="P740" s="3">
        <v>13795.82</v>
      </c>
      <c r="Q740" t="s">
        <v>416</v>
      </c>
      <c r="R740">
        <v>2025</v>
      </c>
      <c r="S740">
        <v>12</v>
      </c>
    </row>
    <row r="741" spans="1:19" x14ac:dyDescent="0.3">
      <c r="A741" t="s">
        <v>800</v>
      </c>
      <c r="B741" s="2">
        <v>46011</v>
      </c>
      <c r="C741" t="s">
        <v>75</v>
      </c>
      <c r="D741" t="s">
        <v>34</v>
      </c>
      <c r="E741" t="s">
        <v>22</v>
      </c>
      <c r="F741" t="s">
        <v>37</v>
      </c>
      <c r="G741" t="s">
        <v>31</v>
      </c>
      <c r="H741" t="s">
        <v>25</v>
      </c>
      <c r="I741">
        <v>2</v>
      </c>
      <c r="J741" s="3">
        <v>37195</v>
      </c>
      <c r="K741" s="4">
        <v>0</v>
      </c>
      <c r="L741" s="3">
        <v>74390</v>
      </c>
      <c r="M741" s="3">
        <v>0</v>
      </c>
      <c r="N741" s="3">
        <v>74390</v>
      </c>
      <c r="O741" s="3">
        <v>48019.31</v>
      </c>
      <c r="P741" s="3">
        <v>26370.69</v>
      </c>
      <c r="Q741" t="s">
        <v>416</v>
      </c>
      <c r="R741">
        <v>2025</v>
      </c>
      <c r="S741">
        <v>12</v>
      </c>
    </row>
    <row r="742" spans="1:19" x14ac:dyDescent="0.3">
      <c r="A742" t="s">
        <v>801</v>
      </c>
      <c r="B742" s="2">
        <v>46012</v>
      </c>
      <c r="C742" t="s">
        <v>71</v>
      </c>
      <c r="D742" t="s">
        <v>34</v>
      </c>
      <c r="E742" t="s">
        <v>56</v>
      </c>
      <c r="F742" t="s">
        <v>37</v>
      </c>
      <c r="G742" t="s">
        <v>31</v>
      </c>
      <c r="H742" t="s">
        <v>415</v>
      </c>
      <c r="I742">
        <v>1</v>
      </c>
      <c r="J742" s="3">
        <v>50869</v>
      </c>
      <c r="K742" s="4">
        <v>20</v>
      </c>
      <c r="L742" s="3">
        <v>50869</v>
      </c>
      <c r="M742" s="3">
        <v>10173.799999999999</v>
      </c>
      <c r="N742" s="3">
        <v>40695.199999999997</v>
      </c>
      <c r="O742" s="3">
        <v>30979.32</v>
      </c>
      <c r="P742" s="3">
        <v>9715.8799999999992</v>
      </c>
      <c r="Q742" t="s">
        <v>416</v>
      </c>
      <c r="R742">
        <v>2025</v>
      </c>
      <c r="S742">
        <v>12</v>
      </c>
    </row>
    <row r="743" spans="1:19" x14ac:dyDescent="0.3">
      <c r="A743" t="s">
        <v>802</v>
      </c>
      <c r="B743" s="2">
        <v>46013</v>
      </c>
      <c r="C743" t="s">
        <v>20</v>
      </c>
      <c r="D743" t="s">
        <v>21</v>
      </c>
      <c r="E743" t="s">
        <v>56</v>
      </c>
      <c r="F743" t="s">
        <v>23</v>
      </c>
      <c r="G743" t="s">
        <v>24</v>
      </c>
      <c r="H743" t="s">
        <v>415</v>
      </c>
      <c r="I743">
        <v>1</v>
      </c>
      <c r="J743" s="3">
        <v>14418</v>
      </c>
      <c r="K743" s="4">
        <v>15</v>
      </c>
      <c r="L743" s="3">
        <v>14418</v>
      </c>
      <c r="M743" s="3">
        <v>2162.6999999999998</v>
      </c>
      <c r="N743" s="3">
        <v>12255.3</v>
      </c>
      <c r="O743" s="3">
        <v>7293.34</v>
      </c>
      <c r="P743" s="3">
        <v>4961.96</v>
      </c>
      <c r="Q743" t="s">
        <v>416</v>
      </c>
      <c r="R743">
        <v>2025</v>
      </c>
      <c r="S743">
        <v>12</v>
      </c>
    </row>
    <row r="744" spans="1:19" x14ac:dyDescent="0.3">
      <c r="A744" t="s">
        <v>803</v>
      </c>
      <c r="B744" s="2">
        <v>46014</v>
      </c>
      <c r="C744" t="s">
        <v>50</v>
      </c>
      <c r="D744" t="s">
        <v>34</v>
      </c>
      <c r="E744" t="s">
        <v>44</v>
      </c>
      <c r="F744" t="s">
        <v>30</v>
      </c>
      <c r="G744" t="s">
        <v>31</v>
      </c>
      <c r="H744" t="s">
        <v>415</v>
      </c>
      <c r="I744">
        <v>3</v>
      </c>
      <c r="J744" s="3">
        <v>18149</v>
      </c>
      <c r="K744" s="4">
        <v>10</v>
      </c>
      <c r="L744" s="3">
        <v>54447</v>
      </c>
      <c r="M744" s="3">
        <v>5444.7</v>
      </c>
      <c r="N744" s="3">
        <v>49002.3</v>
      </c>
      <c r="O744" s="3">
        <v>34230.86</v>
      </c>
      <c r="P744" s="3">
        <v>14771.44</v>
      </c>
      <c r="Q744" t="s">
        <v>416</v>
      </c>
      <c r="R744">
        <v>2025</v>
      </c>
      <c r="S744">
        <v>12</v>
      </c>
    </row>
    <row r="745" spans="1:19" x14ac:dyDescent="0.3">
      <c r="A745" t="s">
        <v>804</v>
      </c>
      <c r="B745" s="2">
        <v>46015</v>
      </c>
      <c r="C745" t="s">
        <v>20</v>
      </c>
      <c r="D745" t="s">
        <v>21</v>
      </c>
      <c r="E745" t="s">
        <v>42</v>
      </c>
      <c r="F745" t="s">
        <v>37</v>
      </c>
      <c r="G745" t="s">
        <v>31</v>
      </c>
      <c r="H745" t="s">
        <v>415</v>
      </c>
      <c r="I745">
        <v>2</v>
      </c>
      <c r="J745" s="3">
        <v>14795</v>
      </c>
      <c r="K745" s="4">
        <v>10</v>
      </c>
      <c r="L745" s="3">
        <v>29590</v>
      </c>
      <c r="M745" s="3">
        <v>2959</v>
      </c>
      <c r="N745" s="3">
        <v>26631</v>
      </c>
      <c r="O745" s="3">
        <v>18262.22</v>
      </c>
      <c r="P745" s="3">
        <v>8368.7800000000007</v>
      </c>
      <c r="Q745" t="s">
        <v>416</v>
      </c>
      <c r="R745">
        <v>2025</v>
      </c>
      <c r="S745">
        <v>12</v>
      </c>
    </row>
    <row r="746" spans="1:19" x14ac:dyDescent="0.3">
      <c r="A746" t="s">
        <v>805</v>
      </c>
      <c r="B746" s="2">
        <v>46016</v>
      </c>
      <c r="C746" t="s">
        <v>20</v>
      </c>
      <c r="D746" t="s">
        <v>21</v>
      </c>
      <c r="E746" t="s">
        <v>44</v>
      </c>
      <c r="F746" t="s">
        <v>40</v>
      </c>
      <c r="G746" t="s">
        <v>31</v>
      </c>
      <c r="H746" t="s">
        <v>25</v>
      </c>
      <c r="I746">
        <v>3</v>
      </c>
      <c r="J746" s="3">
        <v>15797</v>
      </c>
      <c r="K746" s="4">
        <v>0</v>
      </c>
      <c r="L746" s="3">
        <v>47391</v>
      </c>
      <c r="M746" s="3">
        <v>0</v>
      </c>
      <c r="N746" s="3">
        <v>47391</v>
      </c>
      <c r="O746" s="3">
        <v>26765.78</v>
      </c>
      <c r="P746" s="3">
        <v>20625.22</v>
      </c>
      <c r="Q746" t="s">
        <v>416</v>
      </c>
      <c r="R746">
        <v>2025</v>
      </c>
      <c r="S746">
        <v>12</v>
      </c>
    </row>
    <row r="747" spans="1:19" x14ac:dyDescent="0.3">
      <c r="A747" t="s">
        <v>806</v>
      </c>
      <c r="B747" s="2">
        <v>46017</v>
      </c>
      <c r="C747" t="s">
        <v>75</v>
      </c>
      <c r="D747" t="s">
        <v>34</v>
      </c>
      <c r="E747" t="s">
        <v>22</v>
      </c>
      <c r="F747" t="s">
        <v>37</v>
      </c>
      <c r="G747" t="s">
        <v>31</v>
      </c>
      <c r="H747" t="s">
        <v>25</v>
      </c>
      <c r="I747">
        <v>4</v>
      </c>
      <c r="J747" s="3">
        <v>36411</v>
      </c>
      <c r="K747" s="4">
        <v>0</v>
      </c>
      <c r="L747" s="3">
        <v>145644</v>
      </c>
      <c r="M747" s="3">
        <v>0</v>
      </c>
      <c r="N747" s="3">
        <v>145644</v>
      </c>
      <c r="O747" s="3">
        <v>98600.69</v>
      </c>
      <c r="P747" s="3">
        <v>47043.31</v>
      </c>
      <c r="Q747" t="s">
        <v>416</v>
      </c>
      <c r="R747">
        <v>2025</v>
      </c>
      <c r="S747">
        <v>12</v>
      </c>
    </row>
    <row r="748" spans="1:19" x14ac:dyDescent="0.3">
      <c r="A748" t="s">
        <v>807</v>
      </c>
      <c r="B748" s="2">
        <v>46017</v>
      </c>
      <c r="C748" t="s">
        <v>82</v>
      </c>
      <c r="D748" t="s">
        <v>21</v>
      </c>
      <c r="E748" t="s">
        <v>44</v>
      </c>
      <c r="F748" t="s">
        <v>35</v>
      </c>
      <c r="G748" t="s">
        <v>31</v>
      </c>
      <c r="H748" t="s">
        <v>415</v>
      </c>
      <c r="I748">
        <v>3</v>
      </c>
      <c r="J748" s="3">
        <v>44087</v>
      </c>
      <c r="K748" s="4">
        <v>10</v>
      </c>
      <c r="L748" s="3">
        <v>132261</v>
      </c>
      <c r="M748" s="3">
        <v>13226.1</v>
      </c>
      <c r="N748" s="3">
        <v>119034.9</v>
      </c>
      <c r="O748" s="3">
        <v>78804.539999999994</v>
      </c>
      <c r="P748" s="3">
        <v>40230.36</v>
      </c>
      <c r="Q748" t="s">
        <v>416</v>
      </c>
      <c r="R748">
        <v>2025</v>
      </c>
      <c r="S748">
        <v>12</v>
      </c>
    </row>
    <row r="749" spans="1:19" x14ac:dyDescent="0.3">
      <c r="A749" t="s">
        <v>808</v>
      </c>
      <c r="B749" s="2">
        <v>46018</v>
      </c>
      <c r="C749" t="s">
        <v>64</v>
      </c>
      <c r="D749" t="s">
        <v>29</v>
      </c>
      <c r="E749" t="s">
        <v>42</v>
      </c>
      <c r="F749" t="s">
        <v>37</v>
      </c>
      <c r="G749" t="s">
        <v>24</v>
      </c>
      <c r="H749" t="s">
        <v>25</v>
      </c>
      <c r="I749">
        <v>1</v>
      </c>
      <c r="J749" s="3">
        <v>30739</v>
      </c>
      <c r="K749" s="4">
        <v>0</v>
      </c>
      <c r="L749" s="3">
        <v>30739</v>
      </c>
      <c r="M749" s="3">
        <v>0</v>
      </c>
      <c r="N749" s="3">
        <v>30739</v>
      </c>
      <c r="O749" s="3">
        <v>16796.46</v>
      </c>
      <c r="P749" s="3">
        <v>13942.54</v>
      </c>
      <c r="Q749" t="s">
        <v>416</v>
      </c>
      <c r="R749">
        <v>2025</v>
      </c>
      <c r="S749">
        <v>12</v>
      </c>
    </row>
    <row r="750" spans="1:19" x14ac:dyDescent="0.3">
      <c r="A750" t="s">
        <v>809</v>
      </c>
      <c r="B750" s="2">
        <v>46018</v>
      </c>
      <c r="C750" t="s">
        <v>48</v>
      </c>
      <c r="D750" t="s">
        <v>34</v>
      </c>
      <c r="E750" t="s">
        <v>42</v>
      </c>
      <c r="F750" t="s">
        <v>40</v>
      </c>
      <c r="G750" t="s">
        <v>24</v>
      </c>
      <c r="H750" t="s">
        <v>415</v>
      </c>
      <c r="I750">
        <v>3</v>
      </c>
      <c r="J750" s="3">
        <v>26054</v>
      </c>
      <c r="K750" s="4">
        <v>10</v>
      </c>
      <c r="L750" s="3">
        <v>78162</v>
      </c>
      <c r="M750" s="3">
        <v>7816.2</v>
      </c>
      <c r="N750" s="3">
        <v>70345.8</v>
      </c>
      <c r="O750" s="3">
        <v>42564.13</v>
      </c>
      <c r="P750" s="3">
        <v>27781.67</v>
      </c>
      <c r="Q750" t="s">
        <v>416</v>
      </c>
      <c r="R750">
        <v>2025</v>
      </c>
      <c r="S750">
        <v>12</v>
      </c>
    </row>
    <row r="751" spans="1:19" x14ac:dyDescent="0.3">
      <c r="A751" t="s">
        <v>810</v>
      </c>
      <c r="B751" s="2">
        <v>46018</v>
      </c>
      <c r="C751" t="s">
        <v>20</v>
      </c>
      <c r="D751" t="s">
        <v>21</v>
      </c>
      <c r="E751" t="s">
        <v>42</v>
      </c>
      <c r="F751" t="s">
        <v>40</v>
      </c>
      <c r="G751" t="s">
        <v>31</v>
      </c>
      <c r="H751" t="s">
        <v>415</v>
      </c>
      <c r="I751">
        <v>1</v>
      </c>
      <c r="J751" s="3">
        <v>15230</v>
      </c>
      <c r="K751" s="4">
        <v>15</v>
      </c>
      <c r="L751" s="3">
        <v>15230</v>
      </c>
      <c r="M751" s="3">
        <v>2284.5</v>
      </c>
      <c r="N751" s="3">
        <v>12945.5</v>
      </c>
      <c r="O751" s="3">
        <v>7352.01</v>
      </c>
      <c r="P751" s="3">
        <v>5593.49</v>
      </c>
      <c r="Q751" t="s">
        <v>416</v>
      </c>
      <c r="R751">
        <v>2025</v>
      </c>
      <c r="S751">
        <v>12</v>
      </c>
    </row>
    <row r="752" spans="1:19" x14ac:dyDescent="0.3">
      <c r="A752" t="s">
        <v>811</v>
      </c>
      <c r="B752" s="2">
        <v>46018</v>
      </c>
      <c r="C752" t="s">
        <v>64</v>
      </c>
      <c r="D752" t="s">
        <v>29</v>
      </c>
      <c r="E752" t="s">
        <v>22</v>
      </c>
      <c r="F752" t="s">
        <v>40</v>
      </c>
      <c r="G752" t="s">
        <v>31</v>
      </c>
      <c r="H752" t="s">
        <v>415</v>
      </c>
      <c r="I752">
        <v>3</v>
      </c>
      <c r="J752" s="3">
        <v>29666</v>
      </c>
      <c r="K752" s="4">
        <v>20</v>
      </c>
      <c r="L752" s="3">
        <v>88998</v>
      </c>
      <c r="M752" s="3">
        <v>17799.599999999999</v>
      </c>
      <c r="N752" s="3">
        <v>71198.399999999994</v>
      </c>
      <c r="O752" s="3">
        <v>51839.43</v>
      </c>
      <c r="P752" s="3">
        <v>19358.97</v>
      </c>
      <c r="Q752" t="s">
        <v>416</v>
      </c>
      <c r="R752">
        <v>2025</v>
      </c>
      <c r="S752">
        <v>12</v>
      </c>
    </row>
    <row r="753" spans="1:19" x14ac:dyDescent="0.3">
      <c r="A753" t="s">
        <v>812</v>
      </c>
      <c r="B753" s="2">
        <v>46020</v>
      </c>
      <c r="C753" t="s">
        <v>82</v>
      </c>
      <c r="D753" t="s">
        <v>21</v>
      </c>
      <c r="E753" t="s">
        <v>42</v>
      </c>
      <c r="F753" t="s">
        <v>30</v>
      </c>
      <c r="G753" t="s">
        <v>24</v>
      </c>
      <c r="H753" t="s">
        <v>415</v>
      </c>
      <c r="I753">
        <v>3</v>
      </c>
      <c r="J753" s="3">
        <v>46482</v>
      </c>
      <c r="K753" s="4">
        <v>5</v>
      </c>
      <c r="L753" s="3">
        <v>139446</v>
      </c>
      <c r="M753" s="3">
        <v>6972.3</v>
      </c>
      <c r="N753" s="3">
        <v>132473.70000000001</v>
      </c>
      <c r="O753" s="3">
        <v>90058.43</v>
      </c>
      <c r="P753" s="3">
        <v>42415.27</v>
      </c>
      <c r="Q753" t="s">
        <v>416</v>
      </c>
      <c r="R753">
        <v>2025</v>
      </c>
      <c r="S753">
        <v>12</v>
      </c>
    </row>
    <row r="754" spans="1:19" x14ac:dyDescent="0.3">
      <c r="A754" t="s">
        <v>813</v>
      </c>
      <c r="B754" s="2">
        <v>46020</v>
      </c>
      <c r="C754" t="s">
        <v>64</v>
      </c>
      <c r="D754" t="s">
        <v>29</v>
      </c>
      <c r="E754" t="s">
        <v>42</v>
      </c>
      <c r="F754" t="s">
        <v>40</v>
      </c>
      <c r="G754" t="s">
        <v>31</v>
      </c>
      <c r="H754" t="s">
        <v>415</v>
      </c>
      <c r="I754">
        <v>3</v>
      </c>
      <c r="J754" s="3">
        <v>29689</v>
      </c>
      <c r="K754" s="4">
        <v>15</v>
      </c>
      <c r="L754" s="3">
        <v>89067</v>
      </c>
      <c r="M754" s="3">
        <v>13360.05</v>
      </c>
      <c r="N754" s="3">
        <v>75706.95</v>
      </c>
      <c r="O754" s="3">
        <v>55564.36</v>
      </c>
      <c r="P754" s="3">
        <v>20142.59</v>
      </c>
      <c r="Q754" t="s">
        <v>416</v>
      </c>
      <c r="R754">
        <v>2025</v>
      </c>
      <c r="S754">
        <v>12</v>
      </c>
    </row>
    <row r="755" spans="1:19" x14ac:dyDescent="0.3">
      <c r="A755" t="s">
        <v>814</v>
      </c>
      <c r="B755" s="2">
        <v>46021</v>
      </c>
      <c r="C755" t="s">
        <v>28</v>
      </c>
      <c r="D755" t="s">
        <v>29</v>
      </c>
      <c r="E755" t="s">
        <v>42</v>
      </c>
      <c r="F755" t="s">
        <v>40</v>
      </c>
      <c r="G755" t="s">
        <v>24</v>
      </c>
      <c r="H755" t="s">
        <v>25</v>
      </c>
      <c r="I755">
        <v>2</v>
      </c>
      <c r="J755" s="3">
        <v>61456</v>
      </c>
      <c r="K755" s="4">
        <v>0</v>
      </c>
      <c r="L755" s="3">
        <v>122912</v>
      </c>
      <c r="M755" s="3">
        <v>0</v>
      </c>
      <c r="N755" s="3">
        <v>0</v>
      </c>
      <c r="O755" s="3">
        <v>61889.86</v>
      </c>
      <c r="P755" s="3">
        <v>0</v>
      </c>
      <c r="Q755" t="s">
        <v>416</v>
      </c>
      <c r="R755">
        <v>2025</v>
      </c>
      <c r="S755">
        <v>12</v>
      </c>
    </row>
    <row r="756" spans="1:19" x14ac:dyDescent="0.3">
      <c r="A756" t="s">
        <v>815</v>
      </c>
      <c r="B756" s="2">
        <v>46021</v>
      </c>
      <c r="C756" t="s">
        <v>48</v>
      </c>
      <c r="D756" t="s">
        <v>34</v>
      </c>
      <c r="E756" t="s">
        <v>42</v>
      </c>
      <c r="F756" t="s">
        <v>40</v>
      </c>
      <c r="G756" t="s">
        <v>24</v>
      </c>
      <c r="H756" t="s">
        <v>415</v>
      </c>
      <c r="I756">
        <v>1</v>
      </c>
      <c r="J756" s="3">
        <v>23968</v>
      </c>
      <c r="K756" s="4">
        <v>15</v>
      </c>
      <c r="L756" s="3">
        <v>23968</v>
      </c>
      <c r="M756" s="3">
        <v>3595.2</v>
      </c>
      <c r="N756" s="3">
        <v>20372.8</v>
      </c>
      <c r="O756" s="3">
        <v>12200.65</v>
      </c>
      <c r="P756" s="3">
        <v>8172.15</v>
      </c>
      <c r="Q756" t="s">
        <v>416</v>
      </c>
      <c r="R756">
        <v>2025</v>
      </c>
      <c r="S756">
        <v>12</v>
      </c>
    </row>
    <row r="757" spans="1:19" x14ac:dyDescent="0.3">
      <c r="A757" t="s">
        <v>816</v>
      </c>
      <c r="B757" s="2">
        <v>46022</v>
      </c>
      <c r="C757" t="s">
        <v>64</v>
      </c>
      <c r="D757" t="s">
        <v>29</v>
      </c>
      <c r="E757" t="s">
        <v>42</v>
      </c>
      <c r="F757" t="s">
        <v>37</v>
      </c>
      <c r="G757" t="s">
        <v>31</v>
      </c>
      <c r="H757" t="s">
        <v>415</v>
      </c>
      <c r="I757">
        <v>2</v>
      </c>
      <c r="J757" s="3">
        <v>30875</v>
      </c>
      <c r="K757" s="4">
        <v>10</v>
      </c>
      <c r="L757" s="3">
        <v>61750</v>
      </c>
      <c r="M757" s="3">
        <v>6175</v>
      </c>
      <c r="N757" s="3">
        <v>55575</v>
      </c>
      <c r="O757" s="3">
        <v>38206.18</v>
      </c>
      <c r="P757" s="3">
        <v>17368.82</v>
      </c>
      <c r="Q757" t="s">
        <v>416</v>
      </c>
      <c r="R757">
        <v>2025</v>
      </c>
      <c r="S757">
        <v>12</v>
      </c>
    </row>
    <row r="758" spans="1:19" x14ac:dyDescent="0.3">
      <c r="A758" t="s">
        <v>817</v>
      </c>
      <c r="B758" s="2">
        <v>46023</v>
      </c>
      <c r="C758" t="s">
        <v>71</v>
      </c>
      <c r="D758" t="s">
        <v>34</v>
      </c>
      <c r="E758" t="s">
        <v>56</v>
      </c>
      <c r="F758" t="s">
        <v>37</v>
      </c>
      <c r="G758" t="s">
        <v>31</v>
      </c>
      <c r="H758" t="s">
        <v>25</v>
      </c>
      <c r="I758">
        <v>5</v>
      </c>
      <c r="J758" s="3">
        <v>48283</v>
      </c>
      <c r="K758" s="4">
        <v>0</v>
      </c>
      <c r="L758" s="3">
        <v>241415</v>
      </c>
      <c r="M758" s="3">
        <v>0</v>
      </c>
      <c r="N758" s="3">
        <v>241415</v>
      </c>
      <c r="O758" s="3">
        <v>121165.34</v>
      </c>
      <c r="P758" s="3">
        <v>120249.66</v>
      </c>
      <c r="Q758" t="s">
        <v>26</v>
      </c>
      <c r="R758">
        <v>2026</v>
      </c>
      <c r="S758">
        <v>1</v>
      </c>
    </row>
    <row r="759" spans="1:19" x14ac:dyDescent="0.3">
      <c r="A759" t="s">
        <v>818</v>
      </c>
      <c r="B759" s="2">
        <v>46023</v>
      </c>
      <c r="C759" t="s">
        <v>33</v>
      </c>
      <c r="D759" t="s">
        <v>34</v>
      </c>
      <c r="E759" t="s">
        <v>42</v>
      </c>
      <c r="F759" t="s">
        <v>35</v>
      </c>
      <c r="G759" t="s">
        <v>31</v>
      </c>
      <c r="H759" t="s">
        <v>25</v>
      </c>
      <c r="I759">
        <v>5</v>
      </c>
      <c r="J759" s="3">
        <v>43436</v>
      </c>
      <c r="K759" s="4">
        <v>0</v>
      </c>
      <c r="L759" s="3">
        <v>217180</v>
      </c>
      <c r="M759" s="3">
        <v>0</v>
      </c>
      <c r="N759" s="3">
        <v>217180</v>
      </c>
      <c r="O759" s="3">
        <v>133232.63</v>
      </c>
      <c r="P759" s="3">
        <v>83947.37</v>
      </c>
      <c r="Q759" t="s">
        <v>26</v>
      </c>
      <c r="R759">
        <v>2026</v>
      </c>
      <c r="S759">
        <v>1</v>
      </c>
    </row>
    <row r="760" spans="1:19" x14ac:dyDescent="0.3">
      <c r="A760" t="s">
        <v>819</v>
      </c>
      <c r="B760" s="2">
        <v>46024</v>
      </c>
      <c r="C760" t="s">
        <v>48</v>
      </c>
      <c r="D760" t="s">
        <v>34</v>
      </c>
      <c r="E760" t="s">
        <v>42</v>
      </c>
      <c r="F760" t="s">
        <v>37</v>
      </c>
      <c r="G760" t="s">
        <v>24</v>
      </c>
      <c r="H760" t="s">
        <v>25</v>
      </c>
      <c r="I760">
        <v>5</v>
      </c>
      <c r="J760" s="3">
        <v>23038</v>
      </c>
      <c r="K760" s="4">
        <v>0</v>
      </c>
      <c r="L760" s="3">
        <v>115190</v>
      </c>
      <c r="M760" s="3">
        <v>0</v>
      </c>
      <c r="N760" s="3">
        <v>115190</v>
      </c>
      <c r="O760" s="3">
        <v>63950.09</v>
      </c>
      <c r="P760" s="3">
        <v>51239.91</v>
      </c>
      <c r="Q760" t="s">
        <v>26</v>
      </c>
      <c r="R760">
        <v>2026</v>
      </c>
      <c r="S760">
        <v>1</v>
      </c>
    </row>
    <row r="761" spans="1:19" x14ac:dyDescent="0.3">
      <c r="A761" t="s">
        <v>820</v>
      </c>
      <c r="B761" s="2">
        <v>46026</v>
      </c>
      <c r="C761" t="s">
        <v>82</v>
      </c>
      <c r="D761" t="s">
        <v>21</v>
      </c>
      <c r="E761" t="s">
        <v>42</v>
      </c>
      <c r="F761" t="s">
        <v>40</v>
      </c>
      <c r="G761" t="s">
        <v>31</v>
      </c>
      <c r="H761" t="s">
        <v>25</v>
      </c>
      <c r="I761">
        <v>2</v>
      </c>
      <c r="J761" s="3">
        <v>47972</v>
      </c>
      <c r="K761" s="4">
        <v>10</v>
      </c>
      <c r="L761" s="3">
        <v>95944</v>
      </c>
      <c r="M761" s="3">
        <v>9594.4</v>
      </c>
      <c r="N761" s="3">
        <v>86349.6</v>
      </c>
      <c r="O761" s="3">
        <v>56538.02</v>
      </c>
      <c r="P761" s="3">
        <v>29811.58</v>
      </c>
      <c r="Q761" t="s">
        <v>26</v>
      </c>
      <c r="R761">
        <v>2026</v>
      </c>
      <c r="S761">
        <v>1</v>
      </c>
    </row>
    <row r="762" spans="1:19" x14ac:dyDescent="0.3">
      <c r="A762" t="s">
        <v>821</v>
      </c>
      <c r="B762" s="2">
        <v>46026</v>
      </c>
      <c r="C762" t="s">
        <v>46</v>
      </c>
      <c r="D762" t="s">
        <v>21</v>
      </c>
      <c r="E762" t="s">
        <v>44</v>
      </c>
      <c r="F762" t="s">
        <v>30</v>
      </c>
      <c r="G762" t="s">
        <v>31</v>
      </c>
      <c r="H762" t="s">
        <v>25</v>
      </c>
      <c r="I762">
        <v>1</v>
      </c>
      <c r="J762" s="3">
        <v>11556</v>
      </c>
      <c r="K762" s="4">
        <v>0</v>
      </c>
      <c r="L762" s="3">
        <v>11556</v>
      </c>
      <c r="M762" s="3">
        <v>0</v>
      </c>
      <c r="N762" s="3">
        <v>11556</v>
      </c>
      <c r="O762" s="3">
        <v>6949.45</v>
      </c>
      <c r="P762" s="3">
        <v>4606.55</v>
      </c>
      <c r="Q762" t="s">
        <v>26</v>
      </c>
      <c r="R762">
        <v>2026</v>
      </c>
      <c r="S762">
        <v>1</v>
      </c>
    </row>
    <row r="763" spans="1:19" x14ac:dyDescent="0.3">
      <c r="A763" t="s">
        <v>822</v>
      </c>
      <c r="B763" s="2">
        <v>46027</v>
      </c>
      <c r="C763" t="s">
        <v>46</v>
      </c>
      <c r="D763" t="s">
        <v>21</v>
      </c>
      <c r="E763" t="s">
        <v>42</v>
      </c>
      <c r="F763" t="s">
        <v>23</v>
      </c>
      <c r="G763" t="s">
        <v>31</v>
      </c>
      <c r="H763" t="s">
        <v>25</v>
      </c>
      <c r="I763">
        <v>1</v>
      </c>
      <c r="J763" s="3">
        <v>11431</v>
      </c>
      <c r="K763" s="4">
        <v>0</v>
      </c>
      <c r="L763" s="3">
        <v>11431</v>
      </c>
      <c r="M763" s="3">
        <v>0</v>
      </c>
      <c r="N763" s="3">
        <v>11431</v>
      </c>
      <c r="O763" s="3">
        <v>5698.42</v>
      </c>
      <c r="P763" s="3">
        <v>5732.58</v>
      </c>
      <c r="Q763" t="s">
        <v>26</v>
      </c>
      <c r="R763">
        <v>2026</v>
      </c>
      <c r="S763">
        <v>1</v>
      </c>
    </row>
    <row r="764" spans="1:19" x14ac:dyDescent="0.3">
      <c r="A764" t="s">
        <v>823</v>
      </c>
      <c r="B764" s="2">
        <v>46027</v>
      </c>
      <c r="C764" t="s">
        <v>28</v>
      </c>
      <c r="D764" t="s">
        <v>29</v>
      </c>
      <c r="E764" t="s">
        <v>44</v>
      </c>
      <c r="F764" t="s">
        <v>23</v>
      </c>
      <c r="G764" t="s">
        <v>24</v>
      </c>
      <c r="H764" t="s">
        <v>25</v>
      </c>
      <c r="I764">
        <v>4</v>
      </c>
      <c r="J764" s="3">
        <v>66522</v>
      </c>
      <c r="K764" s="4">
        <v>0</v>
      </c>
      <c r="L764" s="3">
        <v>266088</v>
      </c>
      <c r="M764" s="3">
        <v>0</v>
      </c>
      <c r="N764" s="3">
        <v>266088</v>
      </c>
      <c r="O764" s="3">
        <v>130447.32</v>
      </c>
      <c r="P764" s="3">
        <v>135640.68</v>
      </c>
      <c r="Q764" t="s">
        <v>26</v>
      </c>
      <c r="R764">
        <v>2026</v>
      </c>
      <c r="S764">
        <v>1</v>
      </c>
    </row>
    <row r="765" spans="1:19" x14ac:dyDescent="0.3">
      <c r="A765" t="s">
        <v>824</v>
      </c>
      <c r="B765" s="2">
        <v>46029</v>
      </c>
      <c r="C765" t="s">
        <v>28</v>
      </c>
      <c r="D765" t="s">
        <v>29</v>
      </c>
      <c r="E765" t="s">
        <v>56</v>
      </c>
      <c r="F765" t="s">
        <v>40</v>
      </c>
      <c r="G765" t="s">
        <v>31</v>
      </c>
      <c r="H765" t="s">
        <v>25</v>
      </c>
      <c r="I765">
        <v>5</v>
      </c>
      <c r="J765" s="3">
        <v>69881</v>
      </c>
      <c r="K765" s="4">
        <v>0</v>
      </c>
      <c r="L765" s="3">
        <v>349405</v>
      </c>
      <c r="M765" s="3">
        <v>0</v>
      </c>
      <c r="N765" s="3">
        <v>349405</v>
      </c>
      <c r="O765" s="3">
        <v>208760.18</v>
      </c>
      <c r="P765" s="3">
        <v>140644.82</v>
      </c>
      <c r="Q765" t="s">
        <v>26</v>
      </c>
      <c r="R765">
        <v>2026</v>
      </c>
      <c r="S765">
        <v>1</v>
      </c>
    </row>
    <row r="766" spans="1:19" x14ac:dyDescent="0.3">
      <c r="A766" t="s">
        <v>825</v>
      </c>
      <c r="B766" s="2">
        <v>46029</v>
      </c>
      <c r="C766" t="s">
        <v>64</v>
      </c>
      <c r="D766" t="s">
        <v>29</v>
      </c>
      <c r="E766" t="s">
        <v>22</v>
      </c>
      <c r="F766" t="s">
        <v>37</v>
      </c>
      <c r="G766" t="s">
        <v>24</v>
      </c>
      <c r="H766" t="s">
        <v>25</v>
      </c>
      <c r="I766">
        <v>1</v>
      </c>
      <c r="J766" s="3">
        <v>29084</v>
      </c>
      <c r="K766" s="4">
        <v>0</v>
      </c>
      <c r="L766" s="3">
        <v>29084</v>
      </c>
      <c r="M766" s="3">
        <v>0</v>
      </c>
      <c r="N766" s="3">
        <v>29084</v>
      </c>
      <c r="O766" s="3">
        <v>14054.11</v>
      </c>
      <c r="P766" s="3">
        <v>15029.89</v>
      </c>
      <c r="Q766" t="s">
        <v>26</v>
      </c>
      <c r="R766">
        <v>2026</v>
      </c>
      <c r="S766">
        <v>1</v>
      </c>
    </row>
    <row r="767" spans="1:19" x14ac:dyDescent="0.3">
      <c r="A767" t="s">
        <v>826</v>
      </c>
      <c r="B767" s="2">
        <v>46030</v>
      </c>
      <c r="C767" t="s">
        <v>75</v>
      </c>
      <c r="D767" t="s">
        <v>34</v>
      </c>
      <c r="E767" t="s">
        <v>42</v>
      </c>
      <c r="F767" t="s">
        <v>37</v>
      </c>
      <c r="G767" t="s">
        <v>24</v>
      </c>
      <c r="H767" t="s">
        <v>25</v>
      </c>
      <c r="I767">
        <v>3</v>
      </c>
      <c r="J767" s="3">
        <v>37013</v>
      </c>
      <c r="K767" s="4">
        <v>0</v>
      </c>
      <c r="L767" s="3">
        <v>111039</v>
      </c>
      <c r="M767" s="3">
        <v>0</v>
      </c>
      <c r="N767" s="3">
        <v>111039</v>
      </c>
      <c r="O767" s="3">
        <v>69918.17</v>
      </c>
      <c r="P767" s="3">
        <v>41120.83</v>
      </c>
      <c r="Q767" t="s">
        <v>26</v>
      </c>
      <c r="R767">
        <v>2026</v>
      </c>
      <c r="S767">
        <v>1</v>
      </c>
    </row>
    <row r="768" spans="1:19" x14ac:dyDescent="0.3">
      <c r="A768" t="s">
        <v>827</v>
      </c>
      <c r="B768" s="2">
        <v>46030</v>
      </c>
      <c r="C768" t="s">
        <v>48</v>
      </c>
      <c r="D768" t="s">
        <v>34</v>
      </c>
      <c r="E768" t="s">
        <v>44</v>
      </c>
      <c r="F768" t="s">
        <v>40</v>
      </c>
      <c r="G768" t="s">
        <v>24</v>
      </c>
      <c r="H768" t="s">
        <v>25</v>
      </c>
      <c r="I768">
        <v>2</v>
      </c>
      <c r="J768" s="3">
        <v>25215</v>
      </c>
      <c r="K768" s="4">
        <v>0</v>
      </c>
      <c r="L768" s="3">
        <v>50430</v>
      </c>
      <c r="M768" s="3">
        <v>0</v>
      </c>
      <c r="N768" s="3">
        <v>50430</v>
      </c>
      <c r="O768" s="3">
        <v>26177.79</v>
      </c>
      <c r="P768" s="3">
        <v>24252.21</v>
      </c>
      <c r="Q768" t="s">
        <v>26</v>
      </c>
      <c r="R768">
        <v>2026</v>
      </c>
      <c r="S768">
        <v>1</v>
      </c>
    </row>
    <row r="769" spans="1:19" x14ac:dyDescent="0.3">
      <c r="A769" t="s">
        <v>828</v>
      </c>
      <c r="B769" s="2">
        <v>46030</v>
      </c>
      <c r="C769" t="s">
        <v>50</v>
      </c>
      <c r="D769" t="s">
        <v>34</v>
      </c>
      <c r="E769" t="s">
        <v>44</v>
      </c>
      <c r="F769" t="s">
        <v>23</v>
      </c>
      <c r="G769" t="s">
        <v>31</v>
      </c>
      <c r="H769" t="s">
        <v>25</v>
      </c>
      <c r="I769">
        <v>3</v>
      </c>
      <c r="J769" s="3">
        <v>16848</v>
      </c>
      <c r="K769" s="4">
        <v>0</v>
      </c>
      <c r="L769" s="3">
        <v>50544</v>
      </c>
      <c r="M769" s="3">
        <v>0</v>
      </c>
      <c r="N769" s="3">
        <v>50544</v>
      </c>
      <c r="O769" s="3">
        <v>28334.69</v>
      </c>
      <c r="P769" s="3">
        <v>22209.31</v>
      </c>
      <c r="Q769" t="s">
        <v>26</v>
      </c>
      <c r="R769">
        <v>2026</v>
      </c>
      <c r="S769">
        <v>1</v>
      </c>
    </row>
    <row r="770" spans="1:19" x14ac:dyDescent="0.3">
      <c r="A770" t="s">
        <v>829</v>
      </c>
      <c r="B770" s="2">
        <v>46031</v>
      </c>
      <c r="C770" t="s">
        <v>71</v>
      </c>
      <c r="D770" t="s">
        <v>34</v>
      </c>
      <c r="E770" t="s">
        <v>44</v>
      </c>
      <c r="F770" t="s">
        <v>40</v>
      </c>
      <c r="G770" t="s">
        <v>31</v>
      </c>
      <c r="H770" t="s">
        <v>25</v>
      </c>
      <c r="I770">
        <v>3</v>
      </c>
      <c r="J770" s="3">
        <v>48150</v>
      </c>
      <c r="K770" s="4">
        <v>0</v>
      </c>
      <c r="L770" s="3">
        <v>144450</v>
      </c>
      <c r="M770" s="3">
        <v>0</v>
      </c>
      <c r="N770" s="3">
        <v>144450</v>
      </c>
      <c r="O770" s="3">
        <v>94127.63</v>
      </c>
      <c r="P770" s="3">
        <v>50322.37</v>
      </c>
      <c r="Q770" t="s">
        <v>26</v>
      </c>
      <c r="R770">
        <v>2026</v>
      </c>
      <c r="S770">
        <v>1</v>
      </c>
    </row>
    <row r="771" spans="1:19" x14ac:dyDescent="0.3">
      <c r="A771" t="s">
        <v>830</v>
      </c>
      <c r="B771" s="2">
        <v>46032</v>
      </c>
      <c r="C771" t="s">
        <v>46</v>
      </c>
      <c r="D771" t="s">
        <v>21</v>
      </c>
      <c r="E771" t="s">
        <v>56</v>
      </c>
      <c r="F771" t="s">
        <v>37</v>
      </c>
      <c r="G771" t="s">
        <v>31</v>
      </c>
      <c r="H771" t="s">
        <v>25</v>
      </c>
      <c r="I771">
        <v>1</v>
      </c>
      <c r="J771" s="3">
        <v>12915</v>
      </c>
      <c r="K771" s="4">
        <v>0</v>
      </c>
      <c r="L771" s="3">
        <v>12915</v>
      </c>
      <c r="M771" s="3">
        <v>0</v>
      </c>
      <c r="N771" s="3">
        <v>12915</v>
      </c>
      <c r="O771" s="3">
        <v>6425.6</v>
      </c>
      <c r="P771" s="3">
        <v>6489.4</v>
      </c>
      <c r="Q771" t="s">
        <v>26</v>
      </c>
      <c r="R771">
        <v>2026</v>
      </c>
      <c r="S771">
        <v>1</v>
      </c>
    </row>
    <row r="772" spans="1:19" x14ac:dyDescent="0.3">
      <c r="A772" t="s">
        <v>831</v>
      </c>
      <c r="B772" s="2">
        <v>46034</v>
      </c>
      <c r="C772" t="s">
        <v>82</v>
      </c>
      <c r="D772" t="s">
        <v>21</v>
      </c>
      <c r="E772" t="s">
        <v>42</v>
      </c>
      <c r="F772" t="s">
        <v>35</v>
      </c>
      <c r="G772" t="s">
        <v>24</v>
      </c>
      <c r="H772" t="s">
        <v>25</v>
      </c>
      <c r="I772">
        <v>3</v>
      </c>
      <c r="J772" s="3">
        <v>47444</v>
      </c>
      <c r="K772" s="4">
        <v>0</v>
      </c>
      <c r="L772" s="3">
        <v>142332</v>
      </c>
      <c r="M772" s="3">
        <v>0</v>
      </c>
      <c r="N772" s="3">
        <v>142332</v>
      </c>
      <c r="O772" s="3">
        <v>86006.8</v>
      </c>
      <c r="P772" s="3">
        <v>56325.2</v>
      </c>
      <c r="Q772" t="s">
        <v>26</v>
      </c>
      <c r="R772">
        <v>2026</v>
      </c>
      <c r="S772">
        <v>1</v>
      </c>
    </row>
    <row r="773" spans="1:19" x14ac:dyDescent="0.3">
      <c r="A773" t="s">
        <v>832</v>
      </c>
      <c r="B773" s="2">
        <v>46035</v>
      </c>
      <c r="C773" t="s">
        <v>64</v>
      </c>
      <c r="D773" t="s">
        <v>29</v>
      </c>
      <c r="E773" t="s">
        <v>22</v>
      </c>
      <c r="F773" t="s">
        <v>37</v>
      </c>
      <c r="G773" t="s">
        <v>24</v>
      </c>
      <c r="H773" t="s">
        <v>25</v>
      </c>
      <c r="I773">
        <v>2</v>
      </c>
      <c r="J773" s="3">
        <v>28999</v>
      </c>
      <c r="K773" s="4">
        <v>0</v>
      </c>
      <c r="L773" s="3">
        <v>57998</v>
      </c>
      <c r="M773" s="3">
        <v>0</v>
      </c>
      <c r="N773" s="3">
        <v>57998</v>
      </c>
      <c r="O773" s="3">
        <v>37760.35</v>
      </c>
      <c r="P773" s="3">
        <v>20237.650000000001</v>
      </c>
      <c r="Q773" t="s">
        <v>26</v>
      </c>
      <c r="R773">
        <v>2026</v>
      </c>
      <c r="S773">
        <v>1</v>
      </c>
    </row>
    <row r="774" spans="1:19" x14ac:dyDescent="0.3">
      <c r="A774" t="s">
        <v>833</v>
      </c>
      <c r="B774" s="2">
        <v>46037</v>
      </c>
      <c r="C774" t="s">
        <v>28</v>
      </c>
      <c r="D774" t="s">
        <v>29</v>
      </c>
      <c r="E774" t="s">
        <v>22</v>
      </c>
      <c r="F774" t="s">
        <v>35</v>
      </c>
      <c r="G774" t="s">
        <v>24</v>
      </c>
      <c r="H774" t="s">
        <v>25</v>
      </c>
      <c r="I774">
        <v>1</v>
      </c>
      <c r="J774" s="3">
        <v>65130</v>
      </c>
      <c r="K774" s="4">
        <v>0</v>
      </c>
      <c r="L774" s="3">
        <v>65130</v>
      </c>
      <c r="M774" s="3">
        <v>0</v>
      </c>
      <c r="N774" s="3">
        <v>65130</v>
      </c>
      <c r="O774" s="3">
        <v>42471.42</v>
      </c>
      <c r="P774" s="3">
        <v>22658.58</v>
      </c>
      <c r="Q774" t="s">
        <v>26</v>
      </c>
      <c r="R774">
        <v>2026</v>
      </c>
      <c r="S774">
        <v>1</v>
      </c>
    </row>
    <row r="775" spans="1:19" x14ac:dyDescent="0.3">
      <c r="A775" t="s">
        <v>834</v>
      </c>
      <c r="B775" s="2">
        <v>46039</v>
      </c>
      <c r="C775" t="s">
        <v>33</v>
      </c>
      <c r="D775" t="s">
        <v>34</v>
      </c>
      <c r="E775" t="s">
        <v>44</v>
      </c>
      <c r="F775" t="s">
        <v>30</v>
      </c>
      <c r="G775" t="s">
        <v>31</v>
      </c>
      <c r="H775" t="s">
        <v>25</v>
      </c>
      <c r="I775">
        <v>3</v>
      </c>
      <c r="J775" s="3">
        <v>42972</v>
      </c>
      <c r="K775" s="4">
        <v>10</v>
      </c>
      <c r="L775" s="3">
        <v>128916</v>
      </c>
      <c r="M775" s="3">
        <v>12891.6</v>
      </c>
      <c r="N775" s="3">
        <v>116024.4</v>
      </c>
      <c r="O775" s="3">
        <v>63147.199999999997</v>
      </c>
      <c r="P775" s="3">
        <v>52877.2</v>
      </c>
      <c r="Q775" t="s">
        <v>26</v>
      </c>
      <c r="R775">
        <v>2026</v>
      </c>
      <c r="S775">
        <v>1</v>
      </c>
    </row>
    <row r="776" spans="1:19" x14ac:dyDescent="0.3">
      <c r="A776" t="s">
        <v>835</v>
      </c>
      <c r="B776" s="2">
        <v>46039</v>
      </c>
      <c r="C776" t="s">
        <v>75</v>
      </c>
      <c r="D776" t="s">
        <v>34</v>
      </c>
      <c r="E776" t="s">
        <v>56</v>
      </c>
      <c r="F776" t="s">
        <v>23</v>
      </c>
      <c r="G776" t="s">
        <v>31</v>
      </c>
      <c r="H776" t="s">
        <v>25</v>
      </c>
      <c r="I776">
        <v>4</v>
      </c>
      <c r="J776" s="3">
        <v>39929</v>
      </c>
      <c r="K776" s="4">
        <v>0</v>
      </c>
      <c r="L776" s="3">
        <v>159716</v>
      </c>
      <c r="M776" s="3">
        <v>0</v>
      </c>
      <c r="N776" s="3">
        <v>159716</v>
      </c>
      <c r="O776" s="3">
        <v>97221.61</v>
      </c>
      <c r="P776" s="3">
        <v>62494.39</v>
      </c>
      <c r="Q776" t="s">
        <v>26</v>
      </c>
      <c r="R776">
        <v>2026</v>
      </c>
      <c r="S776">
        <v>1</v>
      </c>
    </row>
    <row r="777" spans="1:19" x14ac:dyDescent="0.3">
      <c r="A777" t="s">
        <v>836</v>
      </c>
      <c r="B777" s="2">
        <v>46039</v>
      </c>
      <c r="C777" t="s">
        <v>75</v>
      </c>
      <c r="D777" t="s">
        <v>34</v>
      </c>
      <c r="E777" t="s">
        <v>22</v>
      </c>
      <c r="F777" t="s">
        <v>35</v>
      </c>
      <c r="G777" t="s">
        <v>24</v>
      </c>
      <c r="H777" t="s">
        <v>25</v>
      </c>
      <c r="I777">
        <v>4</v>
      </c>
      <c r="J777" s="3">
        <v>35474</v>
      </c>
      <c r="K777" s="4">
        <v>0</v>
      </c>
      <c r="L777" s="3">
        <v>141896</v>
      </c>
      <c r="M777" s="3">
        <v>0</v>
      </c>
      <c r="N777" s="3">
        <v>141896</v>
      </c>
      <c r="O777" s="3">
        <v>82790.259999999995</v>
      </c>
      <c r="P777" s="3">
        <v>59105.74</v>
      </c>
      <c r="Q777" t="s">
        <v>26</v>
      </c>
      <c r="R777">
        <v>2026</v>
      </c>
      <c r="S777">
        <v>1</v>
      </c>
    </row>
    <row r="778" spans="1:19" x14ac:dyDescent="0.3">
      <c r="A778" t="s">
        <v>837</v>
      </c>
      <c r="B778" s="2">
        <v>46040</v>
      </c>
      <c r="C778" t="s">
        <v>71</v>
      </c>
      <c r="D778" t="s">
        <v>34</v>
      </c>
      <c r="E778" t="s">
        <v>42</v>
      </c>
      <c r="F778" t="s">
        <v>40</v>
      </c>
      <c r="G778" t="s">
        <v>24</v>
      </c>
      <c r="H778" t="s">
        <v>25</v>
      </c>
      <c r="I778">
        <v>2</v>
      </c>
      <c r="J778" s="3">
        <v>51116</v>
      </c>
      <c r="K778" s="4">
        <v>0</v>
      </c>
      <c r="L778" s="3">
        <v>102232</v>
      </c>
      <c r="M778" s="3">
        <v>0</v>
      </c>
      <c r="N778" s="3">
        <v>102232</v>
      </c>
      <c r="O778" s="3">
        <v>51764.02</v>
      </c>
      <c r="P778" s="3">
        <v>50467.98</v>
      </c>
      <c r="Q778" t="s">
        <v>26</v>
      </c>
      <c r="R778">
        <v>2026</v>
      </c>
      <c r="S778">
        <v>1</v>
      </c>
    </row>
    <row r="779" spans="1:19" x14ac:dyDescent="0.3">
      <c r="A779" t="s">
        <v>838</v>
      </c>
      <c r="B779" s="2">
        <v>46041</v>
      </c>
      <c r="C779" t="s">
        <v>82</v>
      </c>
      <c r="D779" t="s">
        <v>21</v>
      </c>
      <c r="E779" t="s">
        <v>42</v>
      </c>
      <c r="F779" t="s">
        <v>37</v>
      </c>
      <c r="G779" t="s">
        <v>31</v>
      </c>
      <c r="H779" t="s">
        <v>25</v>
      </c>
      <c r="I779">
        <v>1</v>
      </c>
      <c r="J779" s="3">
        <v>45837</v>
      </c>
      <c r="K779" s="4">
        <v>0</v>
      </c>
      <c r="L779" s="3">
        <v>45837</v>
      </c>
      <c r="M779" s="3">
        <v>0</v>
      </c>
      <c r="N779" s="3">
        <v>45837</v>
      </c>
      <c r="O779" s="3">
        <v>25813.34</v>
      </c>
      <c r="P779" s="3">
        <v>20023.66</v>
      </c>
      <c r="Q779" t="s">
        <v>26</v>
      </c>
      <c r="R779">
        <v>2026</v>
      </c>
      <c r="S779">
        <v>1</v>
      </c>
    </row>
    <row r="780" spans="1:19" x14ac:dyDescent="0.3">
      <c r="A780" t="s">
        <v>839</v>
      </c>
      <c r="B780" s="2">
        <v>46041</v>
      </c>
      <c r="C780" t="s">
        <v>33</v>
      </c>
      <c r="D780" t="s">
        <v>34</v>
      </c>
      <c r="E780" t="s">
        <v>22</v>
      </c>
      <c r="F780" t="s">
        <v>37</v>
      </c>
      <c r="G780" t="s">
        <v>24</v>
      </c>
      <c r="H780" t="s">
        <v>25</v>
      </c>
      <c r="I780">
        <v>2</v>
      </c>
      <c r="J780" s="3">
        <v>42667</v>
      </c>
      <c r="K780" s="4">
        <v>0</v>
      </c>
      <c r="L780" s="3">
        <v>85334</v>
      </c>
      <c r="M780" s="3">
        <v>0</v>
      </c>
      <c r="N780" s="3">
        <v>85334</v>
      </c>
      <c r="O780" s="3">
        <v>42826.68</v>
      </c>
      <c r="P780" s="3">
        <v>42507.32</v>
      </c>
      <c r="Q780" t="s">
        <v>26</v>
      </c>
      <c r="R780">
        <v>2026</v>
      </c>
      <c r="S780">
        <v>1</v>
      </c>
    </row>
    <row r="781" spans="1:19" x14ac:dyDescent="0.3">
      <c r="A781" t="s">
        <v>840</v>
      </c>
      <c r="B781" s="2">
        <v>46042</v>
      </c>
      <c r="C781" t="s">
        <v>20</v>
      </c>
      <c r="D781" t="s">
        <v>21</v>
      </c>
      <c r="E781" t="s">
        <v>56</v>
      </c>
      <c r="F781" t="s">
        <v>40</v>
      </c>
      <c r="G781" t="s">
        <v>24</v>
      </c>
      <c r="H781" t="s">
        <v>25</v>
      </c>
      <c r="I781">
        <v>2</v>
      </c>
      <c r="J781" s="3">
        <v>15343</v>
      </c>
      <c r="K781" s="4">
        <v>10</v>
      </c>
      <c r="L781" s="3">
        <v>30686</v>
      </c>
      <c r="M781" s="3">
        <v>3068.6</v>
      </c>
      <c r="N781" s="3">
        <v>27617.4</v>
      </c>
      <c r="O781" s="3">
        <v>20688.36</v>
      </c>
      <c r="P781" s="3">
        <v>6929.04</v>
      </c>
      <c r="Q781" t="s">
        <v>26</v>
      </c>
      <c r="R781">
        <v>2026</v>
      </c>
      <c r="S781">
        <v>1</v>
      </c>
    </row>
    <row r="782" spans="1:19" x14ac:dyDescent="0.3">
      <c r="A782" t="s">
        <v>841</v>
      </c>
      <c r="B782" s="2">
        <v>46042</v>
      </c>
      <c r="C782" t="s">
        <v>75</v>
      </c>
      <c r="D782" t="s">
        <v>34</v>
      </c>
      <c r="E782" t="s">
        <v>22</v>
      </c>
      <c r="F782" t="s">
        <v>37</v>
      </c>
      <c r="G782" t="s">
        <v>31</v>
      </c>
      <c r="H782" t="s">
        <v>25</v>
      </c>
      <c r="I782">
        <v>3</v>
      </c>
      <c r="J782" s="3">
        <v>38665</v>
      </c>
      <c r="K782" s="4">
        <v>10</v>
      </c>
      <c r="L782" s="3">
        <v>115995</v>
      </c>
      <c r="M782" s="3">
        <v>11599.5</v>
      </c>
      <c r="N782" s="3">
        <v>104395.5</v>
      </c>
      <c r="O782" s="3">
        <v>74051.05</v>
      </c>
      <c r="P782" s="3">
        <v>30344.45</v>
      </c>
      <c r="Q782" t="s">
        <v>26</v>
      </c>
      <c r="R782">
        <v>2026</v>
      </c>
      <c r="S782">
        <v>1</v>
      </c>
    </row>
    <row r="783" spans="1:19" x14ac:dyDescent="0.3">
      <c r="A783" t="s">
        <v>842</v>
      </c>
      <c r="B783" s="2">
        <v>46043</v>
      </c>
      <c r="C783" t="s">
        <v>20</v>
      </c>
      <c r="D783" t="s">
        <v>21</v>
      </c>
      <c r="E783" t="s">
        <v>44</v>
      </c>
      <c r="F783" t="s">
        <v>40</v>
      </c>
      <c r="G783" t="s">
        <v>24</v>
      </c>
      <c r="H783" t="s">
        <v>25</v>
      </c>
      <c r="I783">
        <v>5</v>
      </c>
      <c r="J783" s="3">
        <v>14278</v>
      </c>
      <c r="K783" s="4">
        <v>10</v>
      </c>
      <c r="L783" s="3">
        <v>71390</v>
      </c>
      <c r="M783" s="3">
        <v>7139</v>
      </c>
      <c r="N783" s="3">
        <v>64251</v>
      </c>
      <c r="O783" s="3">
        <v>38370.83</v>
      </c>
      <c r="P783" s="3">
        <v>25880.17</v>
      </c>
      <c r="Q783" t="s">
        <v>26</v>
      </c>
      <c r="R783">
        <v>2026</v>
      </c>
      <c r="S783">
        <v>1</v>
      </c>
    </row>
    <row r="784" spans="1:19" x14ac:dyDescent="0.3">
      <c r="A784" t="s">
        <v>843</v>
      </c>
      <c r="B784" s="2">
        <v>46043</v>
      </c>
      <c r="C784" t="s">
        <v>46</v>
      </c>
      <c r="D784" t="s">
        <v>21</v>
      </c>
      <c r="E784" t="s">
        <v>22</v>
      </c>
      <c r="F784" t="s">
        <v>23</v>
      </c>
      <c r="G784" t="s">
        <v>31</v>
      </c>
      <c r="H784" t="s">
        <v>25</v>
      </c>
      <c r="I784">
        <v>1</v>
      </c>
      <c r="J784" s="3">
        <v>11370</v>
      </c>
      <c r="K784" s="4">
        <v>0</v>
      </c>
      <c r="L784" s="3">
        <v>11370</v>
      </c>
      <c r="M784" s="3">
        <v>0</v>
      </c>
      <c r="N784" s="3">
        <v>11370</v>
      </c>
      <c r="O784" s="3">
        <v>6851.83</v>
      </c>
      <c r="P784" s="3">
        <v>4518.17</v>
      </c>
      <c r="Q784" t="s">
        <v>26</v>
      </c>
      <c r="R784">
        <v>2026</v>
      </c>
      <c r="S784">
        <v>1</v>
      </c>
    </row>
    <row r="785" spans="1:19" x14ac:dyDescent="0.3">
      <c r="A785" t="s">
        <v>844</v>
      </c>
      <c r="B785" s="2">
        <v>46044</v>
      </c>
      <c r="C785" t="s">
        <v>48</v>
      </c>
      <c r="D785" t="s">
        <v>34</v>
      </c>
      <c r="E785" t="s">
        <v>44</v>
      </c>
      <c r="F785" t="s">
        <v>23</v>
      </c>
      <c r="G785" t="s">
        <v>31</v>
      </c>
      <c r="H785" t="s">
        <v>25</v>
      </c>
      <c r="I785">
        <v>3</v>
      </c>
      <c r="J785" s="3">
        <v>24188</v>
      </c>
      <c r="K785" s="4">
        <v>0</v>
      </c>
      <c r="L785" s="3">
        <v>72564</v>
      </c>
      <c r="M785" s="3">
        <v>0</v>
      </c>
      <c r="N785" s="3">
        <v>72564</v>
      </c>
      <c r="O785" s="3">
        <v>37529.43</v>
      </c>
      <c r="P785" s="3">
        <v>35034.57</v>
      </c>
      <c r="Q785" t="s">
        <v>26</v>
      </c>
      <c r="R785">
        <v>2026</v>
      </c>
      <c r="S785">
        <v>1</v>
      </c>
    </row>
    <row r="786" spans="1:19" x14ac:dyDescent="0.3">
      <c r="A786" t="s">
        <v>845</v>
      </c>
      <c r="B786" s="2">
        <v>46045</v>
      </c>
      <c r="C786" t="s">
        <v>28</v>
      </c>
      <c r="D786" t="s">
        <v>29</v>
      </c>
      <c r="E786" t="s">
        <v>22</v>
      </c>
      <c r="F786" t="s">
        <v>40</v>
      </c>
      <c r="G786" t="s">
        <v>24</v>
      </c>
      <c r="H786" t="s">
        <v>25</v>
      </c>
      <c r="I786">
        <v>1</v>
      </c>
      <c r="J786" s="3">
        <v>60686</v>
      </c>
      <c r="K786" s="4">
        <v>0</v>
      </c>
      <c r="L786" s="3">
        <v>60686</v>
      </c>
      <c r="M786" s="3">
        <v>0</v>
      </c>
      <c r="N786" s="3">
        <v>60686</v>
      </c>
      <c r="O786" s="3">
        <v>35188.01</v>
      </c>
      <c r="P786" s="3">
        <v>25497.99</v>
      </c>
      <c r="Q786" t="s">
        <v>26</v>
      </c>
      <c r="R786">
        <v>2026</v>
      </c>
      <c r="S786">
        <v>1</v>
      </c>
    </row>
    <row r="787" spans="1:19" x14ac:dyDescent="0.3">
      <c r="A787" t="s">
        <v>846</v>
      </c>
      <c r="B787" s="2">
        <v>46045</v>
      </c>
      <c r="C787" t="s">
        <v>71</v>
      </c>
      <c r="D787" t="s">
        <v>34</v>
      </c>
      <c r="E787" t="s">
        <v>22</v>
      </c>
      <c r="F787" t="s">
        <v>40</v>
      </c>
      <c r="G787" t="s">
        <v>31</v>
      </c>
      <c r="H787" t="s">
        <v>25</v>
      </c>
      <c r="I787">
        <v>1</v>
      </c>
      <c r="J787" s="3">
        <v>51286</v>
      </c>
      <c r="K787" s="4">
        <v>0</v>
      </c>
      <c r="L787" s="3">
        <v>51286</v>
      </c>
      <c r="M787" s="3">
        <v>0</v>
      </c>
      <c r="N787" s="3">
        <v>51286</v>
      </c>
      <c r="O787" s="3">
        <v>27813.13</v>
      </c>
      <c r="P787" s="3">
        <v>23472.87</v>
      </c>
      <c r="Q787" t="s">
        <v>26</v>
      </c>
      <c r="R787">
        <v>2026</v>
      </c>
      <c r="S787">
        <v>1</v>
      </c>
    </row>
    <row r="788" spans="1:19" x14ac:dyDescent="0.3">
      <c r="A788" t="s">
        <v>847</v>
      </c>
      <c r="B788" s="2">
        <v>46046</v>
      </c>
      <c r="C788" t="s">
        <v>46</v>
      </c>
      <c r="D788" t="s">
        <v>21</v>
      </c>
      <c r="E788" t="s">
        <v>44</v>
      </c>
      <c r="F788" t="s">
        <v>35</v>
      </c>
      <c r="G788" t="s">
        <v>24</v>
      </c>
      <c r="H788" t="s">
        <v>25</v>
      </c>
      <c r="I788">
        <v>1</v>
      </c>
      <c r="J788" s="3">
        <v>12651</v>
      </c>
      <c r="K788" s="4">
        <v>0</v>
      </c>
      <c r="L788" s="3">
        <v>12651</v>
      </c>
      <c r="M788" s="3">
        <v>0</v>
      </c>
      <c r="N788" s="3">
        <v>12651</v>
      </c>
      <c r="O788" s="3">
        <v>7343.34</v>
      </c>
      <c r="P788" s="3">
        <v>5307.66</v>
      </c>
      <c r="Q788" t="s">
        <v>26</v>
      </c>
      <c r="R788">
        <v>2026</v>
      </c>
      <c r="S788">
        <v>1</v>
      </c>
    </row>
    <row r="789" spans="1:19" x14ac:dyDescent="0.3">
      <c r="A789" t="s">
        <v>848</v>
      </c>
      <c r="B789" s="2">
        <v>46049</v>
      </c>
      <c r="C789" t="s">
        <v>75</v>
      </c>
      <c r="D789" t="s">
        <v>34</v>
      </c>
      <c r="E789" t="s">
        <v>22</v>
      </c>
      <c r="F789" t="s">
        <v>35</v>
      </c>
      <c r="G789" t="s">
        <v>31</v>
      </c>
      <c r="H789" t="s">
        <v>25</v>
      </c>
      <c r="I789">
        <v>1</v>
      </c>
      <c r="J789" s="3">
        <v>35445</v>
      </c>
      <c r="K789" s="4">
        <v>0</v>
      </c>
      <c r="L789" s="3">
        <v>35445</v>
      </c>
      <c r="M789" s="3">
        <v>0</v>
      </c>
      <c r="N789" s="3">
        <v>35445</v>
      </c>
      <c r="O789" s="3">
        <v>17665.05</v>
      </c>
      <c r="P789" s="3">
        <v>17779.95</v>
      </c>
      <c r="Q789" t="s">
        <v>26</v>
      </c>
      <c r="R789">
        <v>2026</v>
      </c>
      <c r="S789">
        <v>1</v>
      </c>
    </row>
    <row r="790" spans="1:19" x14ac:dyDescent="0.3">
      <c r="A790" t="s">
        <v>849</v>
      </c>
      <c r="B790" s="2">
        <v>46050</v>
      </c>
      <c r="C790" t="s">
        <v>82</v>
      </c>
      <c r="D790" t="s">
        <v>21</v>
      </c>
      <c r="E790" t="s">
        <v>42</v>
      </c>
      <c r="F790" t="s">
        <v>35</v>
      </c>
      <c r="G790" t="s">
        <v>31</v>
      </c>
      <c r="H790" t="s">
        <v>25</v>
      </c>
      <c r="I790">
        <v>1</v>
      </c>
      <c r="J790" s="3">
        <v>42828</v>
      </c>
      <c r="K790" s="4">
        <v>0</v>
      </c>
      <c r="L790" s="3">
        <v>42828</v>
      </c>
      <c r="M790" s="3">
        <v>0</v>
      </c>
      <c r="N790" s="3">
        <v>42828</v>
      </c>
      <c r="O790" s="3">
        <v>22974.9</v>
      </c>
      <c r="P790" s="3">
        <v>19853.099999999999</v>
      </c>
      <c r="Q790" t="s">
        <v>26</v>
      </c>
      <c r="R790">
        <v>2026</v>
      </c>
      <c r="S790">
        <v>1</v>
      </c>
    </row>
    <row r="791" spans="1:19" x14ac:dyDescent="0.3">
      <c r="A791" t="s">
        <v>850</v>
      </c>
      <c r="B791" s="2">
        <v>46050</v>
      </c>
      <c r="C791" t="s">
        <v>20</v>
      </c>
      <c r="D791" t="s">
        <v>21</v>
      </c>
      <c r="E791" t="s">
        <v>44</v>
      </c>
      <c r="F791" t="s">
        <v>40</v>
      </c>
      <c r="G791" t="s">
        <v>31</v>
      </c>
      <c r="H791" t="s">
        <v>25</v>
      </c>
      <c r="I791">
        <v>2</v>
      </c>
      <c r="J791" s="3">
        <v>15992</v>
      </c>
      <c r="K791" s="4">
        <v>0</v>
      </c>
      <c r="L791" s="3">
        <v>31984</v>
      </c>
      <c r="M791" s="3">
        <v>0</v>
      </c>
      <c r="N791" s="3">
        <v>31984</v>
      </c>
      <c r="O791" s="3">
        <v>18993.060000000001</v>
      </c>
      <c r="P791" s="3">
        <v>12990.94</v>
      </c>
      <c r="Q791" t="s">
        <v>26</v>
      </c>
      <c r="R791">
        <v>2026</v>
      </c>
      <c r="S791">
        <v>1</v>
      </c>
    </row>
    <row r="792" spans="1:19" x14ac:dyDescent="0.3">
      <c r="A792" t="s">
        <v>851</v>
      </c>
      <c r="B792" s="2">
        <v>46050</v>
      </c>
      <c r="C792" t="s">
        <v>50</v>
      </c>
      <c r="D792" t="s">
        <v>34</v>
      </c>
      <c r="E792" t="s">
        <v>22</v>
      </c>
      <c r="F792" t="s">
        <v>23</v>
      </c>
      <c r="G792" t="s">
        <v>31</v>
      </c>
      <c r="H792" t="s">
        <v>25</v>
      </c>
      <c r="I792">
        <v>2</v>
      </c>
      <c r="J792" s="3">
        <v>17906</v>
      </c>
      <c r="K792" s="4">
        <v>0</v>
      </c>
      <c r="L792" s="3">
        <v>35812</v>
      </c>
      <c r="M792" s="3">
        <v>0</v>
      </c>
      <c r="N792" s="3">
        <v>35812</v>
      </c>
      <c r="O792" s="3">
        <v>24077.21</v>
      </c>
      <c r="P792" s="3">
        <v>11734.79</v>
      </c>
      <c r="Q792" t="s">
        <v>26</v>
      </c>
      <c r="R792">
        <v>2026</v>
      </c>
      <c r="S792">
        <v>1</v>
      </c>
    </row>
    <row r="793" spans="1:19" x14ac:dyDescent="0.3">
      <c r="A793" t="s">
        <v>852</v>
      </c>
      <c r="B793" s="2">
        <v>46050</v>
      </c>
      <c r="C793" t="s">
        <v>46</v>
      </c>
      <c r="D793" t="s">
        <v>21</v>
      </c>
      <c r="E793" t="s">
        <v>56</v>
      </c>
      <c r="F793" t="s">
        <v>37</v>
      </c>
      <c r="G793" t="s">
        <v>31</v>
      </c>
      <c r="H793" t="s">
        <v>25</v>
      </c>
      <c r="I793">
        <v>3</v>
      </c>
      <c r="J793" s="3">
        <v>11343</v>
      </c>
      <c r="K793" s="4">
        <v>5</v>
      </c>
      <c r="L793" s="3">
        <v>34029</v>
      </c>
      <c r="M793" s="3">
        <v>1701.45</v>
      </c>
      <c r="N793" s="3">
        <v>32327.55</v>
      </c>
      <c r="O793" s="3">
        <v>20456.189999999999</v>
      </c>
      <c r="P793" s="3">
        <v>11871.36</v>
      </c>
      <c r="Q793" t="s">
        <v>26</v>
      </c>
      <c r="R793">
        <v>2026</v>
      </c>
      <c r="S793">
        <v>1</v>
      </c>
    </row>
    <row r="794" spans="1:19" x14ac:dyDescent="0.3">
      <c r="A794" t="s">
        <v>853</v>
      </c>
      <c r="B794" s="2">
        <v>46050</v>
      </c>
      <c r="C794" t="s">
        <v>71</v>
      </c>
      <c r="D794" t="s">
        <v>34</v>
      </c>
      <c r="E794" t="s">
        <v>56</v>
      </c>
      <c r="F794" t="s">
        <v>23</v>
      </c>
      <c r="G794" t="s">
        <v>31</v>
      </c>
      <c r="H794" t="s">
        <v>25</v>
      </c>
      <c r="I794">
        <v>3</v>
      </c>
      <c r="J794" s="3">
        <v>51419</v>
      </c>
      <c r="K794" s="4">
        <v>0</v>
      </c>
      <c r="L794" s="3">
        <v>154257</v>
      </c>
      <c r="M794" s="3">
        <v>0</v>
      </c>
      <c r="N794" s="3">
        <v>154257</v>
      </c>
      <c r="O794" s="3">
        <v>102708.78</v>
      </c>
      <c r="P794" s="3">
        <v>51548.22</v>
      </c>
      <c r="Q794" t="s">
        <v>26</v>
      </c>
      <c r="R794">
        <v>2026</v>
      </c>
      <c r="S794">
        <v>1</v>
      </c>
    </row>
    <row r="795" spans="1:19" x14ac:dyDescent="0.3">
      <c r="A795" t="s">
        <v>854</v>
      </c>
      <c r="B795" s="2">
        <v>46052</v>
      </c>
      <c r="C795" t="s">
        <v>82</v>
      </c>
      <c r="D795" t="s">
        <v>21</v>
      </c>
      <c r="E795" t="s">
        <v>44</v>
      </c>
      <c r="F795" t="s">
        <v>35</v>
      </c>
      <c r="G795" t="s">
        <v>24</v>
      </c>
      <c r="H795" t="s">
        <v>25</v>
      </c>
      <c r="I795">
        <v>1</v>
      </c>
      <c r="J795" s="3">
        <v>43658</v>
      </c>
      <c r="K795" s="4">
        <v>0</v>
      </c>
      <c r="L795" s="3">
        <v>43658</v>
      </c>
      <c r="M795" s="3">
        <v>0</v>
      </c>
      <c r="N795" s="3">
        <v>43658</v>
      </c>
      <c r="O795" s="3">
        <v>24063.919999999998</v>
      </c>
      <c r="P795" s="3">
        <v>19594.080000000002</v>
      </c>
      <c r="Q795" t="s">
        <v>26</v>
      </c>
      <c r="R795">
        <v>2026</v>
      </c>
      <c r="S795">
        <v>1</v>
      </c>
    </row>
    <row r="796" spans="1:19" x14ac:dyDescent="0.3">
      <c r="A796" t="s">
        <v>855</v>
      </c>
      <c r="B796" s="2">
        <v>46052</v>
      </c>
      <c r="C796" t="s">
        <v>50</v>
      </c>
      <c r="D796" t="s">
        <v>34</v>
      </c>
      <c r="E796" t="s">
        <v>22</v>
      </c>
      <c r="F796" t="s">
        <v>40</v>
      </c>
      <c r="G796" t="s">
        <v>31</v>
      </c>
      <c r="H796" t="s">
        <v>25</v>
      </c>
      <c r="I796">
        <v>1</v>
      </c>
      <c r="J796" s="3">
        <v>16983</v>
      </c>
      <c r="K796" s="4">
        <v>0</v>
      </c>
      <c r="L796" s="3">
        <v>16983</v>
      </c>
      <c r="M796" s="3">
        <v>0</v>
      </c>
      <c r="N796" s="3">
        <v>16983</v>
      </c>
      <c r="O796" s="3">
        <v>11457.98</v>
      </c>
      <c r="P796" s="3">
        <v>5525.02</v>
      </c>
      <c r="Q796" t="s">
        <v>26</v>
      </c>
      <c r="R796">
        <v>2026</v>
      </c>
      <c r="S796">
        <v>1</v>
      </c>
    </row>
    <row r="797" spans="1:19" x14ac:dyDescent="0.3">
      <c r="A797" t="s">
        <v>856</v>
      </c>
      <c r="B797" s="2">
        <v>46052</v>
      </c>
      <c r="C797" t="s">
        <v>75</v>
      </c>
      <c r="D797" t="s">
        <v>34</v>
      </c>
      <c r="E797" t="s">
        <v>22</v>
      </c>
      <c r="F797" t="s">
        <v>35</v>
      </c>
      <c r="G797" t="s">
        <v>31</v>
      </c>
      <c r="H797" t="s">
        <v>25</v>
      </c>
      <c r="I797">
        <v>5</v>
      </c>
      <c r="J797" s="3">
        <v>36297</v>
      </c>
      <c r="K797" s="4">
        <v>0</v>
      </c>
      <c r="L797" s="3">
        <v>181485</v>
      </c>
      <c r="M797" s="3">
        <v>0</v>
      </c>
      <c r="N797" s="3">
        <v>181485</v>
      </c>
      <c r="O797" s="3">
        <v>111627.95</v>
      </c>
      <c r="P797" s="3">
        <v>69857.05</v>
      </c>
      <c r="Q797" t="s">
        <v>26</v>
      </c>
      <c r="R797">
        <v>2026</v>
      </c>
      <c r="S797">
        <v>1</v>
      </c>
    </row>
    <row r="798" spans="1:19" x14ac:dyDescent="0.3">
      <c r="A798" t="s">
        <v>857</v>
      </c>
      <c r="B798" s="2">
        <v>46053</v>
      </c>
      <c r="C798" t="s">
        <v>64</v>
      </c>
      <c r="D798" t="s">
        <v>29</v>
      </c>
      <c r="E798" t="s">
        <v>42</v>
      </c>
      <c r="F798" t="s">
        <v>40</v>
      </c>
      <c r="G798" t="s">
        <v>31</v>
      </c>
      <c r="H798" t="s">
        <v>25</v>
      </c>
      <c r="I798">
        <v>1</v>
      </c>
      <c r="J798" s="3">
        <v>27892</v>
      </c>
      <c r="K798" s="4">
        <v>0</v>
      </c>
      <c r="L798" s="3">
        <v>27892</v>
      </c>
      <c r="M798" s="3">
        <v>0</v>
      </c>
      <c r="N798" s="3">
        <v>0</v>
      </c>
      <c r="O798" s="3">
        <v>17373.45</v>
      </c>
      <c r="P798" s="3">
        <v>0</v>
      </c>
      <c r="Q798" t="s">
        <v>26</v>
      </c>
      <c r="R798">
        <v>2026</v>
      </c>
      <c r="S798">
        <v>1</v>
      </c>
    </row>
    <row r="799" spans="1:19" x14ac:dyDescent="0.3">
      <c r="A799" t="s">
        <v>858</v>
      </c>
      <c r="B799" s="2">
        <v>46054</v>
      </c>
      <c r="C799" t="s">
        <v>20</v>
      </c>
      <c r="D799" t="s">
        <v>21</v>
      </c>
      <c r="E799" t="s">
        <v>44</v>
      </c>
      <c r="F799" t="s">
        <v>40</v>
      </c>
      <c r="G799" t="s">
        <v>31</v>
      </c>
      <c r="H799" t="s">
        <v>25</v>
      </c>
      <c r="I799">
        <v>2</v>
      </c>
      <c r="J799" s="3">
        <v>15440</v>
      </c>
      <c r="K799" s="4">
        <v>0</v>
      </c>
      <c r="L799" s="3">
        <v>30880</v>
      </c>
      <c r="M799" s="3">
        <v>0</v>
      </c>
      <c r="N799" s="3">
        <v>0</v>
      </c>
      <c r="O799" s="3">
        <v>19365.73</v>
      </c>
      <c r="P799" s="3">
        <v>0</v>
      </c>
      <c r="Q799" t="s">
        <v>91</v>
      </c>
      <c r="R799">
        <v>2026</v>
      </c>
      <c r="S799">
        <v>2</v>
      </c>
    </row>
    <row r="800" spans="1:19" x14ac:dyDescent="0.3">
      <c r="A800" t="s">
        <v>859</v>
      </c>
      <c r="B800" s="2">
        <v>46054</v>
      </c>
      <c r="C800" t="s">
        <v>75</v>
      </c>
      <c r="D800" t="s">
        <v>34</v>
      </c>
      <c r="E800" t="s">
        <v>44</v>
      </c>
      <c r="F800" t="s">
        <v>40</v>
      </c>
      <c r="G800" t="s">
        <v>24</v>
      </c>
      <c r="H800" t="s">
        <v>94</v>
      </c>
      <c r="I800">
        <v>3</v>
      </c>
      <c r="J800" s="3">
        <v>37710</v>
      </c>
      <c r="K800" s="4">
        <v>10</v>
      </c>
      <c r="L800" s="3">
        <v>113130</v>
      </c>
      <c r="M800" s="3">
        <v>11313</v>
      </c>
      <c r="N800" s="3">
        <v>101817</v>
      </c>
      <c r="O800" s="3">
        <v>68711.12</v>
      </c>
      <c r="P800" s="3">
        <v>33105.879999999997</v>
      </c>
      <c r="Q800" t="s">
        <v>91</v>
      </c>
      <c r="R800">
        <v>2026</v>
      </c>
      <c r="S800">
        <v>2</v>
      </c>
    </row>
    <row r="801" spans="1:19" x14ac:dyDescent="0.3">
      <c r="A801" t="s">
        <v>860</v>
      </c>
      <c r="B801" s="2">
        <v>46055</v>
      </c>
      <c r="C801" t="s">
        <v>82</v>
      </c>
      <c r="D801" t="s">
        <v>21</v>
      </c>
      <c r="E801" t="s">
        <v>22</v>
      </c>
      <c r="F801" t="s">
        <v>40</v>
      </c>
      <c r="G801" t="s">
        <v>24</v>
      </c>
      <c r="H801" t="s">
        <v>94</v>
      </c>
      <c r="I801">
        <v>3</v>
      </c>
      <c r="J801" s="3">
        <v>42010</v>
      </c>
      <c r="K801" s="4">
        <v>5</v>
      </c>
      <c r="L801" s="3">
        <v>126030</v>
      </c>
      <c r="M801" s="3">
        <v>6301.5</v>
      </c>
      <c r="N801" s="3">
        <v>119728.5</v>
      </c>
      <c r="O801" s="3">
        <v>62311.360000000001</v>
      </c>
      <c r="P801" s="3">
        <v>57417.14</v>
      </c>
      <c r="Q801" t="s">
        <v>91</v>
      </c>
      <c r="R801">
        <v>2026</v>
      </c>
      <c r="S801">
        <v>2</v>
      </c>
    </row>
    <row r="802" spans="1:19" x14ac:dyDescent="0.3">
      <c r="A802" t="s">
        <v>861</v>
      </c>
      <c r="B802" s="2">
        <v>46055</v>
      </c>
      <c r="C802" t="s">
        <v>75</v>
      </c>
      <c r="D802" t="s">
        <v>34</v>
      </c>
      <c r="E802" t="s">
        <v>42</v>
      </c>
      <c r="F802" t="s">
        <v>40</v>
      </c>
      <c r="G802" t="s">
        <v>31</v>
      </c>
      <c r="H802" t="s">
        <v>25</v>
      </c>
      <c r="I802">
        <v>1</v>
      </c>
      <c r="J802" s="3">
        <v>38433</v>
      </c>
      <c r="K802" s="4">
        <v>15</v>
      </c>
      <c r="L802" s="3">
        <v>38433</v>
      </c>
      <c r="M802" s="3">
        <v>5764.95</v>
      </c>
      <c r="N802" s="3">
        <v>32668.05</v>
      </c>
      <c r="O802" s="3">
        <v>22469.15</v>
      </c>
      <c r="P802" s="3">
        <v>10198.9</v>
      </c>
      <c r="Q802" t="s">
        <v>91</v>
      </c>
      <c r="R802">
        <v>2026</v>
      </c>
      <c r="S802">
        <v>2</v>
      </c>
    </row>
    <row r="803" spans="1:19" x14ac:dyDescent="0.3">
      <c r="A803" t="s">
        <v>862</v>
      </c>
      <c r="B803" s="2">
        <v>46055</v>
      </c>
      <c r="C803" t="s">
        <v>33</v>
      </c>
      <c r="D803" t="s">
        <v>34</v>
      </c>
      <c r="E803" t="s">
        <v>44</v>
      </c>
      <c r="F803" t="s">
        <v>30</v>
      </c>
      <c r="G803" t="s">
        <v>31</v>
      </c>
      <c r="H803" t="s">
        <v>25</v>
      </c>
      <c r="I803">
        <v>2</v>
      </c>
      <c r="J803" s="3">
        <v>45263</v>
      </c>
      <c r="K803" s="4">
        <v>0</v>
      </c>
      <c r="L803" s="3">
        <v>90526</v>
      </c>
      <c r="M803" s="3">
        <v>0</v>
      </c>
      <c r="N803" s="3">
        <v>90526</v>
      </c>
      <c r="O803" s="3">
        <v>47863.17</v>
      </c>
      <c r="P803" s="3">
        <v>42662.83</v>
      </c>
      <c r="Q803" t="s">
        <v>91</v>
      </c>
      <c r="R803">
        <v>2026</v>
      </c>
      <c r="S803">
        <v>2</v>
      </c>
    </row>
    <row r="804" spans="1:19" x14ac:dyDescent="0.3">
      <c r="A804" t="s">
        <v>863</v>
      </c>
      <c r="B804" s="2">
        <v>46055</v>
      </c>
      <c r="C804" t="s">
        <v>50</v>
      </c>
      <c r="D804" t="s">
        <v>34</v>
      </c>
      <c r="E804" t="s">
        <v>22</v>
      </c>
      <c r="F804" t="s">
        <v>40</v>
      </c>
      <c r="G804" t="s">
        <v>31</v>
      </c>
      <c r="H804" t="s">
        <v>94</v>
      </c>
      <c r="I804">
        <v>4</v>
      </c>
      <c r="J804" s="3">
        <v>19259</v>
      </c>
      <c r="K804" s="4">
        <v>15</v>
      </c>
      <c r="L804" s="3">
        <v>77036</v>
      </c>
      <c r="M804" s="3">
        <v>11555.4</v>
      </c>
      <c r="N804" s="3">
        <v>65480.6</v>
      </c>
      <c r="O804" s="3">
        <v>44271.06</v>
      </c>
      <c r="P804" s="3">
        <v>21209.54</v>
      </c>
      <c r="Q804" t="s">
        <v>91</v>
      </c>
      <c r="R804">
        <v>2026</v>
      </c>
      <c r="S804">
        <v>2</v>
      </c>
    </row>
    <row r="805" spans="1:19" x14ac:dyDescent="0.3">
      <c r="A805" t="s">
        <v>864</v>
      </c>
      <c r="B805" s="2">
        <v>46058</v>
      </c>
      <c r="C805" t="s">
        <v>46</v>
      </c>
      <c r="D805" t="s">
        <v>21</v>
      </c>
      <c r="E805" t="s">
        <v>56</v>
      </c>
      <c r="F805" t="s">
        <v>30</v>
      </c>
      <c r="G805" t="s">
        <v>31</v>
      </c>
      <c r="H805" t="s">
        <v>25</v>
      </c>
      <c r="I805">
        <v>3</v>
      </c>
      <c r="J805" s="3">
        <v>12124</v>
      </c>
      <c r="K805" s="4">
        <v>0</v>
      </c>
      <c r="L805" s="3">
        <v>36372</v>
      </c>
      <c r="M805" s="3">
        <v>0</v>
      </c>
      <c r="N805" s="3">
        <v>36372</v>
      </c>
      <c r="O805" s="3">
        <v>21618.13</v>
      </c>
      <c r="P805" s="3">
        <v>14753.87</v>
      </c>
      <c r="Q805" t="s">
        <v>91</v>
      </c>
      <c r="R805">
        <v>2026</v>
      </c>
      <c r="S805">
        <v>2</v>
      </c>
    </row>
    <row r="806" spans="1:19" x14ac:dyDescent="0.3">
      <c r="A806" t="s">
        <v>865</v>
      </c>
      <c r="B806" s="2">
        <v>46058</v>
      </c>
      <c r="C806" t="s">
        <v>50</v>
      </c>
      <c r="D806" t="s">
        <v>34</v>
      </c>
      <c r="E806" t="s">
        <v>56</v>
      </c>
      <c r="F806" t="s">
        <v>37</v>
      </c>
      <c r="G806" t="s">
        <v>24</v>
      </c>
      <c r="H806" t="s">
        <v>94</v>
      </c>
      <c r="I806">
        <v>2</v>
      </c>
      <c r="J806" s="3">
        <v>17304</v>
      </c>
      <c r="K806" s="4">
        <v>10</v>
      </c>
      <c r="L806" s="3">
        <v>34608</v>
      </c>
      <c r="M806" s="3">
        <v>3460.8</v>
      </c>
      <c r="N806" s="3">
        <v>31147.200000000001</v>
      </c>
      <c r="O806" s="3">
        <v>22838.52</v>
      </c>
      <c r="P806" s="3">
        <v>8308.68</v>
      </c>
      <c r="Q806" t="s">
        <v>91</v>
      </c>
      <c r="R806">
        <v>2026</v>
      </c>
      <c r="S806">
        <v>2</v>
      </c>
    </row>
    <row r="807" spans="1:19" x14ac:dyDescent="0.3">
      <c r="A807" t="s">
        <v>866</v>
      </c>
      <c r="B807" s="2">
        <v>46058</v>
      </c>
      <c r="C807" t="s">
        <v>82</v>
      </c>
      <c r="D807" t="s">
        <v>21</v>
      </c>
      <c r="E807" t="s">
        <v>44</v>
      </c>
      <c r="F807" t="s">
        <v>37</v>
      </c>
      <c r="G807" t="s">
        <v>24</v>
      </c>
      <c r="H807" t="s">
        <v>25</v>
      </c>
      <c r="I807">
        <v>2</v>
      </c>
      <c r="J807" s="3">
        <v>47749</v>
      </c>
      <c r="K807" s="4">
        <v>0</v>
      </c>
      <c r="L807" s="3">
        <v>95498</v>
      </c>
      <c r="M807" s="3">
        <v>0</v>
      </c>
      <c r="N807" s="3">
        <v>95498</v>
      </c>
      <c r="O807" s="3">
        <v>48937.63</v>
      </c>
      <c r="P807" s="3">
        <v>46560.37</v>
      </c>
      <c r="Q807" t="s">
        <v>91</v>
      </c>
      <c r="R807">
        <v>2026</v>
      </c>
      <c r="S807">
        <v>2</v>
      </c>
    </row>
    <row r="808" spans="1:19" x14ac:dyDescent="0.3">
      <c r="A808" t="s">
        <v>867</v>
      </c>
      <c r="B808" s="2">
        <v>46060</v>
      </c>
      <c r="C808" t="s">
        <v>33</v>
      </c>
      <c r="D808" t="s">
        <v>34</v>
      </c>
      <c r="E808" t="s">
        <v>44</v>
      </c>
      <c r="F808" t="s">
        <v>35</v>
      </c>
      <c r="G808" t="s">
        <v>31</v>
      </c>
      <c r="H808" t="s">
        <v>94</v>
      </c>
      <c r="I808">
        <v>1</v>
      </c>
      <c r="J808" s="3">
        <v>39857</v>
      </c>
      <c r="K808" s="4">
        <v>5</v>
      </c>
      <c r="L808" s="3">
        <v>39857</v>
      </c>
      <c r="M808" s="3">
        <v>1992.85</v>
      </c>
      <c r="N808" s="3">
        <v>37864.15</v>
      </c>
      <c r="O808" s="3">
        <v>22198.22</v>
      </c>
      <c r="P808" s="3">
        <v>15665.93</v>
      </c>
      <c r="Q808" t="s">
        <v>91</v>
      </c>
      <c r="R808">
        <v>2026</v>
      </c>
      <c r="S808">
        <v>2</v>
      </c>
    </row>
    <row r="809" spans="1:19" x14ac:dyDescent="0.3">
      <c r="A809" t="s">
        <v>868</v>
      </c>
      <c r="B809" s="2">
        <v>46060</v>
      </c>
      <c r="C809" t="s">
        <v>82</v>
      </c>
      <c r="D809" t="s">
        <v>21</v>
      </c>
      <c r="E809" t="s">
        <v>22</v>
      </c>
      <c r="F809" t="s">
        <v>35</v>
      </c>
      <c r="G809" t="s">
        <v>24</v>
      </c>
      <c r="H809" t="s">
        <v>94</v>
      </c>
      <c r="I809">
        <v>3</v>
      </c>
      <c r="J809" s="3">
        <v>46839</v>
      </c>
      <c r="K809" s="4">
        <v>5</v>
      </c>
      <c r="L809" s="3">
        <v>140517</v>
      </c>
      <c r="M809" s="3">
        <v>7025.85</v>
      </c>
      <c r="N809" s="3">
        <v>133491.15</v>
      </c>
      <c r="O809" s="3">
        <v>80848.92</v>
      </c>
      <c r="P809" s="3">
        <v>52642.23</v>
      </c>
      <c r="Q809" t="s">
        <v>91</v>
      </c>
      <c r="R809">
        <v>2026</v>
      </c>
      <c r="S809">
        <v>2</v>
      </c>
    </row>
    <row r="810" spans="1:19" x14ac:dyDescent="0.3">
      <c r="A810" t="s">
        <v>869</v>
      </c>
      <c r="B810" s="2">
        <v>46061</v>
      </c>
      <c r="C810" t="s">
        <v>20</v>
      </c>
      <c r="D810" t="s">
        <v>21</v>
      </c>
      <c r="E810" t="s">
        <v>56</v>
      </c>
      <c r="F810" t="s">
        <v>30</v>
      </c>
      <c r="G810" t="s">
        <v>31</v>
      </c>
      <c r="H810" t="s">
        <v>94</v>
      </c>
      <c r="I810">
        <v>2</v>
      </c>
      <c r="J810" s="3">
        <v>16161</v>
      </c>
      <c r="K810" s="4">
        <v>10</v>
      </c>
      <c r="L810" s="3">
        <v>32322</v>
      </c>
      <c r="M810" s="3">
        <v>3232.2</v>
      </c>
      <c r="N810" s="3">
        <v>29089.8</v>
      </c>
      <c r="O810" s="3">
        <v>21294.37</v>
      </c>
      <c r="P810" s="3">
        <v>7795.43</v>
      </c>
      <c r="Q810" t="s">
        <v>91</v>
      </c>
      <c r="R810">
        <v>2026</v>
      </c>
      <c r="S810">
        <v>2</v>
      </c>
    </row>
    <row r="811" spans="1:19" x14ac:dyDescent="0.3">
      <c r="A811" t="s">
        <v>870</v>
      </c>
      <c r="B811" s="2">
        <v>46062</v>
      </c>
      <c r="C811" t="s">
        <v>82</v>
      </c>
      <c r="D811" t="s">
        <v>21</v>
      </c>
      <c r="E811" t="s">
        <v>42</v>
      </c>
      <c r="F811" t="s">
        <v>23</v>
      </c>
      <c r="G811" t="s">
        <v>31</v>
      </c>
      <c r="H811" t="s">
        <v>94</v>
      </c>
      <c r="I811">
        <v>3</v>
      </c>
      <c r="J811" s="3">
        <v>46780</v>
      </c>
      <c r="K811" s="4">
        <v>15</v>
      </c>
      <c r="L811" s="3">
        <v>140340</v>
      </c>
      <c r="M811" s="3">
        <v>21051</v>
      </c>
      <c r="N811" s="3">
        <v>119289</v>
      </c>
      <c r="O811" s="3">
        <v>82438.06</v>
      </c>
      <c r="P811" s="3">
        <v>36850.94</v>
      </c>
      <c r="Q811" t="s">
        <v>91</v>
      </c>
      <c r="R811">
        <v>2026</v>
      </c>
      <c r="S811">
        <v>2</v>
      </c>
    </row>
    <row r="812" spans="1:19" x14ac:dyDescent="0.3">
      <c r="A812" t="s">
        <v>871</v>
      </c>
      <c r="B812" s="2">
        <v>46062</v>
      </c>
      <c r="C812" t="s">
        <v>64</v>
      </c>
      <c r="D812" t="s">
        <v>29</v>
      </c>
      <c r="E812" t="s">
        <v>22</v>
      </c>
      <c r="F812" t="s">
        <v>37</v>
      </c>
      <c r="G812" t="s">
        <v>31</v>
      </c>
      <c r="H812" t="s">
        <v>25</v>
      </c>
      <c r="I812">
        <v>2</v>
      </c>
      <c r="J812" s="3">
        <v>29405</v>
      </c>
      <c r="K812" s="4">
        <v>0</v>
      </c>
      <c r="L812" s="3">
        <v>58810</v>
      </c>
      <c r="M812" s="3">
        <v>0</v>
      </c>
      <c r="N812" s="3">
        <v>58810</v>
      </c>
      <c r="O812" s="3">
        <v>34414.980000000003</v>
      </c>
      <c r="P812" s="3">
        <v>24395.02</v>
      </c>
      <c r="Q812" t="s">
        <v>91</v>
      </c>
      <c r="R812">
        <v>2026</v>
      </c>
      <c r="S812">
        <v>2</v>
      </c>
    </row>
    <row r="813" spans="1:19" x14ac:dyDescent="0.3">
      <c r="A813" t="s">
        <v>872</v>
      </c>
      <c r="B813" s="2">
        <v>46063</v>
      </c>
      <c r="C813" t="s">
        <v>33</v>
      </c>
      <c r="D813" t="s">
        <v>34</v>
      </c>
      <c r="E813" t="s">
        <v>22</v>
      </c>
      <c r="F813" t="s">
        <v>23</v>
      </c>
      <c r="G813" t="s">
        <v>24</v>
      </c>
      <c r="H813" t="s">
        <v>25</v>
      </c>
      <c r="I813">
        <v>1</v>
      </c>
      <c r="J813" s="3">
        <v>42155</v>
      </c>
      <c r="K813" s="4">
        <v>10</v>
      </c>
      <c r="L813" s="3">
        <v>42155</v>
      </c>
      <c r="M813" s="3">
        <v>4215.5</v>
      </c>
      <c r="N813" s="3">
        <v>37939.5</v>
      </c>
      <c r="O813" s="3">
        <v>26360.43</v>
      </c>
      <c r="P813" s="3">
        <v>11579.07</v>
      </c>
      <c r="Q813" t="s">
        <v>91</v>
      </c>
      <c r="R813">
        <v>2026</v>
      </c>
      <c r="S813">
        <v>2</v>
      </c>
    </row>
    <row r="814" spans="1:19" x14ac:dyDescent="0.3">
      <c r="A814" t="s">
        <v>873</v>
      </c>
      <c r="B814" s="2">
        <v>46065</v>
      </c>
      <c r="C814" t="s">
        <v>64</v>
      </c>
      <c r="D814" t="s">
        <v>29</v>
      </c>
      <c r="E814" t="s">
        <v>42</v>
      </c>
      <c r="F814" t="s">
        <v>30</v>
      </c>
      <c r="G814" t="s">
        <v>24</v>
      </c>
      <c r="H814" t="s">
        <v>94</v>
      </c>
      <c r="I814">
        <v>1</v>
      </c>
      <c r="J814" s="3">
        <v>28754</v>
      </c>
      <c r="K814" s="4">
        <v>10</v>
      </c>
      <c r="L814" s="3">
        <v>28754</v>
      </c>
      <c r="M814" s="3">
        <v>2875.4</v>
      </c>
      <c r="N814" s="3">
        <v>25878.6</v>
      </c>
      <c r="O814" s="3">
        <v>18552.45</v>
      </c>
      <c r="P814" s="3">
        <v>7326.15</v>
      </c>
      <c r="Q814" t="s">
        <v>91</v>
      </c>
      <c r="R814">
        <v>2026</v>
      </c>
      <c r="S814">
        <v>2</v>
      </c>
    </row>
    <row r="815" spans="1:19" x14ac:dyDescent="0.3">
      <c r="A815" t="s">
        <v>874</v>
      </c>
      <c r="B815" s="2">
        <v>46066</v>
      </c>
      <c r="C815" t="s">
        <v>82</v>
      </c>
      <c r="D815" t="s">
        <v>21</v>
      </c>
      <c r="E815" t="s">
        <v>42</v>
      </c>
      <c r="F815" t="s">
        <v>37</v>
      </c>
      <c r="G815" t="s">
        <v>24</v>
      </c>
      <c r="H815" t="s">
        <v>94</v>
      </c>
      <c r="I815">
        <v>2</v>
      </c>
      <c r="J815" s="3">
        <v>47044</v>
      </c>
      <c r="K815" s="4">
        <v>15</v>
      </c>
      <c r="L815" s="3">
        <v>94088</v>
      </c>
      <c r="M815" s="3">
        <v>14113.2</v>
      </c>
      <c r="N815" s="3">
        <v>79974.8</v>
      </c>
      <c r="O815" s="3">
        <v>61306.84</v>
      </c>
      <c r="P815" s="3">
        <v>18667.96</v>
      </c>
      <c r="Q815" t="s">
        <v>91</v>
      </c>
      <c r="R815">
        <v>2026</v>
      </c>
      <c r="S815">
        <v>2</v>
      </c>
    </row>
    <row r="816" spans="1:19" x14ac:dyDescent="0.3">
      <c r="A816" t="s">
        <v>875</v>
      </c>
      <c r="B816" s="2">
        <v>46067</v>
      </c>
      <c r="C816" t="s">
        <v>82</v>
      </c>
      <c r="D816" t="s">
        <v>21</v>
      </c>
      <c r="E816" t="s">
        <v>22</v>
      </c>
      <c r="F816" t="s">
        <v>40</v>
      </c>
      <c r="G816" t="s">
        <v>24</v>
      </c>
      <c r="H816" t="s">
        <v>94</v>
      </c>
      <c r="I816">
        <v>2</v>
      </c>
      <c r="J816" s="3">
        <v>46705</v>
      </c>
      <c r="K816" s="4">
        <v>5</v>
      </c>
      <c r="L816" s="3">
        <v>93410</v>
      </c>
      <c r="M816" s="3">
        <v>4670.5</v>
      </c>
      <c r="N816" s="3">
        <v>88739.5</v>
      </c>
      <c r="O816" s="3">
        <v>48885.93</v>
      </c>
      <c r="P816" s="3">
        <v>39853.57</v>
      </c>
      <c r="Q816" t="s">
        <v>91</v>
      </c>
      <c r="R816">
        <v>2026</v>
      </c>
      <c r="S816">
        <v>2</v>
      </c>
    </row>
    <row r="817" spans="1:19" x14ac:dyDescent="0.3">
      <c r="A817" t="s">
        <v>876</v>
      </c>
      <c r="B817" s="2">
        <v>46067</v>
      </c>
      <c r="C817" t="s">
        <v>33</v>
      </c>
      <c r="D817" t="s">
        <v>34</v>
      </c>
      <c r="E817" t="s">
        <v>42</v>
      </c>
      <c r="F817" t="s">
        <v>37</v>
      </c>
      <c r="G817" t="s">
        <v>31</v>
      </c>
      <c r="H817" t="s">
        <v>25</v>
      </c>
      <c r="I817">
        <v>1</v>
      </c>
      <c r="J817" s="3">
        <v>40517</v>
      </c>
      <c r="K817" s="4">
        <v>0</v>
      </c>
      <c r="L817" s="3">
        <v>40517</v>
      </c>
      <c r="M817" s="3">
        <v>0</v>
      </c>
      <c r="N817" s="3">
        <v>40517</v>
      </c>
      <c r="O817" s="3">
        <v>26631.84</v>
      </c>
      <c r="P817" s="3">
        <v>13885.16</v>
      </c>
      <c r="Q817" t="s">
        <v>91</v>
      </c>
      <c r="R817">
        <v>2026</v>
      </c>
      <c r="S817">
        <v>2</v>
      </c>
    </row>
    <row r="818" spans="1:19" x14ac:dyDescent="0.3">
      <c r="A818" t="s">
        <v>877</v>
      </c>
      <c r="B818" s="2">
        <v>46068</v>
      </c>
      <c r="C818" t="s">
        <v>82</v>
      </c>
      <c r="D818" t="s">
        <v>21</v>
      </c>
      <c r="E818" t="s">
        <v>44</v>
      </c>
      <c r="F818" t="s">
        <v>35</v>
      </c>
      <c r="G818" t="s">
        <v>24</v>
      </c>
      <c r="H818" t="s">
        <v>94</v>
      </c>
      <c r="I818">
        <v>1</v>
      </c>
      <c r="J818" s="3">
        <v>46061</v>
      </c>
      <c r="K818" s="4">
        <v>5</v>
      </c>
      <c r="L818" s="3">
        <v>46061</v>
      </c>
      <c r="M818" s="3">
        <v>2303.0500000000002</v>
      </c>
      <c r="N818" s="3">
        <v>43757.95</v>
      </c>
      <c r="O818" s="3">
        <v>24352.29</v>
      </c>
      <c r="P818" s="3">
        <v>19405.66</v>
      </c>
      <c r="Q818" t="s">
        <v>91</v>
      </c>
      <c r="R818">
        <v>2026</v>
      </c>
      <c r="S818">
        <v>2</v>
      </c>
    </row>
    <row r="819" spans="1:19" x14ac:dyDescent="0.3">
      <c r="A819" t="s">
        <v>878</v>
      </c>
      <c r="B819" s="2">
        <v>46068</v>
      </c>
      <c r="C819" t="s">
        <v>71</v>
      </c>
      <c r="D819" t="s">
        <v>34</v>
      </c>
      <c r="E819" t="s">
        <v>22</v>
      </c>
      <c r="F819" t="s">
        <v>30</v>
      </c>
      <c r="G819" t="s">
        <v>31</v>
      </c>
      <c r="H819" t="s">
        <v>94</v>
      </c>
      <c r="I819">
        <v>3</v>
      </c>
      <c r="J819" s="3">
        <v>50166</v>
      </c>
      <c r="K819" s="4">
        <v>5</v>
      </c>
      <c r="L819" s="3">
        <v>150498</v>
      </c>
      <c r="M819" s="3">
        <v>7524.9</v>
      </c>
      <c r="N819" s="3">
        <v>142973.1</v>
      </c>
      <c r="O819" s="3">
        <v>97227.5</v>
      </c>
      <c r="P819" s="3">
        <v>45745.599999999999</v>
      </c>
      <c r="Q819" t="s">
        <v>91</v>
      </c>
      <c r="R819">
        <v>2026</v>
      </c>
      <c r="S819">
        <v>2</v>
      </c>
    </row>
    <row r="820" spans="1:19" x14ac:dyDescent="0.3">
      <c r="A820" t="s">
        <v>879</v>
      </c>
      <c r="B820" s="2">
        <v>46069</v>
      </c>
      <c r="C820" t="s">
        <v>75</v>
      </c>
      <c r="D820" t="s">
        <v>34</v>
      </c>
      <c r="E820" t="s">
        <v>44</v>
      </c>
      <c r="F820" t="s">
        <v>35</v>
      </c>
      <c r="G820" t="s">
        <v>31</v>
      </c>
      <c r="H820" t="s">
        <v>25</v>
      </c>
      <c r="I820">
        <v>1</v>
      </c>
      <c r="J820" s="3">
        <v>35507</v>
      </c>
      <c r="K820" s="4">
        <v>0</v>
      </c>
      <c r="L820" s="3">
        <v>35507</v>
      </c>
      <c r="M820" s="3">
        <v>0</v>
      </c>
      <c r="N820" s="3">
        <v>35507</v>
      </c>
      <c r="O820" s="3">
        <v>17851.23</v>
      </c>
      <c r="P820" s="3">
        <v>17655.77</v>
      </c>
      <c r="Q820" t="s">
        <v>91</v>
      </c>
      <c r="R820">
        <v>2026</v>
      </c>
      <c r="S820">
        <v>2</v>
      </c>
    </row>
    <row r="821" spans="1:19" x14ac:dyDescent="0.3">
      <c r="A821" t="s">
        <v>880</v>
      </c>
      <c r="B821" s="2">
        <v>46069</v>
      </c>
      <c r="C821" t="s">
        <v>48</v>
      </c>
      <c r="D821" t="s">
        <v>34</v>
      </c>
      <c r="E821" t="s">
        <v>42</v>
      </c>
      <c r="F821" t="s">
        <v>37</v>
      </c>
      <c r="G821" t="s">
        <v>31</v>
      </c>
      <c r="H821" t="s">
        <v>25</v>
      </c>
      <c r="I821">
        <v>3</v>
      </c>
      <c r="J821" s="3">
        <v>26289</v>
      </c>
      <c r="K821" s="4">
        <v>0</v>
      </c>
      <c r="L821" s="3">
        <v>78867</v>
      </c>
      <c r="M821" s="3">
        <v>0</v>
      </c>
      <c r="N821" s="3">
        <v>78867</v>
      </c>
      <c r="O821" s="3">
        <v>53067.86</v>
      </c>
      <c r="P821" s="3">
        <v>25799.14</v>
      </c>
      <c r="Q821" t="s">
        <v>91</v>
      </c>
      <c r="R821">
        <v>2026</v>
      </c>
      <c r="S821">
        <v>2</v>
      </c>
    </row>
    <row r="822" spans="1:19" x14ac:dyDescent="0.3">
      <c r="A822" t="s">
        <v>881</v>
      </c>
      <c r="B822" s="2">
        <v>46070</v>
      </c>
      <c r="C822" t="s">
        <v>46</v>
      </c>
      <c r="D822" t="s">
        <v>21</v>
      </c>
      <c r="E822" t="s">
        <v>44</v>
      </c>
      <c r="F822" t="s">
        <v>40</v>
      </c>
      <c r="G822" t="s">
        <v>24</v>
      </c>
      <c r="H822" t="s">
        <v>25</v>
      </c>
      <c r="I822">
        <v>2</v>
      </c>
      <c r="J822" s="3">
        <v>12855</v>
      </c>
      <c r="K822" s="4">
        <v>0</v>
      </c>
      <c r="L822" s="3">
        <v>25710</v>
      </c>
      <c r="M822" s="3">
        <v>0</v>
      </c>
      <c r="N822" s="3">
        <v>25710</v>
      </c>
      <c r="O822" s="3">
        <v>15422.37</v>
      </c>
      <c r="P822" s="3">
        <v>10287.629999999999</v>
      </c>
      <c r="Q822" t="s">
        <v>91</v>
      </c>
      <c r="R822">
        <v>2026</v>
      </c>
      <c r="S822">
        <v>2</v>
      </c>
    </row>
    <row r="823" spans="1:19" x14ac:dyDescent="0.3">
      <c r="A823" t="s">
        <v>882</v>
      </c>
      <c r="B823" s="2">
        <v>46071</v>
      </c>
      <c r="C823" t="s">
        <v>71</v>
      </c>
      <c r="D823" t="s">
        <v>34</v>
      </c>
      <c r="E823" t="s">
        <v>44</v>
      </c>
      <c r="F823" t="s">
        <v>35</v>
      </c>
      <c r="G823" t="s">
        <v>24</v>
      </c>
      <c r="H823" t="s">
        <v>94</v>
      </c>
      <c r="I823">
        <v>4</v>
      </c>
      <c r="J823" s="3">
        <v>52241</v>
      </c>
      <c r="K823" s="4">
        <v>20</v>
      </c>
      <c r="L823" s="3">
        <v>208964</v>
      </c>
      <c r="M823" s="3">
        <v>41792.800000000003</v>
      </c>
      <c r="N823" s="3">
        <v>0</v>
      </c>
      <c r="O823" s="3">
        <v>102696.62</v>
      </c>
      <c r="P823" s="3">
        <v>0</v>
      </c>
      <c r="Q823" t="s">
        <v>91</v>
      </c>
      <c r="R823">
        <v>2026</v>
      </c>
      <c r="S823">
        <v>2</v>
      </c>
    </row>
    <row r="824" spans="1:19" x14ac:dyDescent="0.3">
      <c r="A824" t="s">
        <v>883</v>
      </c>
      <c r="B824" s="2">
        <v>46072</v>
      </c>
      <c r="C824" t="s">
        <v>46</v>
      </c>
      <c r="D824" t="s">
        <v>21</v>
      </c>
      <c r="E824" t="s">
        <v>42</v>
      </c>
      <c r="F824" t="s">
        <v>23</v>
      </c>
      <c r="G824" t="s">
        <v>31</v>
      </c>
      <c r="H824" t="s">
        <v>94</v>
      </c>
      <c r="I824">
        <v>2</v>
      </c>
      <c r="J824" s="3">
        <v>12529</v>
      </c>
      <c r="K824" s="4">
        <v>5</v>
      </c>
      <c r="L824" s="3">
        <v>25058</v>
      </c>
      <c r="M824" s="3">
        <v>1252.9000000000001</v>
      </c>
      <c r="N824" s="3">
        <v>23805.1</v>
      </c>
      <c r="O824" s="3">
        <v>13093.43</v>
      </c>
      <c r="P824" s="3">
        <v>10711.67</v>
      </c>
      <c r="Q824" t="s">
        <v>91</v>
      </c>
      <c r="R824">
        <v>2026</v>
      </c>
      <c r="S824">
        <v>2</v>
      </c>
    </row>
    <row r="825" spans="1:19" x14ac:dyDescent="0.3">
      <c r="A825" t="s">
        <v>884</v>
      </c>
      <c r="B825" s="2">
        <v>46075</v>
      </c>
      <c r="C825" t="s">
        <v>48</v>
      </c>
      <c r="D825" t="s">
        <v>34</v>
      </c>
      <c r="E825" t="s">
        <v>44</v>
      </c>
      <c r="F825" t="s">
        <v>35</v>
      </c>
      <c r="G825" t="s">
        <v>31</v>
      </c>
      <c r="H825" t="s">
        <v>94</v>
      </c>
      <c r="I825">
        <v>5</v>
      </c>
      <c r="J825" s="3">
        <v>24125</v>
      </c>
      <c r="K825" s="4">
        <v>15</v>
      </c>
      <c r="L825" s="3">
        <v>120625</v>
      </c>
      <c r="M825" s="3">
        <v>18093.75</v>
      </c>
      <c r="N825" s="3">
        <v>102531.25</v>
      </c>
      <c r="O825" s="3">
        <v>59266.09</v>
      </c>
      <c r="P825" s="3">
        <v>43265.16</v>
      </c>
      <c r="Q825" t="s">
        <v>91</v>
      </c>
      <c r="R825">
        <v>2026</v>
      </c>
      <c r="S825">
        <v>2</v>
      </c>
    </row>
    <row r="826" spans="1:19" x14ac:dyDescent="0.3">
      <c r="A826" t="s">
        <v>885</v>
      </c>
      <c r="B826" s="2">
        <v>46076</v>
      </c>
      <c r="C826" t="s">
        <v>33</v>
      </c>
      <c r="D826" t="s">
        <v>34</v>
      </c>
      <c r="E826" t="s">
        <v>42</v>
      </c>
      <c r="F826" t="s">
        <v>40</v>
      </c>
      <c r="G826" t="s">
        <v>24</v>
      </c>
      <c r="H826" t="s">
        <v>94</v>
      </c>
      <c r="I826">
        <v>4</v>
      </c>
      <c r="J826" s="3">
        <v>39123</v>
      </c>
      <c r="K826" s="4">
        <v>15</v>
      </c>
      <c r="L826" s="3">
        <v>156492</v>
      </c>
      <c r="M826" s="3">
        <v>23473.8</v>
      </c>
      <c r="N826" s="3">
        <v>133018.20000000001</v>
      </c>
      <c r="O826" s="3">
        <v>105092.72</v>
      </c>
      <c r="P826" s="3">
        <v>27925.48</v>
      </c>
      <c r="Q826" t="s">
        <v>91</v>
      </c>
      <c r="R826">
        <v>2026</v>
      </c>
      <c r="S826">
        <v>2</v>
      </c>
    </row>
    <row r="827" spans="1:19" x14ac:dyDescent="0.3">
      <c r="A827" t="s">
        <v>886</v>
      </c>
      <c r="B827" s="2">
        <v>46076</v>
      </c>
      <c r="C827" t="s">
        <v>20</v>
      </c>
      <c r="D827" t="s">
        <v>21</v>
      </c>
      <c r="E827" t="s">
        <v>56</v>
      </c>
      <c r="F827" t="s">
        <v>37</v>
      </c>
      <c r="G827" t="s">
        <v>31</v>
      </c>
      <c r="H827" t="s">
        <v>94</v>
      </c>
      <c r="I827">
        <v>5</v>
      </c>
      <c r="J827" s="3">
        <v>14590</v>
      </c>
      <c r="K827" s="4">
        <v>15</v>
      </c>
      <c r="L827" s="3">
        <v>72950</v>
      </c>
      <c r="M827" s="3">
        <v>10942.5</v>
      </c>
      <c r="N827" s="3">
        <v>62007.5</v>
      </c>
      <c r="O827" s="3">
        <v>47378.06</v>
      </c>
      <c r="P827" s="3">
        <v>14629.44</v>
      </c>
      <c r="Q827" t="s">
        <v>91</v>
      </c>
      <c r="R827">
        <v>2026</v>
      </c>
      <c r="S827">
        <v>2</v>
      </c>
    </row>
    <row r="828" spans="1:19" x14ac:dyDescent="0.3">
      <c r="A828" t="s">
        <v>887</v>
      </c>
      <c r="B828" s="2">
        <v>46076</v>
      </c>
      <c r="C828" t="s">
        <v>48</v>
      </c>
      <c r="D828" t="s">
        <v>34</v>
      </c>
      <c r="E828" t="s">
        <v>56</v>
      </c>
      <c r="F828" t="s">
        <v>23</v>
      </c>
      <c r="G828" t="s">
        <v>31</v>
      </c>
      <c r="H828" t="s">
        <v>94</v>
      </c>
      <c r="I828">
        <v>1</v>
      </c>
      <c r="J828" s="3">
        <v>25042</v>
      </c>
      <c r="K828" s="4">
        <v>10</v>
      </c>
      <c r="L828" s="3">
        <v>25042</v>
      </c>
      <c r="M828" s="3">
        <v>2504.1999999999998</v>
      </c>
      <c r="N828" s="3">
        <v>22537.8</v>
      </c>
      <c r="O828" s="3">
        <v>16580.84</v>
      </c>
      <c r="P828" s="3">
        <v>5956.96</v>
      </c>
      <c r="Q828" t="s">
        <v>91</v>
      </c>
      <c r="R828">
        <v>2026</v>
      </c>
      <c r="S828">
        <v>2</v>
      </c>
    </row>
    <row r="829" spans="1:19" x14ac:dyDescent="0.3">
      <c r="A829" t="s">
        <v>888</v>
      </c>
      <c r="B829" s="2">
        <v>46081</v>
      </c>
      <c r="C829" t="s">
        <v>33</v>
      </c>
      <c r="D829" t="s">
        <v>34</v>
      </c>
      <c r="E829" t="s">
        <v>56</v>
      </c>
      <c r="F829" t="s">
        <v>37</v>
      </c>
      <c r="G829" t="s">
        <v>24</v>
      </c>
      <c r="H829" t="s">
        <v>94</v>
      </c>
      <c r="I829">
        <v>1</v>
      </c>
      <c r="J829" s="3">
        <v>44545</v>
      </c>
      <c r="K829" s="4">
        <v>5</v>
      </c>
      <c r="L829" s="3">
        <v>44545</v>
      </c>
      <c r="M829" s="3">
        <v>2227.25</v>
      </c>
      <c r="N829" s="3">
        <v>42317.75</v>
      </c>
      <c r="O829" s="3">
        <v>29131.88</v>
      </c>
      <c r="P829" s="3">
        <v>13185.87</v>
      </c>
      <c r="Q829" t="s">
        <v>91</v>
      </c>
      <c r="R829">
        <v>2026</v>
      </c>
      <c r="S829">
        <v>2</v>
      </c>
    </row>
    <row r="830" spans="1:19" x14ac:dyDescent="0.3">
      <c r="A830" t="s">
        <v>889</v>
      </c>
      <c r="B830" s="2">
        <v>46082</v>
      </c>
      <c r="C830" t="s">
        <v>50</v>
      </c>
      <c r="D830" t="s">
        <v>34</v>
      </c>
      <c r="E830" t="s">
        <v>22</v>
      </c>
      <c r="F830" t="s">
        <v>40</v>
      </c>
      <c r="G830" t="s">
        <v>31</v>
      </c>
      <c r="H830" t="s">
        <v>25</v>
      </c>
      <c r="I830">
        <v>3</v>
      </c>
      <c r="J830" s="3">
        <v>19073</v>
      </c>
      <c r="K830" s="4">
        <v>0</v>
      </c>
      <c r="L830" s="3">
        <v>57219</v>
      </c>
      <c r="M830" s="3">
        <v>0</v>
      </c>
      <c r="N830" s="3">
        <v>57219</v>
      </c>
      <c r="O830" s="3">
        <v>35821.949999999997</v>
      </c>
      <c r="P830" s="3">
        <v>21397.05</v>
      </c>
      <c r="Q830" t="s">
        <v>131</v>
      </c>
      <c r="R830">
        <v>2026</v>
      </c>
      <c r="S830">
        <v>3</v>
      </c>
    </row>
    <row r="831" spans="1:19" x14ac:dyDescent="0.3">
      <c r="A831" t="s">
        <v>890</v>
      </c>
      <c r="B831" s="2">
        <v>46083</v>
      </c>
      <c r="C831" t="s">
        <v>64</v>
      </c>
      <c r="D831" t="s">
        <v>29</v>
      </c>
      <c r="E831" t="s">
        <v>56</v>
      </c>
      <c r="F831" t="s">
        <v>30</v>
      </c>
      <c r="G831" t="s">
        <v>31</v>
      </c>
      <c r="H831" t="s">
        <v>133</v>
      </c>
      <c r="I831">
        <v>2</v>
      </c>
      <c r="J831" s="3">
        <v>31482</v>
      </c>
      <c r="K831" s="4">
        <v>20</v>
      </c>
      <c r="L831" s="3">
        <v>62964</v>
      </c>
      <c r="M831" s="3">
        <v>12592.8</v>
      </c>
      <c r="N831" s="3">
        <v>50371.199999999997</v>
      </c>
      <c r="O831" s="3">
        <v>33740.74</v>
      </c>
      <c r="P831" s="3">
        <v>16630.46</v>
      </c>
      <c r="Q831" t="s">
        <v>131</v>
      </c>
      <c r="R831">
        <v>2026</v>
      </c>
      <c r="S831">
        <v>3</v>
      </c>
    </row>
    <row r="832" spans="1:19" x14ac:dyDescent="0.3">
      <c r="A832" t="s">
        <v>891</v>
      </c>
      <c r="B832" s="2">
        <v>46083</v>
      </c>
      <c r="C832" t="s">
        <v>46</v>
      </c>
      <c r="D832" t="s">
        <v>21</v>
      </c>
      <c r="E832" t="s">
        <v>44</v>
      </c>
      <c r="F832" t="s">
        <v>40</v>
      </c>
      <c r="G832" t="s">
        <v>31</v>
      </c>
      <c r="H832" t="s">
        <v>25</v>
      </c>
      <c r="I832">
        <v>1</v>
      </c>
      <c r="J832" s="3">
        <v>11305</v>
      </c>
      <c r="K832" s="4">
        <v>0</v>
      </c>
      <c r="L832" s="3">
        <v>11305</v>
      </c>
      <c r="M832" s="3">
        <v>0</v>
      </c>
      <c r="N832" s="3">
        <v>11305</v>
      </c>
      <c r="O832" s="3">
        <v>6557.03</v>
      </c>
      <c r="P832" s="3">
        <v>4747.97</v>
      </c>
      <c r="Q832" t="s">
        <v>131</v>
      </c>
      <c r="R832">
        <v>2026</v>
      </c>
      <c r="S832">
        <v>3</v>
      </c>
    </row>
    <row r="833" spans="1:19" x14ac:dyDescent="0.3">
      <c r="A833" t="s">
        <v>892</v>
      </c>
      <c r="B833" s="2">
        <v>46085</v>
      </c>
      <c r="C833" t="s">
        <v>50</v>
      </c>
      <c r="D833" t="s">
        <v>34</v>
      </c>
      <c r="E833" t="s">
        <v>42</v>
      </c>
      <c r="F833" t="s">
        <v>35</v>
      </c>
      <c r="G833" t="s">
        <v>24</v>
      </c>
      <c r="H833" t="s">
        <v>133</v>
      </c>
      <c r="I833">
        <v>1</v>
      </c>
      <c r="J833" s="3">
        <v>18654</v>
      </c>
      <c r="K833" s="4">
        <v>10</v>
      </c>
      <c r="L833" s="3">
        <v>18654</v>
      </c>
      <c r="M833" s="3">
        <v>1865.4</v>
      </c>
      <c r="N833" s="3">
        <v>16788.599999999999</v>
      </c>
      <c r="O833" s="3">
        <v>9722.65</v>
      </c>
      <c r="P833" s="3">
        <v>7065.95</v>
      </c>
      <c r="Q833" t="s">
        <v>131</v>
      </c>
      <c r="R833">
        <v>2026</v>
      </c>
      <c r="S833">
        <v>3</v>
      </c>
    </row>
    <row r="834" spans="1:19" x14ac:dyDescent="0.3">
      <c r="A834" t="s">
        <v>893</v>
      </c>
      <c r="B834" s="2">
        <v>46085</v>
      </c>
      <c r="C834" t="s">
        <v>71</v>
      </c>
      <c r="D834" t="s">
        <v>34</v>
      </c>
      <c r="E834" t="s">
        <v>44</v>
      </c>
      <c r="F834" t="s">
        <v>35</v>
      </c>
      <c r="G834" t="s">
        <v>31</v>
      </c>
      <c r="H834" t="s">
        <v>133</v>
      </c>
      <c r="I834">
        <v>1</v>
      </c>
      <c r="J834" s="3">
        <v>47077</v>
      </c>
      <c r="K834" s="4">
        <v>20</v>
      </c>
      <c r="L834" s="3">
        <v>47077</v>
      </c>
      <c r="M834" s="3">
        <v>9415.4</v>
      </c>
      <c r="N834" s="3">
        <v>37661.599999999999</v>
      </c>
      <c r="O834" s="3">
        <v>27168.11</v>
      </c>
      <c r="P834" s="3">
        <v>10493.49</v>
      </c>
      <c r="Q834" t="s">
        <v>131</v>
      </c>
      <c r="R834">
        <v>2026</v>
      </c>
      <c r="S834">
        <v>3</v>
      </c>
    </row>
    <row r="835" spans="1:19" x14ac:dyDescent="0.3">
      <c r="A835" t="s">
        <v>894</v>
      </c>
      <c r="B835" s="2">
        <v>46085</v>
      </c>
      <c r="C835" t="s">
        <v>46</v>
      </c>
      <c r="D835" t="s">
        <v>21</v>
      </c>
      <c r="E835" t="s">
        <v>22</v>
      </c>
      <c r="F835" t="s">
        <v>23</v>
      </c>
      <c r="G835" t="s">
        <v>31</v>
      </c>
      <c r="H835" t="s">
        <v>25</v>
      </c>
      <c r="I835">
        <v>1</v>
      </c>
      <c r="J835" s="3">
        <v>12588</v>
      </c>
      <c r="K835" s="4">
        <v>0</v>
      </c>
      <c r="L835" s="3">
        <v>12588</v>
      </c>
      <c r="M835" s="3">
        <v>0</v>
      </c>
      <c r="N835" s="3">
        <v>12588</v>
      </c>
      <c r="O835" s="3">
        <v>7156.3</v>
      </c>
      <c r="P835" s="3">
        <v>5431.7</v>
      </c>
      <c r="Q835" t="s">
        <v>131</v>
      </c>
      <c r="R835">
        <v>2026</v>
      </c>
      <c r="S835">
        <v>3</v>
      </c>
    </row>
    <row r="836" spans="1:19" x14ac:dyDescent="0.3">
      <c r="A836" t="s">
        <v>895</v>
      </c>
      <c r="B836" s="2">
        <v>46086</v>
      </c>
      <c r="C836" t="s">
        <v>71</v>
      </c>
      <c r="D836" t="s">
        <v>34</v>
      </c>
      <c r="E836" t="s">
        <v>42</v>
      </c>
      <c r="F836" t="s">
        <v>40</v>
      </c>
      <c r="G836" t="s">
        <v>31</v>
      </c>
      <c r="H836" t="s">
        <v>25</v>
      </c>
      <c r="I836">
        <v>2</v>
      </c>
      <c r="J836" s="3">
        <v>51917</v>
      </c>
      <c r="K836" s="4">
        <v>0</v>
      </c>
      <c r="L836" s="3">
        <v>103834</v>
      </c>
      <c r="M836" s="3">
        <v>0</v>
      </c>
      <c r="N836" s="3">
        <v>103834</v>
      </c>
      <c r="O836" s="3">
        <v>62586.51</v>
      </c>
      <c r="P836" s="3">
        <v>41247.49</v>
      </c>
      <c r="Q836" t="s">
        <v>131</v>
      </c>
      <c r="R836">
        <v>2026</v>
      </c>
      <c r="S836">
        <v>3</v>
      </c>
    </row>
    <row r="837" spans="1:19" x14ac:dyDescent="0.3">
      <c r="A837" t="s">
        <v>896</v>
      </c>
      <c r="B837" s="2">
        <v>46086</v>
      </c>
      <c r="C837" t="s">
        <v>20</v>
      </c>
      <c r="D837" t="s">
        <v>21</v>
      </c>
      <c r="E837" t="s">
        <v>44</v>
      </c>
      <c r="F837" t="s">
        <v>40</v>
      </c>
      <c r="G837" t="s">
        <v>24</v>
      </c>
      <c r="H837" t="s">
        <v>133</v>
      </c>
      <c r="I837">
        <v>1</v>
      </c>
      <c r="J837" s="3">
        <v>14606</v>
      </c>
      <c r="K837" s="4">
        <v>5</v>
      </c>
      <c r="L837" s="3">
        <v>14606</v>
      </c>
      <c r="M837" s="3">
        <v>730.3</v>
      </c>
      <c r="N837" s="3">
        <v>13875.7</v>
      </c>
      <c r="O837" s="3">
        <v>9338.0400000000009</v>
      </c>
      <c r="P837" s="3">
        <v>4537.66</v>
      </c>
      <c r="Q837" t="s">
        <v>131</v>
      </c>
      <c r="R837">
        <v>2026</v>
      </c>
      <c r="S837">
        <v>3</v>
      </c>
    </row>
    <row r="838" spans="1:19" x14ac:dyDescent="0.3">
      <c r="A838" t="s">
        <v>897</v>
      </c>
      <c r="B838" s="2">
        <v>46086</v>
      </c>
      <c r="C838" t="s">
        <v>33</v>
      </c>
      <c r="D838" t="s">
        <v>34</v>
      </c>
      <c r="E838" t="s">
        <v>22</v>
      </c>
      <c r="F838" t="s">
        <v>30</v>
      </c>
      <c r="G838" t="s">
        <v>31</v>
      </c>
      <c r="H838" t="s">
        <v>133</v>
      </c>
      <c r="I838">
        <v>3</v>
      </c>
      <c r="J838" s="3">
        <v>44612</v>
      </c>
      <c r="K838" s="4">
        <v>15</v>
      </c>
      <c r="L838" s="3">
        <v>133836</v>
      </c>
      <c r="M838" s="3">
        <v>20075.400000000001</v>
      </c>
      <c r="N838" s="3">
        <v>113760.6</v>
      </c>
      <c r="O838" s="3">
        <v>70759.850000000006</v>
      </c>
      <c r="P838" s="3">
        <v>43000.75</v>
      </c>
      <c r="Q838" t="s">
        <v>131</v>
      </c>
      <c r="R838">
        <v>2026</v>
      </c>
      <c r="S838">
        <v>3</v>
      </c>
    </row>
    <row r="839" spans="1:19" x14ac:dyDescent="0.3">
      <c r="A839" t="s">
        <v>898</v>
      </c>
      <c r="B839" s="2">
        <v>46087</v>
      </c>
      <c r="C839" t="s">
        <v>71</v>
      </c>
      <c r="D839" t="s">
        <v>34</v>
      </c>
      <c r="E839" t="s">
        <v>22</v>
      </c>
      <c r="F839" t="s">
        <v>40</v>
      </c>
      <c r="G839" t="s">
        <v>31</v>
      </c>
      <c r="H839" t="s">
        <v>133</v>
      </c>
      <c r="I839">
        <v>1</v>
      </c>
      <c r="J839" s="3">
        <v>51927</v>
      </c>
      <c r="K839" s="4">
        <v>15</v>
      </c>
      <c r="L839" s="3">
        <v>51927</v>
      </c>
      <c r="M839" s="3">
        <v>7789.05</v>
      </c>
      <c r="N839" s="3">
        <v>44137.95</v>
      </c>
      <c r="O839" s="3">
        <v>33534.639999999999</v>
      </c>
      <c r="P839" s="3">
        <v>10603.31</v>
      </c>
      <c r="Q839" t="s">
        <v>131</v>
      </c>
      <c r="R839">
        <v>2026</v>
      </c>
      <c r="S839">
        <v>3</v>
      </c>
    </row>
    <row r="840" spans="1:19" x14ac:dyDescent="0.3">
      <c r="A840" t="s">
        <v>899</v>
      </c>
      <c r="B840" s="2">
        <v>46088</v>
      </c>
      <c r="C840" t="s">
        <v>75</v>
      </c>
      <c r="D840" t="s">
        <v>34</v>
      </c>
      <c r="E840" t="s">
        <v>44</v>
      </c>
      <c r="F840" t="s">
        <v>23</v>
      </c>
      <c r="G840" t="s">
        <v>24</v>
      </c>
      <c r="H840" t="s">
        <v>25</v>
      </c>
      <c r="I840">
        <v>2</v>
      </c>
      <c r="J840" s="3">
        <v>40831</v>
      </c>
      <c r="K840" s="4">
        <v>0</v>
      </c>
      <c r="L840" s="3">
        <v>81662</v>
      </c>
      <c r="M840" s="3">
        <v>0</v>
      </c>
      <c r="N840" s="3">
        <v>81662</v>
      </c>
      <c r="O840" s="3">
        <v>52445.04</v>
      </c>
      <c r="P840" s="3">
        <v>29216.959999999999</v>
      </c>
      <c r="Q840" t="s">
        <v>131</v>
      </c>
      <c r="R840">
        <v>2026</v>
      </c>
      <c r="S840">
        <v>3</v>
      </c>
    </row>
    <row r="841" spans="1:19" x14ac:dyDescent="0.3">
      <c r="A841" t="s">
        <v>900</v>
      </c>
      <c r="B841" s="2">
        <v>46089</v>
      </c>
      <c r="C841" t="s">
        <v>82</v>
      </c>
      <c r="D841" t="s">
        <v>21</v>
      </c>
      <c r="E841" t="s">
        <v>22</v>
      </c>
      <c r="F841" t="s">
        <v>40</v>
      </c>
      <c r="G841" t="s">
        <v>24</v>
      </c>
      <c r="H841" t="s">
        <v>133</v>
      </c>
      <c r="I841">
        <v>3</v>
      </c>
      <c r="J841" s="3">
        <v>47695</v>
      </c>
      <c r="K841" s="4">
        <v>5</v>
      </c>
      <c r="L841" s="3">
        <v>143085</v>
      </c>
      <c r="M841" s="3">
        <v>7154.25</v>
      </c>
      <c r="N841" s="3">
        <v>135930.75</v>
      </c>
      <c r="O841" s="3">
        <v>89361.84</v>
      </c>
      <c r="P841" s="3">
        <v>46568.91</v>
      </c>
      <c r="Q841" t="s">
        <v>131</v>
      </c>
      <c r="R841">
        <v>2026</v>
      </c>
      <c r="S841">
        <v>3</v>
      </c>
    </row>
    <row r="842" spans="1:19" x14ac:dyDescent="0.3">
      <c r="A842" t="s">
        <v>901</v>
      </c>
      <c r="B842" s="2">
        <v>46089</v>
      </c>
      <c r="C842" t="s">
        <v>48</v>
      </c>
      <c r="D842" t="s">
        <v>34</v>
      </c>
      <c r="E842" t="s">
        <v>22</v>
      </c>
      <c r="F842" t="s">
        <v>30</v>
      </c>
      <c r="G842" t="s">
        <v>31</v>
      </c>
      <c r="H842" t="s">
        <v>25</v>
      </c>
      <c r="I842">
        <v>1</v>
      </c>
      <c r="J842" s="3">
        <v>23280</v>
      </c>
      <c r="K842" s="4">
        <v>0</v>
      </c>
      <c r="L842" s="3">
        <v>23280</v>
      </c>
      <c r="M842" s="3">
        <v>0</v>
      </c>
      <c r="N842" s="3">
        <v>23280</v>
      </c>
      <c r="O842" s="3">
        <v>14007.15</v>
      </c>
      <c r="P842" s="3">
        <v>9272.85</v>
      </c>
      <c r="Q842" t="s">
        <v>131</v>
      </c>
      <c r="R842">
        <v>2026</v>
      </c>
      <c r="S842">
        <v>3</v>
      </c>
    </row>
    <row r="843" spans="1:19" x14ac:dyDescent="0.3">
      <c r="A843" t="s">
        <v>902</v>
      </c>
      <c r="B843" s="2">
        <v>46089</v>
      </c>
      <c r="C843" t="s">
        <v>50</v>
      </c>
      <c r="D843" t="s">
        <v>34</v>
      </c>
      <c r="E843" t="s">
        <v>22</v>
      </c>
      <c r="F843" t="s">
        <v>40</v>
      </c>
      <c r="G843" t="s">
        <v>31</v>
      </c>
      <c r="H843" t="s">
        <v>133</v>
      </c>
      <c r="I843">
        <v>1</v>
      </c>
      <c r="J843" s="3">
        <v>17823</v>
      </c>
      <c r="K843" s="4">
        <v>10</v>
      </c>
      <c r="L843" s="3">
        <v>17823</v>
      </c>
      <c r="M843" s="3">
        <v>1782.3</v>
      </c>
      <c r="N843" s="3">
        <v>16040.7</v>
      </c>
      <c r="O843" s="3">
        <v>9020.0499999999993</v>
      </c>
      <c r="P843" s="3">
        <v>7020.65</v>
      </c>
      <c r="Q843" t="s">
        <v>131</v>
      </c>
      <c r="R843">
        <v>2026</v>
      </c>
      <c r="S843">
        <v>3</v>
      </c>
    </row>
    <row r="844" spans="1:19" x14ac:dyDescent="0.3">
      <c r="A844" t="s">
        <v>903</v>
      </c>
      <c r="B844" s="2">
        <v>46089</v>
      </c>
      <c r="C844" t="s">
        <v>46</v>
      </c>
      <c r="D844" t="s">
        <v>21</v>
      </c>
      <c r="E844" t="s">
        <v>56</v>
      </c>
      <c r="F844" t="s">
        <v>30</v>
      </c>
      <c r="G844" t="s">
        <v>24</v>
      </c>
      <c r="H844" t="s">
        <v>25</v>
      </c>
      <c r="I844">
        <v>3</v>
      </c>
      <c r="J844" s="3">
        <v>11163</v>
      </c>
      <c r="K844" s="4">
        <v>0</v>
      </c>
      <c r="L844" s="3">
        <v>33489</v>
      </c>
      <c r="M844" s="3">
        <v>0</v>
      </c>
      <c r="N844" s="3">
        <v>33489</v>
      </c>
      <c r="O844" s="3">
        <v>18471.28</v>
      </c>
      <c r="P844" s="3">
        <v>15017.72</v>
      </c>
      <c r="Q844" t="s">
        <v>131</v>
      </c>
      <c r="R844">
        <v>2026</v>
      </c>
      <c r="S844">
        <v>3</v>
      </c>
    </row>
    <row r="845" spans="1:19" x14ac:dyDescent="0.3">
      <c r="A845" t="s">
        <v>904</v>
      </c>
      <c r="B845" s="2">
        <v>46091</v>
      </c>
      <c r="C845" t="s">
        <v>82</v>
      </c>
      <c r="D845" t="s">
        <v>21</v>
      </c>
      <c r="E845" t="s">
        <v>42</v>
      </c>
      <c r="F845" t="s">
        <v>37</v>
      </c>
      <c r="G845" t="s">
        <v>31</v>
      </c>
      <c r="H845" t="s">
        <v>25</v>
      </c>
      <c r="I845">
        <v>1</v>
      </c>
      <c r="J845" s="3">
        <v>45121</v>
      </c>
      <c r="K845" s="4">
        <v>0</v>
      </c>
      <c r="L845" s="3">
        <v>45121</v>
      </c>
      <c r="M845" s="3">
        <v>0</v>
      </c>
      <c r="N845" s="3">
        <v>45121</v>
      </c>
      <c r="O845" s="3">
        <v>23551.94</v>
      </c>
      <c r="P845" s="3">
        <v>21569.06</v>
      </c>
      <c r="Q845" t="s">
        <v>131</v>
      </c>
      <c r="R845">
        <v>2026</v>
      </c>
      <c r="S845">
        <v>3</v>
      </c>
    </row>
    <row r="846" spans="1:19" x14ac:dyDescent="0.3">
      <c r="A846" t="s">
        <v>905</v>
      </c>
      <c r="B846" s="2">
        <v>46091</v>
      </c>
      <c r="C846" t="s">
        <v>50</v>
      </c>
      <c r="D846" t="s">
        <v>34</v>
      </c>
      <c r="E846" t="s">
        <v>42</v>
      </c>
      <c r="F846" t="s">
        <v>35</v>
      </c>
      <c r="G846" t="s">
        <v>24</v>
      </c>
      <c r="H846" t="s">
        <v>25</v>
      </c>
      <c r="I846">
        <v>1</v>
      </c>
      <c r="J846" s="3">
        <v>19313</v>
      </c>
      <c r="K846" s="4">
        <v>0</v>
      </c>
      <c r="L846" s="3">
        <v>19313</v>
      </c>
      <c r="M846" s="3">
        <v>0</v>
      </c>
      <c r="N846" s="3">
        <v>19313</v>
      </c>
      <c r="O846" s="3">
        <v>11036.67</v>
      </c>
      <c r="P846" s="3">
        <v>8276.33</v>
      </c>
      <c r="Q846" t="s">
        <v>131</v>
      </c>
      <c r="R846">
        <v>2026</v>
      </c>
      <c r="S846">
        <v>3</v>
      </c>
    </row>
    <row r="847" spans="1:19" x14ac:dyDescent="0.3">
      <c r="A847" t="s">
        <v>906</v>
      </c>
      <c r="B847" s="2">
        <v>46092</v>
      </c>
      <c r="C847" t="s">
        <v>82</v>
      </c>
      <c r="D847" t="s">
        <v>21</v>
      </c>
      <c r="E847" t="s">
        <v>44</v>
      </c>
      <c r="F847" t="s">
        <v>23</v>
      </c>
      <c r="G847" t="s">
        <v>24</v>
      </c>
      <c r="H847" t="s">
        <v>25</v>
      </c>
      <c r="I847">
        <v>2</v>
      </c>
      <c r="J847" s="3">
        <v>45840</v>
      </c>
      <c r="K847" s="4">
        <v>0</v>
      </c>
      <c r="L847" s="3">
        <v>91680</v>
      </c>
      <c r="M847" s="3">
        <v>0</v>
      </c>
      <c r="N847" s="3">
        <v>91680</v>
      </c>
      <c r="O847" s="3">
        <v>57536.85</v>
      </c>
      <c r="P847" s="3">
        <v>34143.15</v>
      </c>
      <c r="Q847" t="s">
        <v>131</v>
      </c>
      <c r="R847">
        <v>2026</v>
      </c>
      <c r="S847">
        <v>3</v>
      </c>
    </row>
    <row r="848" spans="1:19" x14ac:dyDescent="0.3">
      <c r="A848" t="s">
        <v>907</v>
      </c>
      <c r="B848" s="2">
        <v>46093</v>
      </c>
      <c r="C848" t="s">
        <v>33</v>
      </c>
      <c r="D848" t="s">
        <v>34</v>
      </c>
      <c r="E848" t="s">
        <v>44</v>
      </c>
      <c r="F848" t="s">
        <v>40</v>
      </c>
      <c r="G848" t="s">
        <v>31</v>
      </c>
      <c r="H848" t="s">
        <v>133</v>
      </c>
      <c r="I848">
        <v>3</v>
      </c>
      <c r="J848" s="3">
        <v>40866</v>
      </c>
      <c r="K848" s="4">
        <v>15</v>
      </c>
      <c r="L848" s="3">
        <v>122598</v>
      </c>
      <c r="M848" s="3">
        <v>18389.7</v>
      </c>
      <c r="N848" s="3">
        <v>104208.3</v>
      </c>
      <c r="O848" s="3">
        <v>68555.259999999995</v>
      </c>
      <c r="P848" s="3">
        <v>35653.040000000001</v>
      </c>
      <c r="Q848" t="s">
        <v>131</v>
      </c>
      <c r="R848">
        <v>2026</v>
      </c>
      <c r="S848">
        <v>3</v>
      </c>
    </row>
    <row r="849" spans="1:19" x14ac:dyDescent="0.3">
      <c r="A849" t="s">
        <v>908</v>
      </c>
      <c r="B849" s="2">
        <v>46093</v>
      </c>
      <c r="C849" t="s">
        <v>50</v>
      </c>
      <c r="D849" t="s">
        <v>34</v>
      </c>
      <c r="E849" t="s">
        <v>42</v>
      </c>
      <c r="F849" t="s">
        <v>40</v>
      </c>
      <c r="G849" t="s">
        <v>31</v>
      </c>
      <c r="H849" t="s">
        <v>25</v>
      </c>
      <c r="I849">
        <v>2</v>
      </c>
      <c r="J849" s="3">
        <v>16578</v>
      </c>
      <c r="K849" s="4">
        <v>0</v>
      </c>
      <c r="L849" s="3">
        <v>33156</v>
      </c>
      <c r="M849" s="3">
        <v>0</v>
      </c>
      <c r="N849" s="3">
        <v>33156</v>
      </c>
      <c r="O849" s="3">
        <v>17808.919999999998</v>
      </c>
      <c r="P849" s="3">
        <v>15347.08</v>
      </c>
      <c r="Q849" t="s">
        <v>131</v>
      </c>
      <c r="R849">
        <v>2026</v>
      </c>
      <c r="S849">
        <v>3</v>
      </c>
    </row>
    <row r="850" spans="1:19" x14ac:dyDescent="0.3">
      <c r="A850" t="s">
        <v>909</v>
      </c>
      <c r="B850" s="2">
        <v>46095</v>
      </c>
      <c r="C850" t="s">
        <v>28</v>
      </c>
      <c r="D850" t="s">
        <v>29</v>
      </c>
      <c r="E850" t="s">
        <v>44</v>
      </c>
      <c r="F850" t="s">
        <v>37</v>
      </c>
      <c r="G850" t="s">
        <v>31</v>
      </c>
      <c r="H850" t="s">
        <v>25</v>
      </c>
      <c r="I850">
        <v>2</v>
      </c>
      <c r="J850" s="3">
        <v>66593</v>
      </c>
      <c r="K850" s="4">
        <v>0</v>
      </c>
      <c r="L850" s="3">
        <v>133186</v>
      </c>
      <c r="M850" s="3">
        <v>0</v>
      </c>
      <c r="N850" s="3">
        <v>133186</v>
      </c>
      <c r="O850" s="3">
        <v>89666.83</v>
      </c>
      <c r="P850" s="3">
        <v>43519.17</v>
      </c>
      <c r="Q850" t="s">
        <v>131</v>
      </c>
      <c r="R850">
        <v>2026</v>
      </c>
      <c r="S850">
        <v>3</v>
      </c>
    </row>
    <row r="851" spans="1:19" x14ac:dyDescent="0.3">
      <c r="A851" t="s">
        <v>910</v>
      </c>
      <c r="B851" s="2">
        <v>46096</v>
      </c>
      <c r="C851" t="s">
        <v>48</v>
      </c>
      <c r="D851" t="s">
        <v>34</v>
      </c>
      <c r="E851" t="s">
        <v>22</v>
      </c>
      <c r="F851" t="s">
        <v>40</v>
      </c>
      <c r="G851" t="s">
        <v>31</v>
      </c>
      <c r="H851" t="s">
        <v>133</v>
      </c>
      <c r="I851">
        <v>1</v>
      </c>
      <c r="J851" s="3">
        <v>24272</v>
      </c>
      <c r="K851" s="4">
        <v>15</v>
      </c>
      <c r="L851" s="3">
        <v>24272</v>
      </c>
      <c r="M851" s="3">
        <v>3640.8</v>
      </c>
      <c r="N851" s="3">
        <v>20631.2</v>
      </c>
      <c r="O851" s="3">
        <v>13746.36</v>
      </c>
      <c r="P851" s="3">
        <v>6884.84</v>
      </c>
      <c r="Q851" t="s">
        <v>131</v>
      </c>
      <c r="R851">
        <v>2026</v>
      </c>
      <c r="S851">
        <v>3</v>
      </c>
    </row>
    <row r="852" spans="1:19" x14ac:dyDescent="0.3">
      <c r="A852" t="s">
        <v>911</v>
      </c>
      <c r="B852" s="2">
        <v>46096</v>
      </c>
      <c r="C852" t="s">
        <v>82</v>
      </c>
      <c r="D852" t="s">
        <v>21</v>
      </c>
      <c r="E852" t="s">
        <v>22</v>
      </c>
      <c r="F852" t="s">
        <v>30</v>
      </c>
      <c r="G852" t="s">
        <v>31</v>
      </c>
      <c r="H852" t="s">
        <v>133</v>
      </c>
      <c r="I852">
        <v>2</v>
      </c>
      <c r="J852" s="3">
        <v>45351</v>
      </c>
      <c r="K852" s="4">
        <v>15</v>
      </c>
      <c r="L852" s="3">
        <v>90702</v>
      </c>
      <c r="M852" s="3">
        <v>13605.3</v>
      </c>
      <c r="N852" s="3">
        <v>77096.7</v>
      </c>
      <c r="O852" s="3">
        <v>47639.360000000001</v>
      </c>
      <c r="P852" s="3">
        <v>29457.34</v>
      </c>
      <c r="Q852" t="s">
        <v>131</v>
      </c>
      <c r="R852">
        <v>2026</v>
      </c>
      <c r="S852">
        <v>3</v>
      </c>
    </row>
    <row r="853" spans="1:19" x14ac:dyDescent="0.3">
      <c r="A853" t="s">
        <v>912</v>
      </c>
      <c r="B853" s="2">
        <v>46096</v>
      </c>
      <c r="C853" t="s">
        <v>64</v>
      </c>
      <c r="D853" t="s">
        <v>29</v>
      </c>
      <c r="E853" t="s">
        <v>44</v>
      </c>
      <c r="F853" t="s">
        <v>40</v>
      </c>
      <c r="G853" t="s">
        <v>24</v>
      </c>
      <c r="H853" t="s">
        <v>25</v>
      </c>
      <c r="I853">
        <v>1</v>
      </c>
      <c r="J853" s="3">
        <v>31634</v>
      </c>
      <c r="K853" s="4">
        <v>0</v>
      </c>
      <c r="L853" s="3">
        <v>31634</v>
      </c>
      <c r="M853" s="3">
        <v>0</v>
      </c>
      <c r="N853" s="3">
        <v>31634</v>
      </c>
      <c r="O853" s="3">
        <v>16199.1</v>
      </c>
      <c r="P853" s="3">
        <v>15434.9</v>
      </c>
      <c r="Q853" t="s">
        <v>131</v>
      </c>
      <c r="R853">
        <v>2026</v>
      </c>
      <c r="S853">
        <v>3</v>
      </c>
    </row>
    <row r="854" spans="1:19" x14ac:dyDescent="0.3">
      <c r="A854" t="s">
        <v>913</v>
      </c>
      <c r="B854" s="2">
        <v>46096</v>
      </c>
      <c r="C854" t="s">
        <v>82</v>
      </c>
      <c r="D854" t="s">
        <v>21</v>
      </c>
      <c r="E854" t="s">
        <v>44</v>
      </c>
      <c r="F854" t="s">
        <v>23</v>
      </c>
      <c r="G854" t="s">
        <v>31</v>
      </c>
      <c r="H854" t="s">
        <v>133</v>
      </c>
      <c r="I854">
        <v>2</v>
      </c>
      <c r="J854" s="3">
        <v>45857</v>
      </c>
      <c r="K854" s="4">
        <v>5</v>
      </c>
      <c r="L854" s="3">
        <v>91714</v>
      </c>
      <c r="M854" s="3">
        <v>4585.7</v>
      </c>
      <c r="N854" s="3">
        <v>87128.3</v>
      </c>
      <c r="O854" s="3">
        <v>53604.51</v>
      </c>
      <c r="P854" s="3">
        <v>33523.79</v>
      </c>
      <c r="Q854" t="s">
        <v>131</v>
      </c>
      <c r="R854">
        <v>2026</v>
      </c>
      <c r="S854">
        <v>3</v>
      </c>
    </row>
    <row r="855" spans="1:19" x14ac:dyDescent="0.3">
      <c r="A855" t="s">
        <v>914</v>
      </c>
      <c r="B855" s="2">
        <v>46097</v>
      </c>
      <c r="C855" t="s">
        <v>82</v>
      </c>
      <c r="D855" t="s">
        <v>21</v>
      </c>
      <c r="E855" t="s">
        <v>56</v>
      </c>
      <c r="F855" t="s">
        <v>35</v>
      </c>
      <c r="G855" t="s">
        <v>31</v>
      </c>
      <c r="H855" t="s">
        <v>25</v>
      </c>
      <c r="I855">
        <v>3</v>
      </c>
      <c r="J855" s="3">
        <v>43441</v>
      </c>
      <c r="K855" s="4">
        <v>0</v>
      </c>
      <c r="L855" s="3">
        <v>130323</v>
      </c>
      <c r="M855" s="3">
        <v>0</v>
      </c>
      <c r="N855" s="3">
        <v>130323</v>
      </c>
      <c r="O855" s="3">
        <v>75125.77</v>
      </c>
      <c r="P855" s="3">
        <v>55197.23</v>
      </c>
      <c r="Q855" t="s">
        <v>131</v>
      </c>
      <c r="R855">
        <v>2026</v>
      </c>
      <c r="S855">
        <v>3</v>
      </c>
    </row>
    <row r="856" spans="1:19" x14ac:dyDescent="0.3">
      <c r="A856" t="s">
        <v>915</v>
      </c>
      <c r="B856" s="2">
        <v>46097</v>
      </c>
      <c r="C856" t="s">
        <v>28</v>
      </c>
      <c r="D856" t="s">
        <v>29</v>
      </c>
      <c r="E856" t="s">
        <v>42</v>
      </c>
      <c r="F856" t="s">
        <v>37</v>
      </c>
      <c r="G856" t="s">
        <v>31</v>
      </c>
      <c r="H856" t="s">
        <v>133</v>
      </c>
      <c r="I856">
        <v>3</v>
      </c>
      <c r="J856" s="3">
        <v>69283</v>
      </c>
      <c r="K856" s="4">
        <v>10</v>
      </c>
      <c r="L856" s="3">
        <v>207849</v>
      </c>
      <c r="M856" s="3">
        <v>20784.900000000001</v>
      </c>
      <c r="N856" s="3">
        <v>187064.1</v>
      </c>
      <c r="O856" s="3">
        <v>107477.01</v>
      </c>
      <c r="P856" s="3">
        <v>79587.09</v>
      </c>
      <c r="Q856" t="s">
        <v>131</v>
      </c>
      <c r="R856">
        <v>2026</v>
      </c>
      <c r="S856">
        <v>3</v>
      </c>
    </row>
    <row r="857" spans="1:19" x14ac:dyDescent="0.3">
      <c r="A857" t="s">
        <v>916</v>
      </c>
      <c r="B857" s="2">
        <v>46097</v>
      </c>
      <c r="C857" t="s">
        <v>75</v>
      </c>
      <c r="D857" t="s">
        <v>34</v>
      </c>
      <c r="E857" t="s">
        <v>44</v>
      </c>
      <c r="F857" t="s">
        <v>40</v>
      </c>
      <c r="G857" t="s">
        <v>31</v>
      </c>
      <c r="H857" t="s">
        <v>25</v>
      </c>
      <c r="I857">
        <v>4</v>
      </c>
      <c r="J857" s="3">
        <v>36947</v>
      </c>
      <c r="K857" s="4">
        <v>0</v>
      </c>
      <c r="L857" s="3">
        <v>147788</v>
      </c>
      <c r="M857" s="3">
        <v>0</v>
      </c>
      <c r="N857" s="3">
        <v>147788</v>
      </c>
      <c r="O857" s="3">
        <v>98440.07</v>
      </c>
      <c r="P857" s="3">
        <v>49347.93</v>
      </c>
      <c r="Q857" t="s">
        <v>131</v>
      </c>
      <c r="R857">
        <v>2026</v>
      </c>
      <c r="S857">
        <v>3</v>
      </c>
    </row>
    <row r="858" spans="1:19" x14ac:dyDescent="0.3">
      <c r="A858" t="s">
        <v>917</v>
      </c>
      <c r="B858" s="2">
        <v>46097</v>
      </c>
      <c r="C858" t="s">
        <v>71</v>
      </c>
      <c r="D858" t="s">
        <v>34</v>
      </c>
      <c r="E858" t="s">
        <v>56</v>
      </c>
      <c r="F858" t="s">
        <v>23</v>
      </c>
      <c r="G858" t="s">
        <v>31</v>
      </c>
      <c r="H858" t="s">
        <v>25</v>
      </c>
      <c r="I858">
        <v>5</v>
      </c>
      <c r="J858" s="3">
        <v>52730</v>
      </c>
      <c r="K858" s="4">
        <v>0</v>
      </c>
      <c r="L858" s="3">
        <v>263650</v>
      </c>
      <c r="M858" s="3">
        <v>0</v>
      </c>
      <c r="N858" s="3">
        <v>263650</v>
      </c>
      <c r="O858" s="3">
        <v>167041.31</v>
      </c>
      <c r="P858" s="3">
        <v>96608.69</v>
      </c>
      <c r="Q858" t="s">
        <v>131</v>
      </c>
      <c r="R858">
        <v>2026</v>
      </c>
      <c r="S858">
        <v>3</v>
      </c>
    </row>
    <row r="859" spans="1:19" x14ac:dyDescent="0.3">
      <c r="A859" t="s">
        <v>918</v>
      </c>
      <c r="B859" s="2">
        <v>46098</v>
      </c>
      <c r="C859" t="s">
        <v>20</v>
      </c>
      <c r="D859" t="s">
        <v>21</v>
      </c>
      <c r="E859" t="s">
        <v>44</v>
      </c>
      <c r="F859" t="s">
        <v>37</v>
      </c>
      <c r="G859" t="s">
        <v>31</v>
      </c>
      <c r="H859" t="s">
        <v>25</v>
      </c>
      <c r="I859">
        <v>4</v>
      </c>
      <c r="J859" s="3">
        <v>15527</v>
      </c>
      <c r="K859" s="4">
        <v>0</v>
      </c>
      <c r="L859" s="3">
        <v>62108</v>
      </c>
      <c r="M859" s="3">
        <v>0</v>
      </c>
      <c r="N859" s="3">
        <v>62108</v>
      </c>
      <c r="O859" s="3">
        <v>31134.880000000001</v>
      </c>
      <c r="P859" s="3">
        <v>30973.119999999999</v>
      </c>
      <c r="Q859" t="s">
        <v>131</v>
      </c>
      <c r="R859">
        <v>2026</v>
      </c>
      <c r="S859">
        <v>3</v>
      </c>
    </row>
    <row r="860" spans="1:19" x14ac:dyDescent="0.3">
      <c r="A860" t="s">
        <v>919</v>
      </c>
      <c r="B860" s="2">
        <v>46098</v>
      </c>
      <c r="C860" t="s">
        <v>46</v>
      </c>
      <c r="D860" t="s">
        <v>21</v>
      </c>
      <c r="E860" t="s">
        <v>42</v>
      </c>
      <c r="F860" t="s">
        <v>30</v>
      </c>
      <c r="G860" t="s">
        <v>31</v>
      </c>
      <c r="H860" t="s">
        <v>133</v>
      </c>
      <c r="I860">
        <v>5</v>
      </c>
      <c r="J860" s="3">
        <v>12569</v>
      </c>
      <c r="K860" s="4">
        <v>10</v>
      </c>
      <c r="L860" s="3">
        <v>62845</v>
      </c>
      <c r="M860" s="3">
        <v>6284.5</v>
      </c>
      <c r="N860" s="3">
        <v>0</v>
      </c>
      <c r="O860" s="3">
        <v>37291.54</v>
      </c>
      <c r="P860" s="3">
        <v>0</v>
      </c>
      <c r="Q860" t="s">
        <v>131</v>
      </c>
      <c r="R860">
        <v>2026</v>
      </c>
      <c r="S860">
        <v>3</v>
      </c>
    </row>
    <row r="861" spans="1:19" x14ac:dyDescent="0.3">
      <c r="A861" t="s">
        <v>920</v>
      </c>
      <c r="B861" s="2">
        <v>46103</v>
      </c>
      <c r="C861" t="s">
        <v>50</v>
      </c>
      <c r="D861" t="s">
        <v>34</v>
      </c>
      <c r="E861" t="s">
        <v>22</v>
      </c>
      <c r="F861" t="s">
        <v>37</v>
      </c>
      <c r="G861" t="s">
        <v>31</v>
      </c>
      <c r="H861" t="s">
        <v>25</v>
      </c>
      <c r="I861">
        <v>2</v>
      </c>
      <c r="J861" s="3">
        <v>19278</v>
      </c>
      <c r="K861" s="4">
        <v>0</v>
      </c>
      <c r="L861" s="3">
        <v>38556</v>
      </c>
      <c r="M861" s="3">
        <v>0</v>
      </c>
      <c r="N861" s="3">
        <v>38556</v>
      </c>
      <c r="O861" s="3">
        <v>25062.73</v>
      </c>
      <c r="P861" s="3">
        <v>13493.27</v>
      </c>
      <c r="Q861" t="s">
        <v>131</v>
      </c>
      <c r="R861">
        <v>2026</v>
      </c>
      <c r="S861">
        <v>3</v>
      </c>
    </row>
    <row r="862" spans="1:19" x14ac:dyDescent="0.3">
      <c r="A862" t="s">
        <v>921</v>
      </c>
      <c r="B862" s="2">
        <v>46105</v>
      </c>
      <c r="C862" t="s">
        <v>46</v>
      </c>
      <c r="D862" t="s">
        <v>21</v>
      </c>
      <c r="E862" t="s">
        <v>42</v>
      </c>
      <c r="F862" t="s">
        <v>35</v>
      </c>
      <c r="G862" t="s">
        <v>31</v>
      </c>
      <c r="H862" t="s">
        <v>133</v>
      </c>
      <c r="I862">
        <v>2</v>
      </c>
      <c r="J862" s="3">
        <v>12223</v>
      </c>
      <c r="K862" s="4">
        <v>20</v>
      </c>
      <c r="L862" s="3">
        <v>24446</v>
      </c>
      <c r="M862" s="3">
        <v>4889.2</v>
      </c>
      <c r="N862" s="3">
        <v>19556.8</v>
      </c>
      <c r="O862" s="3">
        <v>16424.68</v>
      </c>
      <c r="P862" s="3">
        <v>3132.12</v>
      </c>
      <c r="Q862" t="s">
        <v>131</v>
      </c>
      <c r="R862">
        <v>2026</v>
      </c>
      <c r="S862">
        <v>3</v>
      </c>
    </row>
    <row r="863" spans="1:19" x14ac:dyDescent="0.3">
      <c r="A863" t="s">
        <v>922</v>
      </c>
      <c r="B863" s="2">
        <v>46105</v>
      </c>
      <c r="C863" t="s">
        <v>33</v>
      </c>
      <c r="D863" t="s">
        <v>34</v>
      </c>
      <c r="E863" t="s">
        <v>56</v>
      </c>
      <c r="F863" t="s">
        <v>40</v>
      </c>
      <c r="G863" t="s">
        <v>24</v>
      </c>
      <c r="H863" t="s">
        <v>25</v>
      </c>
      <c r="I863">
        <v>1</v>
      </c>
      <c r="J863" s="3">
        <v>42368</v>
      </c>
      <c r="K863" s="4">
        <v>0</v>
      </c>
      <c r="L863" s="3">
        <v>42368</v>
      </c>
      <c r="M863" s="3">
        <v>0</v>
      </c>
      <c r="N863" s="3">
        <v>42368</v>
      </c>
      <c r="O863" s="3">
        <v>20368.57</v>
      </c>
      <c r="P863" s="3">
        <v>21999.43</v>
      </c>
      <c r="Q863" t="s">
        <v>131</v>
      </c>
      <c r="R863">
        <v>2026</v>
      </c>
      <c r="S863">
        <v>3</v>
      </c>
    </row>
    <row r="864" spans="1:19" x14ac:dyDescent="0.3">
      <c r="A864" t="s">
        <v>923</v>
      </c>
      <c r="B864" s="2">
        <v>46105</v>
      </c>
      <c r="C864" t="s">
        <v>82</v>
      </c>
      <c r="D864" t="s">
        <v>21</v>
      </c>
      <c r="E864" t="s">
        <v>56</v>
      </c>
      <c r="F864" t="s">
        <v>37</v>
      </c>
      <c r="G864" t="s">
        <v>24</v>
      </c>
      <c r="H864" t="s">
        <v>25</v>
      </c>
      <c r="I864">
        <v>1</v>
      </c>
      <c r="J864" s="3">
        <v>44967</v>
      </c>
      <c r="K864" s="4">
        <v>0</v>
      </c>
      <c r="L864" s="3">
        <v>44967</v>
      </c>
      <c r="M864" s="3">
        <v>0</v>
      </c>
      <c r="N864" s="3">
        <v>44967</v>
      </c>
      <c r="O864" s="3">
        <v>24692.11</v>
      </c>
      <c r="P864" s="3">
        <v>20274.89</v>
      </c>
      <c r="Q864" t="s">
        <v>131</v>
      </c>
      <c r="R864">
        <v>2026</v>
      </c>
      <c r="S864">
        <v>3</v>
      </c>
    </row>
    <row r="865" spans="1:19" x14ac:dyDescent="0.3">
      <c r="A865" t="s">
        <v>924</v>
      </c>
      <c r="B865" s="2">
        <v>46106</v>
      </c>
      <c r="C865" t="s">
        <v>20</v>
      </c>
      <c r="D865" t="s">
        <v>21</v>
      </c>
      <c r="E865" t="s">
        <v>42</v>
      </c>
      <c r="F865" t="s">
        <v>35</v>
      </c>
      <c r="G865" t="s">
        <v>24</v>
      </c>
      <c r="H865" t="s">
        <v>133</v>
      </c>
      <c r="I865">
        <v>1</v>
      </c>
      <c r="J865" s="3">
        <v>14506</v>
      </c>
      <c r="K865" s="4">
        <v>15</v>
      </c>
      <c r="L865" s="3">
        <v>14506</v>
      </c>
      <c r="M865" s="3">
        <v>2175.9</v>
      </c>
      <c r="N865" s="3">
        <v>12330.1</v>
      </c>
      <c r="O865" s="3">
        <v>9166.1299999999992</v>
      </c>
      <c r="P865" s="3">
        <v>3163.97</v>
      </c>
      <c r="Q865" t="s">
        <v>131</v>
      </c>
      <c r="R865">
        <v>2026</v>
      </c>
      <c r="S865">
        <v>3</v>
      </c>
    </row>
    <row r="866" spans="1:19" x14ac:dyDescent="0.3">
      <c r="A866" t="s">
        <v>925</v>
      </c>
      <c r="B866" s="2">
        <v>46106</v>
      </c>
      <c r="C866" t="s">
        <v>28</v>
      </c>
      <c r="D866" t="s">
        <v>29</v>
      </c>
      <c r="E866" t="s">
        <v>44</v>
      </c>
      <c r="F866" t="s">
        <v>23</v>
      </c>
      <c r="G866" t="s">
        <v>24</v>
      </c>
      <c r="H866" t="s">
        <v>25</v>
      </c>
      <c r="I866">
        <v>2</v>
      </c>
      <c r="J866" s="3">
        <v>68652</v>
      </c>
      <c r="K866" s="4">
        <v>0</v>
      </c>
      <c r="L866" s="3">
        <v>137304</v>
      </c>
      <c r="M866" s="3">
        <v>0</v>
      </c>
      <c r="N866" s="3">
        <v>137304</v>
      </c>
      <c r="O866" s="3">
        <v>90544.94</v>
      </c>
      <c r="P866" s="3">
        <v>46759.06</v>
      </c>
      <c r="Q866" t="s">
        <v>131</v>
      </c>
      <c r="R866">
        <v>2026</v>
      </c>
      <c r="S866">
        <v>3</v>
      </c>
    </row>
    <row r="867" spans="1:19" x14ac:dyDescent="0.3">
      <c r="A867" t="s">
        <v>926</v>
      </c>
      <c r="B867" s="2">
        <v>46106</v>
      </c>
      <c r="C867" t="s">
        <v>82</v>
      </c>
      <c r="D867" t="s">
        <v>21</v>
      </c>
      <c r="E867" t="s">
        <v>44</v>
      </c>
      <c r="F867" t="s">
        <v>40</v>
      </c>
      <c r="G867" t="s">
        <v>24</v>
      </c>
      <c r="H867" t="s">
        <v>133</v>
      </c>
      <c r="I867">
        <v>2</v>
      </c>
      <c r="J867" s="3">
        <v>42614</v>
      </c>
      <c r="K867" s="4">
        <v>20</v>
      </c>
      <c r="L867" s="3">
        <v>85228</v>
      </c>
      <c r="M867" s="3">
        <v>17045.599999999999</v>
      </c>
      <c r="N867" s="3">
        <v>68182.399999999994</v>
      </c>
      <c r="O867" s="3">
        <v>48629.11</v>
      </c>
      <c r="P867" s="3">
        <v>19553.29</v>
      </c>
      <c r="Q867" t="s">
        <v>131</v>
      </c>
      <c r="R867">
        <v>2026</v>
      </c>
      <c r="S867">
        <v>3</v>
      </c>
    </row>
    <row r="868" spans="1:19" x14ac:dyDescent="0.3">
      <c r="A868" t="s">
        <v>927</v>
      </c>
      <c r="B868" s="2">
        <v>46106</v>
      </c>
      <c r="C868" t="s">
        <v>50</v>
      </c>
      <c r="D868" t="s">
        <v>34</v>
      </c>
      <c r="E868" t="s">
        <v>22</v>
      </c>
      <c r="F868" t="s">
        <v>35</v>
      </c>
      <c r="G868" t="s">
        <v>31</v>
      </c>
      <c r="H868" t="s">
        <v>25</v>
      </c>
      <c r="I868">
        <v>1</v>
      </c>
      <c r="J868" s="3">
        <v>18837</v>
      </c>
      <c r="K868" s="4">
        <v>0</v>
      </c>
      <c r="L868" s="3">
        <v>18837</v>
      </c>
      <c r="M868" s="3">
        <v>0</v>
      </c>
      <c r="N868" s="3">
        <v>18837</v>
      </c>
      <c r="O868" s="3">
        <v>11162.1</v>
      </c>
      <c r="P868" s="3">
        <v>7674.9</v>
      </c>
      <c r="Q868" t="s">
        <v>131</v>
      </c>
      <c r="R868">
        <v>2026</v>
      </c>
      <c r="S868">
        <v>3</v>
      </c>
    </row>
    <row r="869" spans="1:19" x14ac:dyDescent="0.3">
      <c r="A869" t="s">
        <v>928</v>
      </c>
      <c r="B869" s="2">
        <v>46107</v>
      </c>
      <c r="C869" t="s">
        <v>71</v>
      </c>
      <c r="D869" t="s">
        <v>34</v>
      </c>
      <c r="E869" t="s">
        <v>22</v>
      </c>
      <c r="F869" t="s">
        <v>40</v>
      </c>
      <c r="G869" t="s">
        <v>31</v>
      </c>
      <c r="H869" t="s">
        <v>25</v>
      </c>
      <c r="I869">
        <v>2</v>
      </c>
      <c r="J869" s="3">
        <v>51276</v>
      </c>
      <c r="K869" s="4">
        <v>0</v>
      </c>
      <c r="L869" s="3">
        <v>102552</v>
      </c>
      <c r="M869" s="3">
        <v>0</v>
      </c>
      <c r="N869" s="3">
        <v>102552</v>
      </c>
      <c r="O869" s="3">
        <v>54802.68</v>
      </c>
      <c r="P869" s="3">
        <v>47749.32</v>
      </c>
      <c r="Q869" t="s">
        <v>131</v>
      </c>
      <c r="R869">
        <v>2026</v>
      </c>
      <c r="S869">
        <v>3</v>
      </c>
    </row>
    <row r="870" spans="1:19" x14ac:dyDescent="0.3">
      <c r="A870" t="s">
        <v>929</v>
      </c>
      <c r="B870" s="2">
        <v>46107</v>
      </c>
      <c r="C870" t="s">
        <v>46</v>
      </c>
      <c r="D870" t="s">
        <v>21</v>
      </c>
      <c r="E870" t="s">
        <v>42</v>
      </c>
      <c r="F870" t="s">
        <v>23</v>
      </c>
      <c r="G870" t="s">
        <v>31</v>
      </c>
      <c r="H870" t="s">
        <v>133</v>
      </c>
      <c r="I870">
        <v>1</v>
      </c>
      <c r="J870" s="3">
        <v>12684</v>
      </c>
      <c r="K870" s="4">
        <v>20</v>
      </c>
      <c r="L870" s="3">
        <v>12684</v>
      </c>
      <c r="M870" s="3">
        <v>2536.8000000000002</v>
      </c>
      <c r="N870" s="3">
        <v>10147.200000000001</v>
      </c>
      <c r="O870" s="3">
        <v>7932.72</v>
      </c>
      <c r="P870" s="3">
        <v>2214.48</v>
      </c>
      <c r="Q870" t="s">
        <v>131</v>
      </c>
      <c r="R870">
        <v>2026</v>
      </c>
      <c r="S870">
        <v>3</v>
      </c>
    </row>
    <row r="871" spans="1:19" x14ac:dyDescent="0.3">
      <c r="A871" t="s">
        <v>930</v>
      </c>
      <c r="B871" s="2">
        <v>46107</v>
      </c>
      <c r="C871" t="s">
        <v>20</v>
      </c>
      <c r="D871" t="s">
        <v>21</v>
      </c>
      <c r="E871" t="s">
        <v>22</v>
      </c>
      <c r="F871" t="s">
        <v>37</v>
      </c>
      <c r="G871" t="s">
        <v>24</v>
      </c>
      <c r="H871" t="s">
        <v>25</v>
      </c>
      <c r="I871">
        <v>3</v>
      </c>
      <c r="J871" s="3">
        <v>15084</v>
      </c>
      <c r="K871" s="4">
        <v>0</v>
      </c>
      <c r="L871" s="3">
        <v>45252</v>
      </c>
      <c r="M871" s="3">
        <v>0</v>
      </c>
      <c r="N871" s="3">
        <v>45252</v>
      </c>
      <c r="O871" s="3">
        <v>28816.36</v>
      </c>
      <c r="P871" s="3">
        <v>16435.64</v>
      </c>
      <c r="Q871" t="s">
        <v>131</v>
      </c>
      <c r="R871">
        <v>2026</v>
      </c>
      <c r="S871">
        <v>3</v>
      </c>
    </row>
    <row r="872" spans="1:19" x14ac:dyDescent="0.3">
      <c r="A872" t="s">
        <v>931</v>
      </c>
      <c r="B872" s="2">
        <v>46107</v>
      </c>
      <c r="C872" t="s">
        <v>64</v>
      </c>
      <c r="D872" t="s">
        <v>29</v>
      </c>
      <c r="E872" t="s">
        <v>44</v>
      </c>
      <c r="F872" t="s">
        <v>40</v>
      </c>
      <c r="G872" t="s">
        <v>24</v>
      </c>
      <c r="H872" t="s">
        <v>25</v>
      </c>
      <c r="I872">
        <v>2</v>
      </c>
      <c r="J872" s="3">
        <v>29895</v>
      </c>
      <c r="K872" s="4">
        <v>0</v>
      </c>
      <c r="L872" s="3">
        <v>59790</v>
      </c>
      <c r="M872" s="3">
        <v>0</v>
      </c>
      <c r="N872" s="3">
        <v>59790</v>
      </c>
      <c r="O872" s="3">
        <v>31480.05</v>
      </c>
      <c r="P872" s="3">
        <v>28309.95</v>
      </c>
      <c r="Q872" t="s">
        <v>131</v>
      </c>
      <c r="R872">
        <v>2026</v>
      </c>
      <c r="S872">
        <v>3</v>
      </c>
    </row>
    <row r="873" spans="1:19" x14ac:dyDescent="0.3">
      <c r="A873" t="s">
        <v>932</v>
      </c>
      <c r="B873" s="2">
        <v>46108</v>
      </c>
      <c r="C873" t="s">
        <v>71</v>
      </c>
      <c r="D873" t="s">
        <v>34</v>
      </c>
      <c r="E873" t="s">
        <v>22</v>
      </c>
      <c r="F873" t="s">
        <v>40</v>
      </c>
      <c r="G873" t="s">
        <v>31</v>
      </c>
      <c r="H873" t="s">
        <v>133</v>
      </c>
      <c r="I873">
        <v>3</v>
      </c>
      <c r="J873" s="3">
        <v>52610</v>
      </c>
      <c r="K873" s="4">
        <v>20</v>
      </c>
      <c r="L873" s="3">
        <v>157830</v>
      </c>
      <c r="M873" s="3">
        <v>31566</v>
      </c>
      <c r="N873" s="3">
        <v>126264</v>
      </c>
      <c r="O873" s="3">
        <v>84358.44</v>
      </c>
      <c r="P873" s="3">
        <v>41905.56</v>
      </c>
      <c r="Q873" t="s">
        <v>131</v>
      </c>
      <c r="R873">
        <v>2026</v>
      </c>
      <c r="S873">
        <v>3</v>
      </c>
    </row>
    <row r="874" spans="1:19" x14ac:dyDescent="0.3">
      <c r="A874" t="s">
        <v>933</v>
      </c>
      <c r="B874" s="2">
        <v>46108</v>
      </c>
      <c r="C874" t="s">
        <v>33</v>
      </c>
      <c r="D874" t="s">
        <v>34</v>
      </c>
      <c r="E874" t="s">
        <v>44</v>
      </c>
      <c r="F874" t="s">
        <v>30</v>
      </c>
      <c r="G874" t="s">
        <v>31</v>
      </c>
      <c r="H874" t="s">
        <v>133</v>
      </c>
      <c r="I874">
        <v>1</v>
      </c>
      <c r="J874" s="3">
        <v>41089</v>
      </c>
      <c r="K874" s="4">
        <v>15</v>
      </c>
      <c r="L874" s="3">
        <v>41089</v>
      </c>
      <c r="M874" s="3">
        <v>6163.35</v>
      </c>
      <c r="N874" s="3">
        <v>34925.65</v>
      </c>
      <c r="O874" s="3">
        <v>20721.599999999999</v>
      </c>
      <c r="P874" s="3">
        <v>14204.05</v>
      </c>
      <c r="Q874" t="s">
        <v>131</v>
      </c>
      <c r="R874">
        <v>2026</v>
      </c>
      <c r="S874">
        <v>3</v>
      </c>
    </row>
    <row r="875" spans="1:19" x14ac:dyDescent="0.3">
      <c r="A875" t="s">
        <v>934</v>
      </c>
      <c r="B875" s="2">
        <v>46110</v>
      </c>
      <c r="C875" t="s">
        <v>71</v>
      </c>
      <c r="D875" t="s">
        <v>34</v>
      </c>
      <c r="E875" t="s">
        <v>22</v>
      </c>
      <c r="F875" t="s">
        <v>37</v>
      </c>
      <c r="G875" t="s">
        <v>24</v>
      </c>
      <c r="H875" t="s">
        <v>133</v>
      </c>
      <c r="I875">
        <v>2</v>
      </c>
      <c r="J875" s="3">
        <v>52004</v>
      </c>
      <c r="K875" s="4">
        <v>5</v>
      </c>
      <c r="L875" s="3">
        <v>104008</v>
      </c>
      <c r="M875" s="3">
        <v>5200.3999999999996</v>
      </c>
      <c r="N875" s="3">
        <v>98807.6</v>
      </c>
      <c r="O875" s="3">
        <v>64690.8</v>
      </c>
      <c r="P875" s="3">
        <v>34116.800000000003</v>
      </c>
      <c r="Q875" t="s">
        <v>131</v>
      </c>
      <c r="R875">
        <v>2026</v>
      </c>
      <c r="S875">
        <v>3</v>
      </c>
    </row>
    <row r="876" spans="1:19" x14ac:dyDescent="0.3">
      <c r="A876" t="s">
        <v>935</v>
      </c>
      <c r="B876" s="2">
        <v>46112</v>
      </c>
      <c r="C876" t="s">
        <v>46</v>
      </c>
      <c r="D876" t="s">
        <v>21</v>
      </c>
      <c r="E876" t="s">
        <v>22</v>
      </c>
      <c r="F876" t="s">
        <v>40</v>
      </c>
      <c r="G876" t="s">
        <v>31</v>
      </c>
      <c r="H876" t="s">
        <v>133</v>
      </c>
      <c r="I876">
        <v>2</v>
      </c>
      <c r="J876" s="3">
        <v>12437</v>
      </c>
      <c r="K876" s="4">
        <v>10</v>
      </c>
      <c r="L876" s="3">
        <v>24874</v>
      </c>
      <c r="M876" s="3">
        <v>2487.4</v>
      </c>
      <c r="N876" s="3">
        <v>22386.6</v>
      </c>
      <c r="O876" s="3">
        <v>13047.65</v>
      </c>
      <c r="P876" s="3">
        <v>9338.9500000000007</v>
      </c>
      <c r="Q876" t="s">
        <v>131</v>
      </c>
      <c r="R876">
        <v>2026</v>
      </c>
      <c r="S876">
        <v>3</v>
      </c>
    </row>
    <row r="877" spans="1:19" x14ac:dyDescent="0.3">
      <c r="A877" t="s">
        <v>936</v>
      </c>
      <c r="B877" s="2">
        <v>46112</v>
      </c>
      <c r="C877" t="s">
        <v>71</v>
      </c>
      <c r="D877" t="s">
        <v>34</v>
      </c>
      <c r="E877" t="s">
        <v>22</v>
      </c>
      <c r="F877" t="s">
        <v>23</v>
      </c>
      <c r="G877" t="s">
        <v>24</v>
      </c>
      <c r="H877" t="s">
        <v>25</v>
      </c>
      <c r="I877">
        <v>2</v>
      </c>
      <c r="J877" s="3">
        <v>46636</v>
      </c>
      <c r="K877" s="4">
        <v>0</v>
      </c>
      <c r="L877" s="3">
        <v>93272</v>
      </c>
      <c r="M877" s="3">
        <v>0</v>
      </c>
      <c r="N877" s="3">
        <v>93272</v>
      </c>
      <c r="O877" s="3">
        <v>47658.559999999998</v>
      </c>
      <c r="P877" s="3">
        <v>45613.440000000002</v>
      </c>
      <c r="Q877" t="s">
        <v>131</v>
      </c>
      <c r="R877">
        <v>2026</v>
      </c>
      <c r="S877">
        <v>3</v>
      </c>
    </row>
    <row r="878" spans="1:19" x14ac:dyDescent="0.3">
      <c r="A878" t="s">
        <v>937</v>
      </c>
      <c r="B878" s="2">
        <v>46113</v>
      </c>
      <c r="C878" t="s">
        <v>48</v>
      </c>
      <c r="D878" t="s">
        <v>34</v>
      </c>
      <c r="E878" t="s">
        <v>42</v>
      </c>
      <c r="F878" t="s">
        <v>23</v>
      </c>
      <c r="G878" t="s">
        <v>24</v>
      </c>
      <c r="H878" t="s">
        <v>133</v>
      </c>
      <c r="I878">
        <v>1</v>
      </c>
      <c r="J878" s="3">
        <v>25893</v>
      </c>
      <c r="K878" s="4">
        <v>10</v>
      </c>
      <c r="L878" s="3">
        <v>25893</v>
      </c>
      <c r="M878" s="3">
        <v>2589.3000000000002</v>
      </c>
      <c r="N878" s="3">
        <v>0</v>
      </c>
      <c r="O878" s="3">
        <v>15481.19</v>
      </c>
      <c r="P878" s="3">
        <v>0</v>
      </c>
      <c r="Q878" t="s">
        <v>165</v>
      </c>
      <c r="R878">
        <v>2026</v>
      </c>
      <c r="S878">
        <v>4</v>
      </c>
    </row>
    <row r="879" spans="1:19" x14ac:dyDescent="0.3">
      <c r="A879" t="s">
        <v>938</v>
      </c>
      <c r="B879" s="2">
        <v>46114</v>
      </c>
      <c r="C879" t="s">
        <v>20</v>
      </c>
      <c r="D879" t="s">
        <v>21</v>
      </c>
      <c r="E879" t="s">
        <v>44</v>
      </c>
      <c r="F879" t="s">
        <v>40</v>
      </c>
      <c r="G879" t="s">
        <v>24</v>
      </c>
      <c r="H879" t="s">
        <v>133</v>
      </c>
      <c r="I879">
        <v>1</v>
      </c>
      <c r="J879" s="3">
        <v>14567</v>
      </c>
      <c r="K879" s="4">
        <v>10</v>
      </c>
      <c r="L879" s="3">
        <v>14567</v>
      </c>
      <c r="M879" s="3">
        <v>1456.7</v>
      </c>
      <c r="N879" s="3">
        <v>13110.3</v>
      </c>
      <c r="O879" s="3">
        <v>7758.04</v>
      </c>
      <c r="P879" s="3">
        <v>5352.26</v>
      </c>
      <c r="Q879" t="s">
        <v>165</v>
      </c>
      <c r="R879">
        <v>2026</v>
      </c>
      <c r="S879">
        <v>4</v>
      </c>
    </row>
    <row r="880" spans="1:19" x14ac:dyDescent="0.3">
      <c r="A880" t="s">
        <v>939</v>
      </c>
      <c r="B880" s="2">
        <v>46114</v>
      </c>
      <c r="C880" t="s">
        <v>33</v>
      </c>
      <c r="D880" t="s">
        <v>34</v>
      </c>
      <c r="E880" t="s">
        <v>44</v>
      </c>
      <c r="F880" t="s">
        <v>40</v>
      </c>
      <c r="G880" t="s">
        <v>24</v>
      </c>
      <c r="H880" t="s">
        <v>25</v>
      </c>
      <c r="I880">
        <v>2</v>
      </c>
      <c r="J880" s="3">
        <v>39294</v>
      </c>
      <c r="K880" s="4">
        <v>0</v>
      </c>
      <c r="L880" s="3">
        <v>78588</v>
      </c>
      <c r="M880" s="3">
        <v>0</v>
      </c>
      <c r="N880" s="3">
        <v>78588</v>
      </c>
      <c r="O880" s="3">
        <v>47753.599999999999</v>
      </c>
      <c r="P880" s="3">
        <v>30834.400000000001</v>
      </c>
      <c r="Q880" t="s">
        <v>165</v>
      </c>
      <c r="R880">
        <v>2026</v>
      </c>
      <c r="S880">
        <v>4</v>
      </c>
    </row>
    <row r="881" spans="1:19" x14ac:dyDescent="0.3">
      <c r="A881" t="s">
        <v>940</v>
      </c>
      <c r="B881" s="2">
        <v>46114</v>
      </c>
      <c r="C881" t="s">
        <v>50</v>
      </c>
      <c r="D881" t="s">
        <v>34</v>
      </c>
      <c r="E881" t="s">
        <v>22</v>
      </c>
      <c r="F881" t="s">
        <v>40</v>
      </c>
      <c r="G881" t="s">
        <v>24</v>
      </c>
      <c r="H881" t="s">
        <v>25</v>
      </c>
      <c r="I881">
        <v>2</v>
      </c>
      <c r="J881" s="3">
        <v>18163</v>
      </c>
      <c r="K881" s="4">
        <v>0</v>
      </c>
      <c r="L881" s="3">
        <v>36326</v>
      </c>
      <c r="M881" s="3">
        <v>0</v>
      </c>
      <c r="N881" s="3">
        <v>36326</v>
      </c>
      <c r="O881" s="3">
        <v>24190.09</v>
      </c>
      <c r="P881" s="3">
        <v>12135.91</v>
      </c>
      <c r="Q881" t="s">
        <v>165</v>
      </c>
      <c r="R881">
        <v>2026</v>
      </c>
      <c r="S881">
        <v>4</v>
      </c>
    </row>
    <row r="882" spans="1:19" x14ac:dyDescent="0.3">
      <c r="A882" t="s">
        <v>941</v>
      </c>
      <c r="B882" s="2">
        <v>46114</v>
      </c>
      <c r="C882" t="s">
        <v>33</v>
      </c>
      <c r="D882" t="s">
        <v>34</v>
      </c>
      <c r="E882" t="s">
        <v>22</v>
      </c>
      <c r="F882" t="s">
        <v>35</v>
      </c>
      <c r="G882" t="s">
        <v>24</v>
      </c>
      <c r="H882" t="s">
        <v>25</v>
      </c>
      <c r="I882">
        <v>2</v>
      </c>
      <c r="J882" s="3">
        <v>40494</v>
      </c>
      <c r="K882" s="4">
        <v>0</v>
      </c>
      <c r="L882" s="3">
        <v>80988</v>
      </c>
      <c r="M882" s="3">
        <v>0</v>
      </c>
      <c r="N882" s="3">
        <v>80988</v>
      </c>
      <c r="O882" s="3">
        <v>42539.31</v>
      </c>
      <c r="P882" s="3">
        <v>38448.69</v>
      </c>
      <c r="Q882" t="s">
        <v>165</v>
      </c>
      <c r="R882">
        <v>2026</v>
      </c>
      <c r="S882">
        <v>4</v>
      </c>
    </row>
    <row r="883" spans="1:19" x14ac:dyDescent="0.3">
      <c r="A883" t="s">
        <v>942</v>
      </c>
      <c r="B883" s="2">
        <v>46115</v>
      </c>
      <c r="C883" t="s">
        <v>50</v>
      </c>
      <c r="D883" t="s">
        <v>34</v>
      </c>
      <c r="E883" t="s">
        <v>42</v>
      </c>
      <c r="F883" t="s">
        <v>37</v>
      </c>
      <c r="G883" t="s">
        <v>31</v>
      </c>
      <c r="H883" t="s">
        <v>25</v>
      </c>
      <c r="I883">
        <v>1</v>
      </c>
      <c r="J883" s="3">
        <v>17244</v>
      </c>
      <c r="K883" s="4">
        <v>0</v>
      </c>
      <c r="L883" s="3">
        <v>17244</v>
      </c>
      <c r="M883" s="3">
        <v>0</v>
      </c>
      <c r="N883" s="3">
        <v>17244</v>
      </c>
      <c r="O883" s="3">
        <v>9263.7900000000009</v>
      </c>
      <c r="P883" s="3">
        <v>7980.21</v>
      </c>
      <c r="Q883" t="s">
        <v>165</v>
      </c>
      <c r="R883">
        <v>2026</v>
      </c>
      <c r="S883">
        <v>4</v>
      </c>
    </row>
    <row r="884" spans="1:19" x14ac:dyDescent="0.3">
      <c r="A884" t="s">
        <v>943</v>
      </c>
      <c r="B884" s="2">
        <v>46115</v>
      </c>
      <c r="C884" t="s">
        <v>48</v>
      </c>
      <c r="D884" t="s">
        <v>34</v>
      </c>
      <c r="E884" t="s">
        <v>56</v>
      </c>
      <c r="F884" t="s">
        <v>37</v>
      </c>
      <c r="G884" t="s">
        <v>31</v>
      </c>
      <c r="H884" t="s">
        <v>25</v>
      </c>
      <c r="I884">
        <v>2</v>
      </c>
      <c r="J884" s="3">
        <v>23752</v>
      </c>
      <c r="K884" s="4">
        <v>0</v>
      </c>
      <c r="L884" s="3">
        <v>47504</v>
      </c>
      <c r="M884" s="3">
        <v>0</v>
      </c>
      <c r="N884" s="3">
        <v>47504</v>
      </c>
      <c r="O884" s="3">
        <v>23343.49</v>
      </c>
      <c r="P884" s="3">
        <v>24160.51</v>
      </c>
      <c r="Q884" t="s">
        <v>165</v>
      </c>
      <c r="R884">
        <v>2026</v>
      </c>
      <c r="S884">
        <v>4</v>
      </c>
    </row>
    <row r="885" spans="1:19" x14ac:dyDescent="0.3">
      <c r="A885" t="s">
        <v>944</v>
      </c>
      <c r="B885" s="2">
        <v>46116</v>
      </c>
      <c r="C885" t="s">
        <v>33</v>
      </c>
      <c r="D885" t="s">
        <v>34</v>
      </c>
      <c r="E885" t="s">
        <v>56</v>
      </c>
      <c r="F885" t="s">
        <v>30</v>
      </c>
      <c r="G885" t="s">
        <v>24</v>
      </c>
      <c r="H885" t="s">
        <v>25</v>
      </c>
      <c r="I885">
        <v>2</v>
      </c>
      <c r="J885" s="3">
        <v>38857</v>
      </c>
      <c r="K885" s="4">
        <v>0</v>
      </c>
      <c r="L885" s="3">
        <v>77714</v>
      </c>
      <c r="M885" s="3">
        <v>0</v>
      </c>
      <c r="N885" s="3">
        <v>77714</v>
      </c>
      <c r="O885" s="3">
        <v>45909.96</v>
      </c>
      <c r="P885" s="3">
        <v>31804.04</v>
      </c>
      <c r="Q885" t="s">
        <v>165</v>
      </c>
      <c r="R885">
        <v>2026</v>
      </c>
      <c r="S885">
        <v>4</v>
      </c>
    </row>
    <row r="886" spans="1:19" x14ac:dyDescent="0.3">
      <c r="A886" t="s">
        <v>945</v>
      </c>
      <c r="B886" s="2">
        <v>46116</v>
      </c>
      <c r="C886" t="s">
        <v>75</v>
      </c>
      <c r="D886" t="s">
        <v>34</v>
      </c>
      <c r="E886" t="s">
        <v>44</v>
      </c>
      <c r="F886" t="s">
        <v>37</v>
      </c>
      <c r="G886" t="s">
        <v>24</v>
      </c>
      <c r="H886" t="s">
        <v>133</v>
      </c>
      <c r="I886">
        <v>1</v>
      </c>
      <c r="J886" s="3">
        <v>37977</v>
      </c>
      <c r="K886" s="4">
        <v>5</v>
      </c>
      <c r="L886" s="3">
        <v>37977</v>
      </c>
      <c r="M886" s="3">
        <v>1898.85</v>
      </c>
      <c r="N886" s="3">
        <v>36078.15</v>
      </c>
      <c r="O886" s="3">
        <v>20771.41</v>
      </c>
      <c r="P886" s="3">
        <v>15306.74</v>
      </c>
      <c r="Q886" t="s">
        <v>165</v>
      </c>
      <c r="R886">
        <v>2026</v>
      </c>
      <c r="S886">
        <v>4</v>
      </c>
    </row>
    <row r="887" spans="1:19" x14ac:dyDescent="0.3">
      <c r="A887" t="s">
        <v>946</v>
      </c>
      <c r="B887" s="2">
        <v>46117</v>
      </c>
      <c r="C887" t="s">
        <v>82</v>
      </c>
      <c r="D887" t="s">
        <v>21</v>
      </c>
      <c r="E887" t="s">
        <v>22</v>
      </c>
      <c r="F887" t="s">
        <v>23</v>
      </c>
      <c r="G887" t="s">
        <v>24</v>
      </c>
      <c r="H887" t="s">
        <v>25</v>
      </c>
      <c r="I887">
        <v>2</v>
      </c>
      <c r="J887" s="3">
        <v>46446</v>
      </c>
      <c r="K887" s="4">
        <v>0</v>
      </c>
      <c r="L887" s="3">
        <v>92892</v>
      </c>
      <c r="M887" s="3">
        <v>0</v>
      </c>
      <c r="N887" s="3">
        <v>92892</v>
      </c>
      <c r="O887" s="3">
        <v>52896.44</v>
      </c>
      <c r="P887" s="3">
        <v>39995.56</v>
      </c>
      <c r="Q887" t="s">
        <v>165</v>
      </c>
      <c r="R887">
        <v>2026</v>
      </c>
      <c r="S887">
        <v>4</v>
      </c>
    </row>
    <row r="888" spans="1:19" x14ac:dyDescent="0.3">
      <c r="A888" t="s">
        <v>947</v>
      </c>
      <c r="B888" s="2">
        <v>46118</v>
      </c>
      <c r="C888" t="s">
        <v>64</v>
      </c>
      <c r="D888" t="s">
        <v>29</v>
      </c>
      <c r="E888" t="s">
        <v>42</v>
      </c>
      <c r="F888" t="s">
        <v>40</v>
      </c>
      <c r="G888" t="s">
        <v>24</v>
      </c>
      <c r="H888" t="s">
        <v>133</v>
      </c>
      <c r="I888">
        <v>1</v>
      </c>
      <c r="J888" s="3">
        <v>29532</v>
      </c>
      <c r="K888" s="4">
        <v>15</v>
      </c>
      <c r="L888" s="3">
        <v>29532</v>
      </c>
      <c r="M888" s="3">
        <v>4429.8</v>
      </c>
      <c r="N888" s="3">
        <v>25102.2</v>
      </c>
      <c r="O888" s="3">
        <v>18016.03</v>
      </c>
      <c r="P888" s="3">
        <v>7086.17</v>
      </c>
      <c r="Q888" t="s">
        <v>165</v>
      </c>
      <c r="R888">
        <v>2026</v>
      </c>
      <c r="S888">
        <v>4</v>
      </c>
    </row>
    <row r="889" spans="1:19" x14ac:dyDescent="0.3">
      <c r="A889" t="s">
        <v>948</v>
      </c>
      <c r="B889" s="2">
        <v>46118</v>
      </c>
      <c r="C889" t="s">
        <v>75</v>
      </c>
      <c r="D889" t="s">
        <v>34</v>
      </c>
      <c r="E889" t="s">
        <v>44</v>
      </c>
      <c r="F889" t="s">
        <v>37</v>
      </c>
      <c r="G889" t="s">
        <v>31</v>
      </c>
      <c r="H889" t="s">
        <v>133</v>
      </c>
      <c r="I889">
        <v>1</v>
      </c>
      <c r="J889" s="3">
        <v>37086</v>
      </c>
      <c r="K889" s="4">
        <v>15</v>
      </c>
      <c r="L889" s="3">
        <v>37086</v>
      </c>
      <c r="M889" s="3">
        <v>5562.9</v>
      </c>
      <c r="N889" s="3">
        <v>31523.1</v>
      </c>
      <c r="O889" s="3">
        <v>22237.81</v>
      </c>
      <c r="P889" s="3">
        <v>9285.2900000000009</v>
      </c>
      <c r="Q889" t="s">
        <v>165</v>
      </c>
      <c r="R889">
        <v>2026</v>
      </c>
      <c r="S889">
        <v>4</v>
      </c>
    </row>
    <row r="890" spans="1:19" x14ac:dyDescent="0.3">
      <c r="A890" t="s">
        <v>949</v>
      </c>
      <c r="B890" s="2">
        <v>46119</v>
      </c>
      <c r="C890" t="s">
        <v>64</v>
      </c>
      <c r="D890" t="s">
        <v>29</v>
      </c>
      <c r="E890" t="s">
        <v>42</v>
      </c>
      <c r="F890" t="s">
        <v>40</v>
      </c>
      <c r="G890" t="s">
        <v>31</v>
      </c>
      <c r="H890" t="s">
        <v>25</v>
      </c>
      <c r="I890">
        <v>1</v>
      </c>
      <c r="J890" s="3">
        <v>29744</v>
      </c>
      <c r="K890" s="4">
        <v>0</v>
      </c>
      <c r="L890" s="3">
        <v>29744</v>
      </c>
      <c r="M890" s="3">
        <v>0</v>
      </c>
      <c r="N890" s="3">
        <v>29744</v>
      </c>
      <c r="O890" s="3">
        <v>15744.44</v>
      </c>
      <c r="P890" s="3">
        <v>13999.56</v>
      </c>
      <c r="Q890" t="s">
        <v>165</v>
      </c>
      <c r="R890">
        <v>2026</v>
      </c>
      <c r="S890">
        <v>4</v>
      </c>
    </row>
    <row r="891" spans="1:19" x14ac:dyDescent="0.3">
      <c r="A891" t="s">
        <v>950</v>
      </c>
      <c r="B891" s="2">
        <v>46119</v>
      </c>
      <c r="C891" t="s">
        <v>48</v>
      </c>
      <c r="D891" t="s">
        <v>34</v>
      </c>
      <c r="E891" t="s">
        <v>22</v>
      </c>
      <c r="F891" t="s">
        <v>37</v>
      </c>
      <c r="G891" t="s">
        <v>24</v>
      </c>
      <c r="H891" t="s">
        <v>25</v>
      </c>
      <c r="I891">
        <v>3</v>
      </c>
      <c r="J891" s="3">
        <v>23165</v>
      </c>
      <c r="K891" s="4">
        <v>0</v>
      </c>
      <c r="L891" s="3">
        <v>69495</v>
      </c>
      <c r="M891" s="3">
        <v>0</v>
      </c>
      <c r="N891" s="3">
        <v>69495</v>
      </c>
      <c r="O891" s="3">
        <v>33840.120000000003</v>
      </c>
      <c r="P891" s="3">
        <v>35654.879999999997</v>
      </c>
      <c r="Q891" t="s">
        <v>165</v>
      </c>
      <c r="R891">
        <v>2026</v>
      </c>
      <c r="S891">
        <v>4</v>
      </c>
    </row>
    <row r="892" spans="1:19" x14ac:dyDescent="0.3">
      <c r="A892" t="s">
        <v>951</v>
      </c>
      <c r="B892" s="2">
        <v>46120</v>
      </c>
      <c r="C892" t="s">
        <v>82</v>
      </c>
      <c r="D892" t="s">
        <v>21</v>
      </c>
      <c r="E892" t="s">
        <v>44</v>
      </c>
      <c r="F892" t="s">
        <v>40</v>
      </c>
      <c r="G892" t="s">
        <v>31</v>
      </c>
      <c r="H892" t="s">
        <v>25</v>
      </c>
      <c r="I892">
        <v>1</v>
      </c>
      <c r="J892" s="3">
        <v>46622</v>
      </c>
      <c r="K892" s="4">
        <v>0</v>
      </c>
      <c r="L892" s="3">
        <v>46622</v>
      </c>
      <c r="M892" s="3">
        <v>0</v>
      </c>
      <c r="N892" s="3">
        <v>46622</v>
      </c>
      <c r="O892" s="3">
        <v>31464.62</v>
      </c>
      <c r="P892" s="3">
        <v>15157.38</v>
      </c>
      <c r="Q892" t="s">
        <v>165</v>
      </c>
      <c r="R892">
        <v>2026</v>
      </c>
      <c r="S892">
        <v>4</v>
      </c>
    </row>
    <row r="893" spans="1:19" x14ac:dyDescent="0.3">
      <c r="A893" t="s">
        <v>952</v>
      </c>
      <c r="B893" s="2">
        <v>46122</v>
      </c>
      <c r="C893" t="s">
        <v>75</v>
      </c>
      <c r="D893" t="s">
        <v>34</v>
      </c>
      <c r="E893" t="s">
        <v>42</v>
      </c>
      <c r="F893" t="s">
        <v>30</v>
      </c>
      <c r="G893" t="s">
        <v>31</v>
      </c>
      <c r="H893" t="s">
        <v>25</v>
      </c>
      <c r="I893">
        <v>3</v>
      </c>
      <c r="J893" s="3">
        <v>40988</v>
      </c>
      <c r="K893" s="4">
        <v>0</v>
      </c>
      <c r="L893" s="3">
        <v>122964</v>
      </c>
      <c r="M893" s="3">
        <v>0</v>
      </c>
      <c r="N893" s="3">
        <v>122964</v>
      </c>
      <c r="O893" s="3">
        <v>76489.59</v>
      </c>
      <c r="P893" s="3">
        <v>46474.41</v>
      </c>
      <c r="Q893" t="s">
        <v>165</v>
      </c>
      <c r="R893">
        <v>2026</v>
      </c>
      <c r="S893">
        <v>4</v>
      </c>
    </row>
    <row r="894" spans="1:19" x14ac:dyDescent="0.3">
      <c r="A894" t="s">
        <v>953</v>
      </c>
      <c r="B894" s="2">
        <v>46122</v>
      </c>
      <c r="C894" t="s">
        <v>48</v>
      </c>
      <c r="D894" t="s">
        <v>34</v>
      </c>
      <c r="E894" t="s">
        <v>44</v>
      </c>
      <c r="F894" t="s">
        <v>35</v>
      </c>
      <c r="G894" t="s">
        <v>31</v>
      </c>
      <c r="H894" t="s">
        <v>133</v>
      </c>
      <c r="I894">
        <v>5</v>
      </c>
      <c r="J894" s="3">
        <v>26699</v>
      </c>
      <c r="K894" s="4">
        <v>20</v>
      </c>
      <c r="L894" s="3">
        <v>133495</v>
      </c>
      <c r="M894" s="3">
        <v>26699</v>
      </c>
      <c r="N894" s="3">
        <v>106796</v>
      </c>
      <c r="O894" s="3">
        <v>72775.59</v>
      </c>
      <c r="P894" s="3">
        <v>34020.410000000003</v>
      </c>
      <c r="Q894" t="s">
        <v>165</v>
      </c>
      <c r="R894">
        <v>2026</v>
      </c>
      <c r="S894">
        <v>4</v>
      </c>
    </row>
    <row r="895" spans="1:19" x14ac:dyDescent="0.3">
      <c r="A895" t="s">
        <v>954</v>
      </c>
      <c r="B895" s="2">
        <v>46122</v>
      </c>
      <c r="C895" t="s">
        <v>28</v>
      </c>
      <c r="D895" t="s">
        <v>29</v>
      </c>
      <c r="E895" t="s">
        <v>42</v>
      </c>
      <c r="F895" t="s">
        <v>37</v>
      </c>
      <c r="G895" t="s">
        <v>24</v>
      </c>
      <c r="H895" t="s">
        <v>25</v>
      </c>
      <c r="I895">
        <v>1</v>
      </c>
      <c r="J895" s="3">
        <v>63156</v>
      </c>
      <c r="K895" s="4">
        <v>15</v>
      </c>
      <c r="L895" s="3">
        <v>63156</v>
      </c>
      <c r="M895" s="3">
        <v>9473.4</v>
      </c>
      <c r="N895" s="3">
        <v>53682.6</v>
      </c>
      <c r="O895" s="3">
        <v>32187.040000000001</v>
      </c>
      <c r="P895" s="3">
        <v>21495.56</v>
      </c>
      <c r="Q895" t="s">
        <v>165</v>
      </c>
      <c r="R895">
        <v>2026</v>
      </c>
      <c r="S895">
        <v>4</v>
      </c>
    </row>
    <row r="896" spans="1:19" x14ac:dyDescent="0.3">
      <c r="A896" t="s">
        <v>955</v>
      </c>
      <c r="B896" s="2">
        <v>46123</v>
      </c>
      <c r="C896" t="s">
        <v>28</v>
      </c>
      <c r="D896" t="s">
        <v>29</v>
      </c>
      <c r="E896" t="s">
        <v>42</v>
      </c>
      <c r="F896" t="s">
        <v>40</v>
      </c>
      <c r="G896" t="s">
        <v>24</v>
      </c>
      <c r="H896" t="s">
        <v>25</v>
      </c>
      <c r="I896">
        <v>2</v>
      </c>
      <c r="J896" s="3">
        <v>66934</v>
      </c>
      <c r="K896" s="4">
        <v>0</v>
      </c>
      <c r="L896" s="3">
        <v>133868</v>
      </c>
      <c r="M896" s="3">
        <v>0</v>
      </c>
      <c r="N896" s="3">
        <v>0</v>
      </c>
      <c r="O896" s="3">
        <v>72908.009999999995</v>
      </c>
      <c r="P896" s="3">
        <v>0</v>
      </c>
      <c r="Q896" t="s">
        <v>165</v>
      </c>
      <c r="R896">
        <v>2026</v>
      </c>
      <c r="S896">
        <v>4</v>
      </c>
    </row>
    <row r="897" spans="1:19" x14ac:dyDescent="0.3">
      <c r="A897" t="s">
        <v>956</v>
      </c>
      <c r="B897" s="2">
        <v>46124</v>
      </c>
      <c r="C897" t="s">
        <v>50</v>
      </c>
      <c r="D897" t="s">
        <v>34</v>
      </c>
      <c r="E897" t="s">
        <v>22</v>
      </c>
      <c r="F897" t="s">
        <v>37</v>
      </c>
      <c r="G897" t="s">
        <v>31</v>
      </c>
      <c r="H897" t="s">
        <v>133</v>
      </c>
      <c r="I897">
        <v>5</v>
      </c>
      <c r="J897" s="3">
        <v>19133</v>
      </c>
      <c r="K897" s="4">
        <v>15</v>
      </c>
      <c r="L897" s="3">
        <v>95665</v>
      </c>
      <c r="M897" s="3">
        <v>14349.75</v>
      </c>
      <c r="N897" s="3">
        <v>81315.25</v>
      </c>
      <c r="O897" s="3">
        <v>47890.7</v>
      </c>
      <c r="P897" s="3">
        <v>33424.550000000003</v>
      </c>
      <c r="Q897" t="s">
        <v>165</v>
      </c>
      <c r="R897">
        <v>2026</v>
      </c>
      <c r="S897">
        <v>4</v>
      </c>
    </row>
    <row r="898" spans="1:19" x14ac:dyDescent="0.3">
      <c r="A898" t="s">
        <v>957</v>
      </c>
      <c r="B898" s="2">
        <v>46125</v>
      </c>
      <c r="C898" t="s">
        <v>33</v>
      </c>
      <c r="D898" t="s">
        <v>34</v>
      </c>
      <c r="E898" t="s">
        <v>42</v>
      </c>
      <c r="F898" t="s">
        <v>37</v>
      </c>
      <c r="G898" t="s">
        <v>24</v>
      </c>
      <c r="H898" t="s">
        <v>25</v>
      </c>
      <c r="I898">
        <v>2</v>
      </c>
      <c r="J898" s="3">
        <v>40678</v>
      </c>
      <c r="K898" s="4">
        <v>0</v>
      </c>
      <c r="L898" s="3">
        <v>81356</v>
      </c>
      <c r="M898" s="3">
        <v>0</v>
      </c>
      <c r="N898" s="3">
        <v>81356</v>
      </c>
      <c r="O898" s="3">
        <v>40981.360000000001</v>
      </c>
      <c r="P898" s="3">
        <v>40374.639999999999</v>
      </c>
      <c r="Q898" t="s">
        <v>165</v>
      </c>
      <c r="R898">
        <v>2026</v>
      </c>
      <c r="S898">
        <v>4</v>
      </c>
    </row>
    <row r="899" spans="1:19" x14ac:dyDescent="0.3">
      <c r="A899" t="s">
        <v>958</v>
      </c>
      <c r="B899" s="2">
        <v>46127</v>
      </c>
      <c r="C899" t="s">
        <v>82</v>
      </c>
      <c r="D899" t="s">
        <v>21</v>
      </c>
      <c r="E899" t="s">
        <v>56</v>
      </c>
      <c r="F899" t="s">
        <v>40</v>
      </c>
      <c r="G899" t="s">
        <v>24</v>
      </c>
      <c r="H899" t="s">
        <v>25</v>
      </c>
      <c r="I899">
        <v>2</v>
      </c>
      <c r="J899" s="3">
        <v>46064</v>
      </c>
      <c r="K899" s="4">
        <v>0</v>
      </c>
      <c r="L899" s="3">
        <v>92128</v>
      </c>
      <c r="M899" s="3">
        <v>0</v>
      </c>
      <c r="N899" s="3">
        <v>92128</v>
      </c>
      <c r="O899" s="3">
        <v>60595.519999999997</v>
      </c>
      <c r="P899" s="3">
        <v>31532.48</v>
      </c>
      <c r="Q899" t="s">
        <v>165</v>
      </c>
      <c r="R899">
        <v>2026</v>
      </c>
      <c r="S899">
        <v>4</v>
      </c>
    </row>
    <row r="900" spans="1:19" x14ac:dyDescent="0.3">
      <c r="A900" t="s">
        <v>959</v>
      </c>
      <c r="B900" s="2">
        <v>46127</v>
      </c>
      <c r="C900" t="s">
        <v>50</v>
      </c>
      <c r="D900" t="s">
        <v>34</v>
      </c>
      <c r="E900" t="s">
        <v>56</v>
      </c>
      <c r="F900" t="s">
        <v>40</v>
      </c>
      <c r="G900" t="s">
        <v>24</v>
      </c>
      <c r="H900" t="s">
        <v>133</v>
      </c>
      <c r="I900">
        <v>4</v>
      </c>
      <c r="J900" s="3">
        <v>17808</v>
      </c>
      <c r="K900" s="4">
        <v>5</v>
      </c>
      <c r="L900" s="3">
        <v>71232</v>
      </c>
      <c r="M900" s="3">
        <v>3561.6</v>
      </c>
      <c r="N900" s="3">
        <v>67670.399999999994</v>
      </c>
      <c r="O900" s="3">
        <v>47555.25</v>
      </c>
      <c r="P900" s="3">
        <v>20115.150000000001</v>
      </c>
      <c r="Q900" t="s">
        <v>165</v>
      </c>
      <c r="R900">
        <v>2026</v>
      </c>
      <c r="S900">
        <v>4</v>
      </c>
    </row>
    <row r="901" spans="1:19" x14ac:dyDescent="0.3">
      <c r="A901" t="s">
        <v>960</v>
      </c>
      <c r="B901" s="2">
        <v>46129</v>
      </c>
      <c r="C901" t="s">
        <v>28</v>
      </c>
      <c r="D901" t="s">
        <v>29</v>
      </c>
      <c r="E901" t="s">
        <v>22</v>
      </c>
      <c r="F901" t="s">
        <v>37</v>
      </c>
      <c r="G901" t="s">
        <v>24</v>
      </c>
      <c r="H901" t="s">
        <v>25</v>
      </c>
      <c r="I901">
        <v>2</v>
      </c>
      <c r="J901" s="3">
        <v>68885</v>
      </c>
      <c r="K901" s="4">
        <v>0</v>
      </c>
      <c r="L901" s="3">
        <v>137770</v>
      </c>
      <c r="M901" s="3">
        <v>0</v>
      </c>
      <c r="N901" s="3">
        <v>137770</v>
      </c>
      <c r="O901" s="3">
        <v>77502.87</v>
      </c>
      <c r="P901" s="3">
        <v>60267.13</v>
      </c>
      <c r="Q901" t="s">
        <v>165</v>
      </c>
      <c r="R901">
        <v>2026</v>
      </c>
      <c r="S901">
        <v>4</v>
      </c>
    </row>
    <row r="902" spans="1:19" x14ac:dyDescent="0.3">
      <c r="A902" t="s">
        <v>961</v>
      </c>
      <c r="B902" s="2">
        <v>46129</v>
      </c>
      <c r="C902" t="s">
        <v>82</v>
      </c>
      <c r="D902" t="s">
        <v>21</v>
      </c>
      <c r="E902" t="s">
        <v>42</v>
      </c>
      <c r="F902" t="s">
        <v>30</v>
      </c>
      <c r="G902" t="s">
        <v>31</v>
      </c>
      <c r="H902" t="s">
        <v>25</v>
      </c>
      <c r="I902">
        <v>2</v>
      </c>
      <c r="J902" s="3">
        <v>42266</v>
      </c>
      <c r="K902" s="4">
        <v>0</v>
      </c>
      <c r="L902" s="3">
        <v>84532</v>
      </c>
      <c r="M902" s="3">
        <v>0</v>
      </c>
      <c r="N902" s="3">
        <v>84532</v>
      </c>
      <c r="O902" s="3">
        <v>43638.52</v>
      </c>
      <c r="P902" s="3">
        <v>40893.480000000003</v>
      </c>
      <c r="Q902" t="s">
        <v>165</v>
      </c>
      <c r="R902">
        <v>2026</v>
      </c>
      <c r="S902">
        <v>4</v>
      </c>
    </row>
    <row r="903" spans="1:19" x14ac:dyDescent="0.3">
      <c r="A903" t="s">
        <v>962</v>
      </c>
      <c r="B903" s="2">
        <v>46129</v>
      </c>
      <c r="C903" t="s">
        <v>82</v>
      </c>
      <c r="D903" t="s">
        <v>21</v>
      </c>
      <c r="E903" t="s">
        <v>42</v>
      </c>
      <c r="F903" t="s">
        <v>40</v>
      </c>
      <c r="G903" t="s">
        <v>24</v>
      </c>
      <c r="H903" t="s">
        <v>133</v>
      </c>
      <c r="I903">
        <v>3</v>
      </c>
      <c r="J903" s="3">
        <v>44337</v>
      </c>
      <c r="K903" s="4">
        <v>20</v>
      </c>
      <c r="L903" s="3">
        <v>133011</v>
      </c>
      <c r="M903" s="3">
        <v>26602.2</v>
      </c>
      <c r="N903" s="3">
        <v>106408.8</v>
      </c>
      <c r="O903" s="3">
        <v>77601.75</v>
      </c>
      <c r="P903" s="3">
        <v>28807.05</v>
      </c>
      <c r="Q903" t="s">
        <v>165</v>
      </c>
      <c r="R903">
        <v>2026</v>
      </c>
      <c r="S903">
        <v>4</v>
      </c>
    </row>
    <row r="904" spans="1:19" x14ac:dyDescent="0.3">
      <c r="A904" t="s">
        <v>963</v>
      </c>
      <c r="B904" s="2">
        <v>46132</v>
      </c>
      <c r="C904" t="s">
        <v>48</v>
      </c>
      <c r="D904" t="s">
        <v>34</v>
      </c>
      <c r="E904" t="s">
        <v>22</v>
      </c>
      <c r="F904" t="s">
        <v>30</v>
      </c>
      <c r="G904" t="s">
        <v>31</v>
      </c>
      <c r="H904" t="s">
        <v>133</v>
      </c>
      <c r="I904">
        <v>1</v>
      </c>
      <c r="J904" s="3">
        <v>26458</v>
      </c>
      <c r="K904" s="4">
        <v>15</v>
      </c>
      <c r="L904" s="3">
        <v>26458</v>
      </c>
      <c r="M904" s="3">
        <v>3968.7</v>
      </c>
      <c r="N904" s="3">
        <v>22489.3</v>
      </c>
      <c r="O904" s="3">
        <v>13298.37</v>
      </c>
      <c r="P904" s="3">
        <v>9190.93</v>
      </c>
      <c r="Q904" t="s">
        <v>165</v>
      </c>
      <c r="R904">
        <v>2026</v>
      </c>
      <c r="S904">
        <v>4</v>
      </c>
    </row>
    <row r="905" spans="1:19" x14ac:dyDescent="0.3">
      <c r="A905" t="s">
        <v>964</v>
      </c>
      <c r="B905" s="2">
        <v>46134</v>
      </c>
      <c r="C905" t="s">
        <v>82</v>
      </c>
      <c r="D905" t="s">
        <v>21</v>
      </c>
      <c r="E905" t="s">
        <v>22</v>
      </c>
      <c r="F905" t="s">
        <v>40</v>
      </c>
      <c r="G905" t="s">
        <v>31</v>
      </c>
      <c r="H905" t="s">
        <v>25</v>
      </c>
      <c r="I905">
        <v>2</v>
      </c>
      <c r="J905" s="3">
        <v>43692</v>
      </c>
      <c r="K905" s="4">
        <v>0</v>
      </c>
      <c r="L905" s="3">
        <v>87384</v>
      </c>
      <c r="M905" s="3">
        <v>0</v>
      </c>
      <c r="N905" s="3">
        <v>87384</v>
      </c>
      <c r="O905" s="3">
        <v>59258.81</v>
      </c>
      <c r="P905" s="3">
        <v>28125.19</v>
      </c>
      <c r="Q905" t="s">
        <v>165</v>
      </c>
      <c r="R905">
        <v>2026</v>
      </c>
      <c r="S905">
        <v>4</v>
      </c>
    </row>
    <row r="906" spans="1:19" x14ac:dyDescent="0.3">
      <c r="A906" t="s">
        <v>965</v>
      </c>
      <c r="B906" s="2">
        <v>46135</v>
      </c>
      <c r="C906" t="s">
        <v>71</v>
      </c>
      <c r="D906" t="s">
        <v>34</v>
      </c>
      <c r="E906" t="s">
        <v>44</v>
      </c>
      <c r="F906" t="s">
        <v>40</v>
      </c>
      <c r="G906" t="s">
        <v>24</v>
      </c>
      <c r="H906" t="s">
        <v>25</v>
      </c>
      <c r="I906">
        <v>4</v>
      </c>
      <c r="J906" s="3">
        <v>50371</v>
      </c>
      <c r="K906" s="4">
        <v>0</v>
      </c>
      <c r="L906" s="3">
        <v>201484</v>
      </c>
      <c r="M906" s="3">
        <v>0</v>
      </c>
      <c r="N906" s="3">
        <v>201484</v>
      </c>
      <c r="O906" s="3">
        <v>97005.39</v>
      </c>
      <c r="P906" s="3">
        <v>104478.61</v>
      </c>
      <c r="Q906" t="s">
        <v>165</v>
      </c>
      <c r="R906">
        <v>2026</v>
      </c>
      <c r="S906">
        <v>4</v>
      </c>
    </row>
    <row r="907" spans="1:19" x14ac:dyDescent="0.3">
      <c r="A907" t="s">
        <v>966</v>
      </c>
      <c r="B907" s="2">
        <v>46136</v>
      </c>
      <c r="C907" t="s">
        <v>50</v>
      </c>
      <c r="D907" t="s">
        <v>34</v>
      </c>
      <c r="E907" t="s">
        <v>44</v>
      </c>
      <c r="F907" t="s">
        <v>23</v>
      </c>
      <c r="G907" t="s">
        <v>31</v>
      </c>
      <c r="H907" t="s">
        <v>133</v>
      </c>
      <c r="I907">
        <v>2</v>
      </c>
      <c r="J907" s="3">
        <v>17239</v>
      </c>
      <c r="K907" s="4">
        <v>10</v>
      </c>
      <c r="L907" s="3">
        <v>34478</v>
      </c>
      <c r="M907" s="3">
        <v>3447.8</v>
      </c>
      <c r="N907" s="3">
        <v>31030.2</v>
      </c>
      <c r="O907" s="3">
        <v>16827.509999999998</v>
      </c>
      <c r="P907" s="3">
        <v>14202.69</v>
      </c>
      <c r="Q907" t="s">
        <v>165</v>
      </c>
      <c r="R907">
        <v>2026</v>
      </c>
      <c r="S907">
        <v>4</v>
      </c>
    </row>
    <row r="908" spans="1:19" x14ac:dyDescent="0.3">
      <c r="A908" t="s">
        <v>967</v>
      </c>
      <c r="B908" s="2">
        <v>46138</v>
      </c>
      <c r="C908" t="s">
        <v>75</v>
      </c>
      <c r="D908" t="s">
        <v>34</v>
      </c>
      <c r="E908" t="s">
        <v>42</v>
      </c>
      <c r="F908" t="s">
        <v>35</v>
      </c>
      <c r="G908" t="s">
        <v>31</v>
      </c>
      <c r="H908" t="s">
        <v>25</v>
      </c>
      <c r="I908">
        <v>2</v>
      </c>
      <c r="J908" s="3">
        <v>36305</v>
      </c>
      <c r="K908" s="4">
        <v>0</v>
      </c>
      <c r="L908" s="3">
        <v>72610</v>
      </c>
      <c r="M908" s="3">
        <v>0</v>
      </c>
      <c r="N908" s="3">
        <v>72610</v>
      </c>
      <c r="O908" s="3">
        <v>46067.27</v>
      </c>
      <c r="P908" s="3">
        <v>26542.73</v>
      </c>
      <c r="Q908" t="s">
        <v>165</v>
      </c>
      <c r="R908">
        <v>2026</v>
      </c>
      <c r="S908">
        <v>4</v>
      </c>
    </row>
    <row r="909" spans="1:19" x14ac:dyDescent="0.3">
      <c r="A909" t="s">
        <v>968</v>
      </c>
      <c r="B909" s="2">
        <v>46139</v>
      </c>
      <c r="C909" t="s">
        <v>48</v>
      </c>
      <c r="D909" t="s">
        <v>34</v>
      </c>
      <c r="E909" t="s">
        <v>42</v>
      </c>
      <c r="F909" t="s">
        <v>30</v>
      </c>
      <c r="G909" t="s">
        <v>31</v>
      </c>
      <c r="H909" t="s">
        <v>25</v>
      </c>
      <c r="I909">
        <v>4</v>
      </c>
      <c r="J909" s="3">
        <v>24654</v>
      </c>
      <c r="K909" s="4">
        <v>0</v>
      </c>
      <c r="L909" s="3">
        <v>98616</v>
      </c>
      <c r="M909" s="3">
        <v>0</v>
      </c>
      <c r="N909" s="3">
        <v>98616</v>
      </c>
      <c r="O909" s="3">
        <v>54733.84</v>
      </c>
      <c r="P909" s="3">
        <v>43882.16</v>
      </c>
      <c r="Q909" t="s">
        <v>165</v>
      </c>
      <c r="R909">
        <v>2026</v>
      </c>
      <c r="S909">
        <v>4</v>
      </c>
    </row>
    <row r="910" spans="1:19" x14ac:dyDescent="0.3">
      <c r="A910" t="s">
        <v>969</v>
      </c>
      <c r="B910" s="2">
        <v>46140</v>
      </c>
      <c r="C910" t="s">
        <v>64</v>
      </c>
      <c r="D910" t="s">
        <v>29</v>
      </c>
      <c r="E910" t="s">
        <v>56</v>
      </c>
      <c r="F910" t="s">
        <v>35</v>
      </c>
      <c r="G910" t="s">
        <v>24</v>
      </c>
      <c r="H910" t="s">
        <v>133</v>
      </c>
      <c r="I910">
        <v>1</v>
      </c>
      <c r="J910" s="3">
        <v>30228</v>
      </c>
      <c r="K910" s="4">
        <v>10</v>
      </c>
      <c r="L910" s="3">
        <v>30228</v>
      </c>
      <c r="M910" s="3">
        <v>3022.8</v>
      </c>
      <c r="N910" s="3">
        <v>27205.200000000001</v>
      </c>
      <c r="O910" s="3">
        <v>15319.2</v>
      </c>
      <c r="P910" s="3">
        <v>11886</v>
      </c>
      <c r="Q910" t="s">
        <v>165</v>
      </c>
      <c r="R910">
        <v>2026</v>
      </c>
      <c r="S910">
        <v>4</v>
      </c>
    </row>
    <row r="911" spans="1:19" x14ac:dyDescent="0.3">
      <c r="A911" t="s">
        <v>970</v>
      </c>
      <c r="B911" s="2">
        <v>46140</v>
      </c>
      <c r="C911" t="s">
        <v>48</v>
      </c>
      <c r="D911" t="s">
        <v>34</v>
      </c>
      <c r="E911" t="s">
        <v>42</v>
      </c>
      <c r="F911" t="s">
        <v>23</v>
      </c>
      <c r="G911" t="s">
        <v>24</v>
      </c>
      <c r="H911" t="s">
        <v>133</v>
      </c>
      <c r="I911">
        <v>3</v>
      </c>
      <c r="J911" s="3">
        <v>23432</v>
      </c>
      <c r="K911" s="4">
        <v>20</v>
      </c>
      <c r="L911" s="3">
        <v>70296</v>
      </c>
      <c r="M911" s="3">
        <v>14059.2</v>
      </c>
      <c r="N911" s="3">
        <v>56236.800000000003</v>
      </c>
      <c r="O911" s="3">
        <v>44290.15</v>
      </c>
      <c r="P911" s="3">
        <v>11946.65</v>
      </c>
      <c r="Q911" t="s">
        <v>165</v>
      </c>
      <c r="R911">
        <v>2026</v>
      </c>
      <c r="S911">
        <v>4</v>
      </c>
    </row>
    <row r="912" spans="1:19" x14ac:dyDescent="0.3">
      <c r="A912" t="s">
        <v>971</v>
      </c>
      <c r="B912" s="2">
        <v>46141</v>
      </c>
      <c r="C912" t="s">
        <v>20</v>
      </c>
      <c r="D912" t="s">
        <v>21</v>
      </c>
      <c r="E912" t="s">
        <v>44</v>
      </c>
      <c r="F912" t="s">
        <v>40</v>
      </c>
      <c r="G912" t="s">
        <v>31</v>
      </c>
      <c r="H912" t="s">
        <v>25</v>
      </c>
      <c r="I912">
        <v>1</v>
      </c>
      <c r="J912" s="3">
        <v>14113</v>
      </c>
      <c r="K912" s="4">
        <v>0</v>
      </c>
      <c r="L912" s="3">
        <v>14113</v>
      </c>
      <c r="M912" s="3">
        <v>0</v>
      </c>
      <c r="N912" s="3">
        <v>14113</v>
      </c>
      <c r="O912" s="3">
        <v>6967.17</v>
      </c>
      <c r="P912" s="3">
        <v>7145.83</v>
      </c>
      <c r="Q912" t="s">
        <v>165</v>
      </c>
      <c r="R912">
        <v>2026</v>
      </c>
      <c r="S912">
        <v>4</v>
      </c>
    </row>
    <row r="913" spans="1:19" x14ac:dyDescent="0.3">
      <c r="A913" t="s">
        <v>972</v>
      </c>
      <c r="B913" s="2">
        <v>46142</v>
      </c>
      <c r="C913" t="s">
        <v>20</v>
      </c>
      <c r="D913" t="s">
        <v>21</v>
      </c>
      <c r="E913" t="s">
        <v>22</v>
      </c>
      <c r="F913" t="s">
        <v>23</v>
      </c>
      <c r="G913" t="s">
        <v>31</v>
      </c>
      <c r="H913" t="s">
        <v>25</v>
      </c>
      <c r="I913">
        <v>1</v>
      </c>
      <c r="J913" s="3">
        <v>13827</v>
      </c>
      <c r="K913" s="4">
        <v>0</v>
      </c>
      <c r="L913" s="3">
        <v>13827</v>
      </c>
      <c r="M913" s="3">
        <v>0</v>
      </c>
      <c r="N913" s="3">
        <v>13827</v>
      </c>
      <c r="O913" s="3">
        <v>7492.21</v>
      </c>
      <c r="P913" s="3">
        <v>6334.79</v>
      </c>
      <c r="Q913" t="s">
        <v>165</v>
      </c>
      <c r="R913">
        <v>2026</v>
      </c>
      <c r="S913">
        <v>4</v>
      </c>
    </row>
    <row r="914" spans="1:19" x14ac:dyDescent="0.3">
      <c r="A914" t="s">
        <v>973</v>
      </c>
      <c r="B914" s="2">
        <v>46142</v>
      </c>
      <c r="C914" t="s">
        <v>33</v>
      </c>
      <c r="D914" t="s">
        <v>34</v>
      </c>
      <c r="E914" t="s">
        <v>56</v>
      </c>
      <c r="F914" t="s">
        <v>23</v>
      </c>
      <c r="G914" t="s">
        <v>31</v>
      </c>
      <c r="H914" t="s">
        <v>25</v>
      </c>
      <c r="I914">
        <v>1</v>
      </c>
      <c r="J914" s="3">
        <v>41173</v>
      </c>
      <c r="K914" s="4">
        <v>10</v>
      </c>
      <c r="L914" s="3">
        <v>41173</v>
      </c>
      <c r="M914" s="3">
        <v>4117.3</v>
      </c>
      <c r="N914" s="3">
        <v>37055.699999999997</v>
      </c>
      <c r="O914" s="3">
        <v>20419.46</v>
      </c>
      <c r="P914" s="3">
        <v>16636.240000000002</v>
      </c>
      <c r="Q914" t="s">
        <v>165</v>
      </c>
      <c r="R914">
        <v>2026</v>
      </c>
      <c r="S914">
        <v>4</v>
      </c>
    </row>
    <row r="915" spans="1:19" x14ac:dyDescent="0.3">
      <c r="A915" t="s">
        <v>974</v>
      </c>
      <c r="B915" s="2">
        <v>46143</v>
      </c>
      <c r="C915" t="s">
        <v>82</v>
      </c>
      <c r="D915" t="s">
        <v>21</v>
      </c>
      <c r="E915" t="s">
        <v>44</v>
      </c>
      <c r="F915" t="s">
        <v>23</v>
      </c>
      <c r="G915" t="s">
        <v>31</v>
      </c>
      <c r="H915" t="s">
        <v>25</v>
      </c>
      <c r="I915">
        <v>3</v>
      </c>
      <c r="J915" s="3">
        <v>46314</v>
      </c>
      <c r="K915" s="4">
        <v>0</v>
      </c>
      <c r="L915" s="3">
        <v>138942</v>
      </c>
      <c r="M915" s="3">
        <v>0</v>
      </c>
      <c r="N915" s="3">
        <v>138942</v>
      </c>
      <c r="O915" s="3">
        <v>80602.460000000006</v>
      </c>
      <c r="P915" s="3">
        <v>58339.54</v>
      </c>
      <c r="Q915" t="s">
        <v>201</v>
      </c>
      <c r="R915">
        <v>2026</v>
      </c>
      <c r="S915">
        <v>5</v>
      </c>
    </row>
    <row r="916" spans="1:19" x14ac:dyDescent="0.3">
      <c r="A916" t="s">
        <v>975</v>
      </c>
      <c r="B916" s="2">
        <v>46144</v>
      </c>
      <c r="C916" t="s">
        <v>33</v>
      </c>
      <c r="D916" t="s">
        <v>34</v>
      </c>
      <c r="E916" t="s">
        <v>56</v>
      </c>
      <c r="F916" t="s">
        <v>37</v>
      </c>
      <c r="G916" t="s">
        <v>24</v>
      </c>
      <c r="H916" t="s">
        <v>25</v>
      </c>
      <c r="I916">
        <v>3</v>
      </c>
      <c r="J916" s="3">
        <v>45176</v>
      </c>
      <c r="K916" s="4">
        <v>0</v>
      </c>
      <c r="L916" s="3">
        <v>135528</v>
      </c>
      <c r="M916" s="3">
        <v>0</v>
      </c>
      <c r="N916" s="3">
        <v>135528</v>
      </c>
      <c r="O916" s="3">
        <v>66980.94</v>
      </c>
      <c r="P916" s="3">
        <v>68547.06</v>
      </c>
      <c r="Q916" t="s">
        <v>201</v>
      </c>
      <c r="R916">
        <v>2026</v>
      </c>
      <c r="S916">
        <v>5</v>
      </c>
    </row>
    <row r="917" spans="1:19" x14ac:dyDescent="0.3">
      <c r="A917" t="s">
        <v>976</v>
      </c>
      <c r="B917" s="2">
        <v>46144</v>
      </c>
      <c r="C917" t="s">
        <v>33</v>
      </c>
      <c r="D917" t="s">
        <v>34</v>
      </c>
      <c r="E917" t="s">
        <v>44</v>
      </c>
      <c r="F917" t="s">
        <v>35</v>
      </c>
      <c r="G917" t="s">
        <v>31</v>
      </c>
      <c r="H917" t="s">
        <v>25</v>
      </c>
      <c r="I917">
        <v>3</v>
      </c>
      <c r="J917" s="3">
        <v>41994</v>
      </c>
      <c r="K917" s="4">
        <v>0</v>
      </c>
      <c r="L917" s="3">
        <v>125982</v>
      </c>
      <c r="M917" s="3">
        <v>0</v>
      </c>
      <c r="N917" s="3">
        <v>125982</v>
      </c>
      <c r="O917" s="3">
        <v>70285.759999999995</v>
      </c>
      <c r="P917" s="3">
        <v>55696.24</v>
      </c>
      <c r="Q917" t="s">
        <v>201</v>
      </c>
      <c r="R917">
        <v>2026</v>
      </c>
      <c r="S917">
        <v>5</v>
      </c>
    </row>
    <row r="918" spans="1:19" x14ac:dyDescent="0.3">
      <c r="A918" t="s">
        <v>977</v>
      </c>
      <c r="B918" s="2">
        <v>46145</v>
      </c>
      <c r="C918" t="s">
        <v>46</v>
      </c>
      <c r="D918" t="s">
        <v>21</v>
      </c>
      <c r="E918" t="s">
        <v>22</v>
      </c>
      <c r="F918" t="s">
        <v>40</v>
      </c>
      <c r="G918" t="s">
        <v>31</v>
      </c>
      <c r="H918" t="s">
        <v>25</v>
      </c>
      <c r="I918">
        <v>1</v>
      </c>
      <c r="J918" s="3">
        <v>12841</v>
      </c>
      <c r="K918" s="4">
        <v>0</v>
      </c>
      <c r="L918" s="3">
        <v>12841</v>
      </c>
      <c r="M918" s="3">
        <v>0</v>
      </c>
      <c r="N918" s="3">
        <v>12841</v>
      </c>
      <c r="O918" s="3">
        <v>6360.93</v>
      </c>
      <c r="P918" s="3">
        <v>6480.07</v>
      </c>
      <c r="Q918" t="s">
        <v>201</v>
      </c>
      <c r="R918">
        <v>2026</v>
      </c>
      <c r="S918">
        <v>5</v>
      </c>
    </row>
    <row r="919" spans="1:19" x14ac:dyDescent="0.3">
      <c r="A919" t="s">
        <v>978</v>
      </c>
      <c r="B919" s="2">
        <v>46145</v>
      </c>
      <c r="C919" t="s">
        <v>71</v>
      </c>
      <c r="D919" t="s">
        <v>34</v>
      </c>
      <c r="E919" t="s">
        <v>56</v>
      </c>
      <c r="F919" t="s">
        <v>40</v>
      </c>
      <c r="G919" t="s">
        <v>31</v>
      </c>
      <c r="H919" t="s">
        <v>25</v>
      </c>
      <c r="I919">
        <v>1</v>
      </c>
      <c r="J919" s="3">
        <v>53986</v>
      </c>
      <c r="K919" s="4">
        <v>0</v>
      </c>
      <c r="L919" s="3">
        <v>53986</v>
      </c>
      <c r="M919" s="3">
        <v>0</v>
      </c>
      <c r="N919" s="3">
        <v>53986</v>
      </c>
      <c r="O919" s="3">
        <v>29010.05</v>
      </c>
      <c r="P919" s="3">
        <v>24975.95</v>
      </c>
      <c r="Q919" t="s">
        <v>201</v>
      </c>
      <c r="R919">
        <v>2026</v>
      </c>
      <c r="S919">
        <v>5</v>
      </c>
    </row>
    <row r="920" spans="1:19" x14ac:dyDescent="0.3">
      <c r="A920" t="s">
        <v>979</v>
      </c>
      <c r="B920" s="2">
        <v>46145</v>
      </c>
      <c r="C920" t="s">
        <v>33</v>
      </c>
      <c r="D920" t="s">
        <v>34</v>
      </c>
      <c r="E920" t="s">
        <v>44</v>
      </c>
      <c r="F920" t="s">
        <v>40</v>
      </c>
      <c r="G920" t="s">
        <v>24</v>
      </c>
      <c r="H920" t="s">
        <v>25</v>
      </c>
      <c r="I920">
        <v>2</v>
      </c>
      <c r="J920" s="3">
        <v>45282</v>
      </c>
      <c r="K920" s="4">
        <v>0</v>
      </c>
      <c r="L920" s="3">
        <v>90564</v>
      </c>
      <c r="M920" s="3">
        <v>0</v>
      </c>
      <c r="N920" s="3">
        <v>0</v>
      </c>
      <c r="O920" s="3">
        <v>48046.85</v>
      </c>
      <c r="P920" s="3">
        <v>0</v>
      </c>
      <c r="Q920" t="s">
        <v>201</v>
      </c>
      <c r="R920">
        <v>2026</v>
      </c>
      <c r="S920">
        <v>5</v>
      </c>
    </row>
    <row r="921" spans="1:19" x14ac:dyDescent="0.3">
      <c r="A921" t="s">
        <v>980</v>
      </c>
      <c r="B921" s="2">
        <v>46146</v>
      </c>
      <c r="C921" t="s">
        <v>20</v>
      </c>
      <c r="D921" t="s">
        <v>21</v>
      </c>
      <c r="E921" t="s">
        <v>22</v>
      </c>
      <c r="F921" t="s">
        <v>23</v>
      </c>
      <c r="G921" t="s">
        <v>24</v>
      </c>
      <c r="H921" t="s">
        <v>25</v>
      </c>
      <c r="I921">
        <v>1</v>
      </c>
      <c r="J921" s="3">
        <v>14015</v>
      </c>
      <c r="K921" s="4">
        <v>0</v>
      </c>
      <c r="L921" s="3">
        <v>14015</v>
      </c>
      <c r="M921" s="3">
        <v>0</v>
      </c>
      <c r="N921" s="3">
        <v>0</v>
      </c>
      <c r="O921" s="3">
        <v>6850.99</v>
      </c>
      <c r="P921" s="3">
        <v>0</v>
      </c>
      <c r="Q921" t="s">
        <v>201</v>
      </c>
      <c r="R921">
        <v>2026</v>
      </c>
      <c r="S921">
        <v>5</v>
      </c>
    </row>
    <row r="922" spans="1:19" x14ac:dyDescent="0.3">
      <c r="A922" t="s">
        <v>981</v>
      </c>
      <c r="B922" s="2">
        <v>46148</v>
      </c>
      <c r="C922" t="s">
        <v>46</v>
      </c>
      <c r="D922" t="s">
        <v>21</v>
      </c>
      <c r="E922" t="s">
        <v>42</v>
      </c>
      <c r="F922" t="s">
        <v>37</v>
      </c>
      <c r="G922" t="s">
        <v>24</v>
      </c>
      <c r="H922" t="s">
        <v>25</v>
      </c>
      <c r="I922">
        <v>2</v>
      </c>
      <c r="J922" s="3">
        <v>11960</v>
      </c>
      <c r="K922" s="4">
        <v>0</v>
      </c>
      <c r="L922" s="3">
        <v>23920</v>
      </c>
      <c r="M922" s="3">
        <v>0</v>
      </c>
      <c r="N922" s="3">
        <v>23920</v>
      </c>
      <c r="O922" s="3">
        <v>13055.62</v>
      </c>
      <c r="P922" s="3">
        <v>10864.38</v>
      </c>
      <c r="Q922" t="s">
        <v>201</v>
      </c>
      <c r="R922">
        <v>2026</v>
      </c>
      <c r="S922">
        <v>5</v>
      </c>
    </row>
    <row r="923" spans="1:19" x14ac:dyDescent="0.3">
      <c r="A923" t="s">
        <v>982</v>
      </c>
      <c r="B923" s="2">
        <v>46150</v>
      </c>
      <c r="C923" t="s">
        <v>82</v>
      </c>
      <c r="D923" t="s">
        <v>21</v>
      </c>
      <c r="E923" t="s">
        <v>56</v>
      </c>
      <c r="F923" t="s">
        <v>40</v>
      </c>
      <c r="G923" t="s">
        <v>31</v>
      </c>
      <c r="H923" t="s">
        <v>25</v>
      </c>
      <c r="I923">
        <v>1</v>
      </c>
      <c r="J923" s="3">
        <v>46960</v>
      </c>
      <c r="K923" s="4">
        <v>0</v>
      </c>
      <c r="L923" s="3">
        <v>46960</v>
      </c>
      <c r="M923" s="3">
        <v>0</v>
      </c>
      <c r="N923" s="3">
        <v>46960</v>
      </c>
      <c r="O923" s="3">
        <v>30313.439999999999</v>
      </c>
      <c r="P923" s="3">
        <v>16646.560000000001</v>
      </c>
      <c r="Q923" t="s">
        <v>201</v>
      </c>
      <c r="R923">
        <v>2026</v>
      </c>
      <c r="S923">
        <v>5</v>
      </c>
    </row>
    <row r="924" spans="1:19" x14ac:dyDescent="0.3">
      <c r="A924" t="s">
        <v>983</v>
      </c>
      <c r="B924" s="2">
        <v>46152</v>
      </c>
      <c r="C924" t="s">
        <v>28</v>
      </c>
      <c r="D924" t="s">
        <v>29</v>
      </c>
      <c r="E924" t="s">
        <v>44</v>
      </c>
      <c r="F924" t="s">
        <v>40</v>
      </c>
      <c r="G924" t="s">
        <v>24</v>
      </c>
      <c r="H924" t="s">
        <v>25</v>
      </c>
      <c r="I924">
        <v>2</v>
      </c>
      <c r="J924" s="3">
        <v>65741</v>
      </c>
      <c r="K924" s="4">
        <v>0</v>
      </c>
      <c r="L924" s="3">
        <v>131482</v>
      </c>
      <c r="M924" s="3">
        <v>0</v>
      </c>
      <c r="N924" s="3">
        <v>131482</v>
      </c>
      <c r="O924" s="3">
        <v>77410.789999999994</v>
      </c>
      <c r="P924" s="3">
        <v>54071.21</v>
      </c>
      <c r="Q924" t="s">
        <v>201</v>
      </c>
      <c r="R924">
        <v>2026</v>
      </c>
      <c r="S924">
        <v>5</v>
      </c>
    </row>
    <row r="925" spans="1:19" x14ac:dyDescent="0.3">
      <c r="A925" t="s">
        <v>984</v>
      </c>
      <c r="B925" s="2">
        <v>46152</v>
      </c>
      <c r="C925" t="s">
        <v>75</v>
      </c>
      <c r="D925" t="s">
        <v>34</v>
      </c>
      <c r="E925" t="s">
        <v>22</v>
      </c>
      <c r="F925" t="s">
        <v>37</v>
      </c>
      <c r="G925" t="s">
        <v>31</v>
      </c>
      <c r="H925" t="s">
        <v>25</v>
      </c>
      <c r="I925">
        <v>2</v>
      </c>
      <c r="J925" s="3">
        <v>36180</v>
      </c>
      <c r="K925" s="4">
        <v>0</v>
      </c>
      <c r="L925" s="3">
        <v>72360</v>
      </c>
      <c r="M925" s="3">
        <v>0</v>
      </c>
      <c r="N925" s="3">
        <v>72360</v>
      </c>
      <c r="O925" s="3">
        <v>46186.080000000002</v>
      </c>
      <c r="P925" s="3">
        <v>26173.919999999998</v>
      </c>
      <c r="Q925" t="s">
        <v>201</v>
      </c>
      <c r="R925">
        <v>2026</v>
      </c>
      <c r="S925">
        <v>5</v>
      </c>
    </row>
    <row r="926" spans="1:19" x14ac:dyDescent="0.3">
      <c r="A926" t="s">
        <v>985</v>
      </c>
      <c r="B926" s="2">
        <v>46155</v>
      </c>
      <c r="C926" t="s">
        <v>46</v>
      </c>
      <c r="D926" t="s">
        <v>21</v>
      </c>
      <c r="E926" t="s">
        <v>22</v>
      </c>
      <c r="F926" t="s">
        <v>35</v>
      </c>
      <c r="G926" t="s">
        <v>24</v>
      </c>
      <c r="H926" t="s">
        <v>25</v>
      </c>
      <c r="I926">
        <v>2</v>
      </c>
      <c r="J926" s="3">
        <v>11125</v>
      </c>
      <c r="K926" s="4">
        <v>0</v>
      </c>
      <c r="L926" s="3">
        <v>22250</v>
      </c>
      <c r="M926" s="3">
        <v>0</v>
      </c>
      <c r="N926" s="3">
        <v>22250</v>
      </c>
      <c r="O926" s="3">
        <v>12023.53</v>
      </c>
      <c r="P926" s="3">
        <v>10226.469999999999</v>
      </c>
      <c r="Q926" t="s">
        <v>201</v>
      </c>
      <c r="R926">
        <v>2026</v>
      </c>
      <c r="S926">
        <v>5</v>
      </c>
    </row>
    <row r="927" spans="1:19" x14ac:dyDescent="0.3">
      <c r="A927" t="s">
        <v>986</v>
      </c>
      <c r="B927" s="2">
        <v>46155</v>
      </c>
      <c r="C927" t="s">
        <v>28</v>
      </c>
      <c r="D927" t="s">
        <v>29</v>
      </c>
      <c r="E927" t="s">
        <v>22</v>
      </c>
      <c r="F927" t="s">
        <v>37</v>
      </c>
      <c r="G927" t="s">
        <v>24</v>
      </c>
      <c r="H927" t="s">
        <v>25</v>
      </c>
      <c r="I927">
        <v>1</v>
      </c>
      <c r="J927" s="3">
        <v>60237</v>
      </c>
      <c r="K927" s="4">
        <v>0</v>
      </c>
      <c r="L927" s="3">
        <v>60237</v>
      </c>
      <c r="M927" s="3">
        <v>0</v>
      </c>
      <c r="N927" s="3">
        <v>60237</v>
      </c>
      <c r="O927" s="3">
        <v>39974.199999999997</v>
      </c>
      <c r="P927" s="3">
        <v>20262.8</v>
      </c>
      <c r="Q927" t="s">
        <v>201</v>
      </c>
      <c r="R927">
        <v>2026</v>
      </c>
      <c r="S927">
        <v>5</v>
      </c>
    </row>
    <row r="928" spans="1:19" x14ac:dyDescent="0.3">
      <c r="A928" t="s">
        <v>987</v>
      </c>
      <c r="B928" s="2">
        <v>46156</v>
      </c>
      <c r="C928" t="s">
        <v>28</v>
      </c>
      <c r="D928" t="s">
        <v>29</v>
      </c>
      <c r="E928" t="s">
        <v>44</v>
      </c>
      <c r="F928" t="s">
        <v>37</v>
      </c>
      <c r="G928" t="s">
        <v>24</v>
      </c>
      <c r="H928" t="s">
        <v>25</v>
      </c>
      <c r="I928">
        <v>1</v>
      </c>
      <c r="J928" s="3">
        <v>60040</v>
      </c>
      <c r="K928" s="4">
        <v>0</v>
      </c>
      <c r="L928" s="3">
        <v>60040</v>
      </c>
      <c r="M928" s="3">
        <v>0</v>
      </c>
      <c r="N928" s="3">
        <v>60040</v>
      </c>
      <c r="O928" s="3">
        <v>34626.379999999997</v>
      </c>
      <c r="P928" s="3">
        <v>25413.62</v>
      </c>
      <c r="Q928" t="s">
        <v>201</v>
      </c>
      <c r="R928">
        <v>2026</v>
      </c>
      <c r="S928">
        <v>5</v>
      </c>
    </row>
    <row r="929" spans="1:19" x14ac:dyDescent="0.3">
      <c r="A929" t="s">
        <v>988</v>
      </c>
      <c r="B929" s="2">
        <v>46157</v>
      </c>
      <c r="C929" t="s">
        <v>33</v>
      </c>
      <c r="D929" t="s">
        <v>34</v>
      </c>
      <c r="E929" t="s">
        <v>22</v>
      </c>
      <c r="F929" t="s">
        <v>30</v>
      </c>
      <c r="G929" t="s">
        <v>24</v>
      </c>
      <c r="H929" t="s">
        <v>25</v>
      </c>
      <c r="I929">
        <v>1</v>
      </c>
      <c r="J929" s="3">
        <v>39123</v>
      </c>
      <c r="K929" s="4">
        <v>10</v>
      </c>
      <c r="L929" s="3">
        <v>39123</v>
      </c>
      <c r="M929" s="3">
        <v>3912.3</v>
      </c>
      <c r="N929" s="3">
        <v>35210.699999999997</v>
      </c>
      <c r="O929" s="3">
        <v>21541.31</v>
      </c>
      <c r="P929" s="3">
        <v>13669.39</v>
      </c>
      <c r="Q929" t="s">
        <v>201</v>
      </c>
      <c r="R929">
        <v>2026</v>
      </c>
      <c r="S929">
        <v>5</v>
      </c>
    </row>
    <row r="930" spans="1:19" x14ac:dyDescent="0.3">
      <c r="A930" t="s">
        <v>989</v>
      </c>
      <c r="B930" s="2">
        <v>46158</v>
      </c>
      <c r="C930" t="s">
        <v>48</v>
      </c>
      <c r="D930" t="s">
        <v>34</v>
      </c>
      <c r="E930" t="s">
        <v>42</v>
      </c>
      <c r="F930" t="s">
        <v>40</v>
      </c>
      <c r="G930" t="s">
        <v>31</v>
      </c>
      <c r="H930" t="s">
        <v>25</v>
      </c>
      <c r="I930">
        <v>2</v>
      </c>
      <c r="J930" s="3">
        <v>25952</v>
      </c>
      <c r="K930" s="4">
        <v>0</v>
      </c>
      <c r="L930" s="3">
        <v>51904</v>
      </c>
      <c r="M930" s="3">
        <v>0</v>
      </c>
      <c r="N930" s="3">
        <v>51904</v>
      </c>
      <c r="O930" s="3">
        <v>34658.53</v>
      </c>
      <c r="P930" s="3">
        <v>17245.47</v>
      </c>
      <c r="Q930" t="s">
        <v>201</v>
      </c>
      <c r="R930">
        <v>2026</v>
      </c>
      <c r="S930">
        <v>5</v>
      </c>
    </row>
    <row r="931" spans="1:19" x14ac:dyDescent="0.3">
      <c r="A931" t="s">
        <v>990</v>
      </c>
      <c r="B931" s="2">
        <v>46158</v>
      </c>
      <c r="C931" t="s">
        <v>28</v>
      </c>
      <c r="D931" t="s">
        <v>29</v>
      </c>
      <c r="E931" t="s">
        <v>22</v>
      </c>
      <c r="F931" t="s">
        <v>40</v>
      </c>
      <c r="G931" t="s">
        <v>24</v>
      </c>
      <c r="H931" t="s">
        <v>25</v>
      </c>
      <c r="I931">
        <v>1</v>
      </c>
      <c r="J931" s="3">
        <v>69983</v>
      </c>
      <c r="K931" s="4">
        <v>0</v>
      </c>
      <c r="L931" s="3">
        <v>69983</v>
      </c>
      <c r="M931" s="3">
        <v>0</v>
      </c>
      <c r="N931" s="3">
        <v>69983</v>
      </c>
      <c r="O931" s="3">
        <v>45445.38</v>
      </c>
      <c r="P931" s="3">
        <v>24537.62</v>
      </c>
      <c r="Q931" t="s">
        <v>201</v>
      </c>
      <c r="R931">
        <v>2026</v>
      </c>
      <c r="S931">
        <v>5</v>
      </c>
    </row>
    <row r="932" spans="1:19" x14ac:dyDescent="0.3">
      <c r="A932" t="s">
        <v>991</v>
      </c>
      <c r="B932" s="2">
        <v>46160</v>
      </c>
      <c r="C932" t="s">
        <v>82</v>
      </c>
      <c r="D932" t="s">
        <v>21</v>
      </c>
      <c r="E932" t="s">
        <v>56</v>
      </c>
      <c r="F932" t="s">
        <v>30</v>
      </c>
      <c r="G932" t="s">
        <v>24</v>
      </c>
      <c r="H932" t="s">
        <v>25</v>
      </c>
      <c r="I932">
        <v>1</v>
      </c>
      <c r="J932" s="3">
        <v>48404</v>
      </c>
      <c r="K932" s="4">
        <v>0</v>
      </c>
      <c r="L932" s="3">
        <v>48404</v>
      </c>
      <c r="M932" s="3">
        <v>0</v>
      </c>
      <c r="N932" s="3">
        <v>0</v>
      </c>
      <c r="O932" s="3">
        <v>27228.98</v>
      </c>
      <c r="P932" s="3">
        <v>0</v>
      </c>
      <c r="Q932" t="s">
        <v>201</v>
      </c>
      <c r="R932">
        <v>2026</v>
      </c>
      <c r="S932">
        <v>5</v>
      </c>
    </row>
    <row r="933" spans="1:19" x14ac:dyDescent="0.3">
      <c r="A933" t="s">
        <v>992</v>
      </c>
      <c r="B933" s="2">
        <v>46162</v>
      </c>
      <c r="C933" t="s">
        <v>48</v>
      </c>
      <c r="D933" t="s">
        <v>34</v>
      </c>
      <c r="E933" t="s">
        <v>42</v>
      </c>
      <c r="F933" t="s">
        <v>23</v>
      </c>
      <c r="G933" t="s">
        <v>24</v>
      </c>
      <c r="H933" t="s">
        <v>25</v>
      </c>
      <c r="I933">
        <v>4</v>
      </c>
      <c r="J933" s="3">
        <v>24256</v>
      </c>
      <c r="K933" s="4">
        <v>0</v>
      </c>
      <c r="L933" s="3">
        <v>97024</v>
      </c>
      <c r="M933" s="3">
        <v>0</v>
      </c>
      <c r="N933" s="3">
        <v>97024</v>
      </c>
      <c r="O933" s="3">
        <v>62469</v>
      </c>
      <c r="P933" s="3">
        <v>34555</v>
      </c>
      <c r="Q933" t="s">
        <v>201</v>
      </c>
      <c r="R933">
        <v>2026</v>
      </c>
      <c r="S933">
        <v>5</v>
      </c>
    </row>
    <row r="934" spans="1:19" x14ac:dyDescent="0.3">
      <c r="A934" t="s">
        <v>993</v>
      </c>
      <c r="B934" s="2">
        <v>46163</v>
      </c>
      <c r="C934" t="s">
        <v>48</v>
      </c>
      <c r="D934" t="s">
        <v>34</v>
      </c>
      <c r="E934" t="s">
        <v>22</v>
      </c>
      <c r="F934" t="s">
        <v>40</v>
      </c>
      <c r="G934" t="s">
        <v>31</v>
      </c>
      <c r="H934" t="s">
        <v>25</v>
      </c>
      <c r="I934">
        <v>2</v>
      </c>
      <c r="J934" s="3">
        <v>25436</v>
      </c>
      <c r="K934" s="4">
        <v>0</v>
      </c>
      <c r="L934" s="3">
        <v>50872</v>
      </c>
      <c r="M934" s="3">
        <v>0</v>
      </c>
      <c r="N934" s="3">
        <v>50872</v>
      </c>
      <c r="O934" s="3">
        <v>27110.68</v>
      </c>
      <c r="P934" s="3">
        <v>23761.32</v>
      </c>
      <c r="Q934" t="s">
        <v>201</v>
      </c>
      <c r="R934">
        <v>2026</v>
      </c>
      <c r="S934">
        <v>5</v>
      </c>
    </row>
    <row r="935" spans="1:19" x14ac:dyDescent="0.3">
      <c r="A935" t="s">
        <v>994</v>
      </c>
      <c r="B935" s="2">
        <v>46163</v>
      </c>
      <c r="C935" t="s">
        <v>50</v>
      </c>
      <c r="D935" t="s">
        <v>34</v>
      </c>
      <c r="E935" t="s">
        <v>56</v>
      </c>
      <c r="F935" t="s">
        <v>37</v>
      </c>
      <c r="G935" t="s">
        <v>24</v>
      </c>
      <c r="H935" t="s">
        <v>25</v>
      </c>
      <c r="I935">
        <v>3</v>
      </c>
      <c r="J935" s="3">
        <v>17348</v>
      </c>
      <c r="K935" s="4">
        <v>0</v>
      </c>
      <c r="L935" s="3">
        <v>52044</v>
      </c>
      <c r="M935" s="3">
        <v>0</v>
      </c>
      <c r="N935" s="3">
        <v>52044</v>
      </c>
      <c r="O935" s="3">
        <v>29417.16</v>
      </c>
      <c r="P935" s="3">
        <v>22626.84</v>
      </c>
      <c r="Q935" t="s">
        <v>201</v>
      </c>
      <c r="R935">
        <v>2026</v>
      </c>
      <c r="S935">
        <v>5</v>
      </c>
    </row>
    <row r="936" spans="1:19" x14ac:dyDescent="0.3">
      <c r="A936" t="s">
        <v>995</v>
      </c>
      <c r="B936" s="2">
        <v>46163</v>
      </c>
      <c r="C936" t="s">
        <v>48</v>
      </c>
      <c r="D936" t="s">
        <v>34</v>
      </c>
      <c r="E936" t="s">
        <v>44</v>
      </c>
      <c r="F936" t="s">
        <v>37</v>
      </c>
      <c r="G936" t="s">
        <v>24</v>
      </c>
      <c r="H936" t="s">
        <v>25</v>
      </c>
      <c r="I936">
        <v>3</v>
      </c>
      <c r="J936" s="3">
        <v>23928</v>
      </c>
      <c r="K936" s="4">
        <v>0</v>
      </c>
      <c r="L936" s="3">
        <v>71784</v>
      </c>
      <c r="M936" s="3">
        <v>0</v>
      </c>
      <c r="N936" s="3">
        <v>71784</v>
      </c>
      <c r="O936" s="3">
        <v>45673.99</v>
      </c>
      <c r="P936" s="3">
        <v>26110.01</v>
      </c>
      <c r="Q936" t="s">
        <v>201</v>
      </c>
      <c r="R936">
        <v>2026</v>
      </c>
      <c r="S936">
        <v>5</v>
      </c>
    </row>
    <row r="937" spans="1:19" x14ac:dyDescent="0.3">
      <c r="A937" t="s">
        <v>996</v>
      </c>
      <c r="B937" s="2">
        <v>46164</v>
      </c>
      <c r="C937" t="s">
        <v>82</v>
      </c>
      <c r="D937" t="s">
        <v>21</v>
      </c>
      <c r="E937" t="s">
        <v>22</v>
      </c>
      <c r="F937" t="s">
        <v>23</v>
      </c>
      <c r="G937" t="s">
        <v>24</v>
      </c>
      <c r="H937" t="s">
        <v>25</v>
      </c>
      <c r="I937">
        <v>2</v>
      </c>
      <c r="J937" s="3">
        <v>46068</v>
      </c>
      <c r="K937" s="4">
        <v>0</v>
      </c>
      <c r="L937" s="3">
        <v>92136</v>
      </c>
      <c r="M937" s="3">
        <v>0</v>
      </c>
      <c r="N937" s="3">
        <v>92136</v>
      </c>
      <c r="O937" s="3">
        <v>60761.8</v>
      </c>
      <c r="P937" s="3">
        <v>31374.2</v>
      </c>
      <c r="Q937" t="s">
        <v>201</v>
      </c>
      <c r="R937">
        <v>2026</v>
      </c>
      <c r="S937">
        <v>5</v>
      </c>
    </row>
    <row r="938" spans="1:19" x14ac:dyDescent="0.3">
      <c r="A938" t="s">
        <v>997</v>
      </c>
      <c r="B938" s="2">
        <v>46164</v>
      </c>
      <c r="C938" t="s">
        <v>50</v>
      </c>
      <c r="D938" t="s">
        <v>34</v>
      </c>
      <c r="E938" t="s">
        <v>56</v>
      </c>
      <c r="F938" t="s">
        <v>35</v>
      </c>
      <c r="G938" t="s">
        <v>24</v>
      </c>
      <c r="H938" t="s">
        <v>25</v>
      </c>
      <c r="I938">
        <v>2</v>
      </c>
      <c r="J938" s="3">
        <v>17406</v>
      </c>
      <c r="K938" s="4">
        <v>0</v>
      </c>
      <c r="L938" s="3">
        <v>34812</v>
      </c>
      <c r="M938" s="3">
        <v>0</v>
      </c>
      <c r="N938" s="3">
        <v>34812</v>
      </c>
      <c r="O938" s="3">
        <v>20192.57</v>
      </c>
      <c r="P938" s="3">
        <v>14619.43</v>
      </c>
      <c r="Q938" t="s">
        <v>201</v>
      </c>
      <c r="R938">
        <v>2026</v>
      </c>
      <c r="S938">
        <v>5</v>
      </c>
    </row>
    <row r="939" spans="1:19" x14ac:dyDescent="0.3">
      <c r="A939" t="s">
        <v>998</v>
      </c>
      <c r="B939" s="2">
        <v>46167</v>
      </c>
      <c r="C939" t="s">
        <v>75</v>
      </c>
      <c r="D939" t="s">
        <v>34</v>
      </c>
      <c r="E939" t="s">
        <v>42</v>
      </c>
      <c r="F939" t="s">
        <v>35</v>
      </c>
      <c r="G939" t="s">
        <v>31</v>
      </c>
      <c r="H939" t="s">
        <v>25</v>
      </c>
      <c r="I939">
        <v>1</v>
      </c>
      <c r="J939" s="3">
        <v>39779</v>
      </c>
      <c r="K939" s="4">
        <v>0</v>
      </c>
      <c r="L939" s="3">
        <v>39779</v>
      </c>
      <c r="M939" s="3">
        <v>0</v>
      </c>
      <c r="N939" s="3">
        <v>39779</v>
      </c>
      <c r="O939" s="3">
        <v>21345.55</v>
      </c>
      <c r="P939" s="3">
        <v>18433.45</v>
      </c>
      <c r="Q939" t="s">
        <v>201</v>
      </c>
      <c r="R939">
        <v>2026</v>
      </c>
      <c r="S939">
        <v>5</v>
      </c>
    </row>
    <row r="940" spans="1:19" x14ac:dyDescent="0.3">
      <c r="A940" t="s">
        <v>999</v>
      </c>
      <c r="B940" s="2">
        <v>46167</v>
      </c>
      <c r="C940" t="s">
        <v>33</v>
      </c>
      <c r="D940" t="s">
        <v>34</v>
      </c>
      <c r="E940" t="s">
        <v>42</v>
      </c>
      <c r="F940" t="s">
        <v>23</v>
      </c>
      <c r="G940" t="s">
        <v>24</v>
      </c>
      <c r="H940" t="s">
        <v>25</v>
      </c>
      <c r="I940">
        <v>2</v>
      </c>
      <c r="J940" s="3">
        <v>40678</v>
      </c>
      <c r="K940" s="4">
        <v>0</v>
      </c>
      <c r="L940" s="3">
        <v>81356</v>
      </c>
      <c r="M940" s="3">
        <v>0</v>
      </c>
      <c r="N940" s="3">
        <v>81356</v>
      </c>
      <c r="O940" s="3">
        <v>44886.73</v>
      </c>
      <c r="P940" s="3">
        <v>36469.269999999997</v>
      </c>
      <c r="Q940" t="s">
        <v>201</v>
      </c>
      <c r="R940">
        <v>2026</v>
      </c>
      <c r="S940">
        <v>5</v>
      </c>
    </row>
    <row r="941" spans="1:19" x14ac:dyDescent="0.3">
      <c r="A941" t="s">
        <v>1000</v>
      </c>
      <c r="B941" s="2">
        <v>46168</v>
      </c>
      <c r="C941" t="s">
        <v>64</v>
      </c>
      <c r="D941" t="s">
        <v>29</v>
      </c>
      <c r="E941" t="s">
        <v>42</v>
      </c>
      <c r="F941" t="s">
        <v>23</v>
      </c>
      <c r="G941" t="s">
        <v>31</v>
      </c>
      <c r="H941" t="s">
        <v>25</v>
      </c>
      <c r="I941">
        <v>4</v>
      </c>
      <c r="J941" s="3">
        <v>28542</v>
      </c>
      <c r="K941" s="4">
        <v>0</v>
      </c>
      <c r="L941" s="3">
        <v>114168</v>
      </c>
      <c r="M941" s="3">
        <v>0</v>
      </c>
      <c r="N941" s="3">
        <v>114168</v>
      </c>
      <c r="O941" s="3">
        <v>56803.55</v>
      </c>
      <c r="P941" s="3">
        <v>57364.45</v>
      </c>
      <c r="Q941" t="s">
        <v>201</v>
      </c>
      <c r="R941">
        <v>2026</v>
      </c>
      <c r="S941">
        <v>5</v>
      </c>
    </row>
    <row r="942" spans="1:19" x14ac:dyDescent="0.3">
      <c r="A942" t="s">
        <v>1001</v>
      </c>
      <c r="B942" s="2">
        <v>46168</v>
      </c>
      <c r="C942" t="s">
        <v>46</v>
      </c>
      <c r="D942" t="s">
        <v>21</v>
      </c>
      <c r="E942" t="s">
        <v>22</v>
      </c>
      <c r="F942" t="s">
        <v>40</v>
      </c>
      <c r="G942" t="s">
        <v>31</v>
      </c>
      <c r="H942" t="s">
        <v>25</v>
      </c>
      <c r="I942">
        <v>2</v>
      </c>
      <c r="J942" s="3">
        <v>11197</v>
      </c>
      <c r="K942" s="4">
        <v>0</v>
      </c>
      <c r="L942" s="3">
        <v>22394</v>
      </c>
      <c r="M942" s="3">
        <v>0</v>
      </c>
      <c r="N942" s="3">
        <v>0</v>
      </c>
      <c r="O942" s="3">
        <v>15182.04</v>
      </c>
      <c r="P942" s="3">
        <v>0</v>
      </c>
      <c r="Q942" t="s">
        <v>201</v>
      </c>
      <c r="R942">
        <v>2026</v>
      </c>
      <c r="S942">
        <v>5</v>
      </c>
    </row>
    <row r="943" spans="1:19" x14ac:dyDescent="0.3">
      <c r="A943" t="s">
        <v>1002</v>
      </c>
      <c r="B943" s="2">
        <v>46168</v>
      </c>
      <c r="C943" t="s">
        <v>20</v>
      </c>
      <c r="D943" t="s">
        <v>21</v>
      </c>
      <c r="E943" t="s">
        <v>42</v>
      </c>
      <c r="F943" t="s">
        <v>40</v>
      </c>
      <c r="G943" t="s">
        <v>31</v>
      </c>
      <c r="H943" t="s">
        <v>25</v>
      </c>
      <c r="I943">
        <v>2</v>
      </c>
      <c r="J943" s="3">
        <v>14096</v>
      </c>
      <c r="K943" s="4">
        <v>0</v>
      </c>
      <c r="L943" s="3">
        <v>28192</v>
      </c>
      <c r="M943" s="3">
        <v>0</v>
      </c>
      <c r="N943" s="3">
        <v>28192</v>
      </c>
      <c r="O943" s="3">
        <v>16820.900000000001</v>
      </c>
      <c r="P943" s="3">
        <v>11371.1</v>
      </c>
      <c r="Q943" t="s">
        <v>201</v>
      </c>
      <c r="R943">
        <v>2026</v>
      </c>
      <c r="S943">
        <v>5</v>
      </c>
    </row>
    <row r="944" spans="1:19" x14ac:dyDescent="0.3">
      <c r="A944" t="s">
        <v>1003</v>
      </c>
      <c r="B944" s="2">
        <v>46169</v>
      </c>
      <c r="C944" t="s">
        <v>28</v>
      </c>
      <c r="D944" t="s">
        <v>29</v>
      </c>
      <c r="E944" t="s">
        <v>42</v>
      </c>
      <c r="F944" t="s">
        <v>35</v>
      </c>
      <c r="G944" t="s">
        <v>24</v>
      </c>
      <c r="H944" t="s">
        <v>25</v>
      </c>
      <c r="I944">
        <v>3</v>
      </c>
      <c r="J944" s="3">
        <v>59960</v>
      </c>
      <c r="K944" s="4">
        <v>0</v>
      </c>
      <c r="L944" s="3">
        <v>179880</v>
      </c>
      <c r="M944" s="3">
        <v>0</v>
      </c>
      <c r="N944" s="3">
        <v>179880</v>
      </c>
      <c r="O944" s="3">
        <v>95447.98</v>
      </c>
      <c r="P944" s="3">
        <v>84432.02</v>
      </c>
      <c r="Q944" t="s">
        <v>201</v>
      </c>
      <c r="R944">
        <v>2026</v>
      </c>
      <c r="S944">
        <v>5</v>
      </c>
    </row>
    <row r="945" spans="1:19" x14ac:dyDescent="0.3">
      <c r="A945" t="s">
        <v>1004</v>
      </c>
      <c r="B945" s="2">
        <v>46170</v>
      </c>
      <c r="C945" t="s">
        <v>50</v>
      </c>
      <c r="D945" t="s">
        <v>34</v>
      </c>
      <c r="E945" t="s">
        <v>56</v>
      </c>
      <c r="F945" t="s">
        <v>35</v>
      </c>
      <c r="G945" t="s">
        <v>31</v>
      </c>
      <c r="H945" t="s">
        <v>25</v>
      </c>
      <c r="I945">
        <v>1</v>
      </c>
      <c r="J945" s="3">
        <v>18241</v>
      </c>
      <c r="K945" s="4">
        <v>5</v>
      </c>
      <c r="L945" s="3">
        <v>18241</v>
      </c>
      <c r="M945" s="3">
        <v>912.05</v>
      </c>
      <c r="N945" s="3">
        <v>17328.95</v>
      </c>
      <c r="O945" s="3">
        <v>11498.2</v>
      </c>
      <c r="P945" s="3">
        <v>5830.75</v>
      </c>
      <c r="Q945" t="s">
        <v>201</v>
      </c>
      <c r="R945">
        <v>2026</v>
      </c>
      <c r="S945">
        <v>5</v>
      </c>
    </row>
    <row r="946" spans="1:19" x14ac:dyDescent="0.3">
      <c r="A946" t="s">
        <v>1005</v>
      </c>
      <c r="B946" s="2">
        <v>46170</v>
      </c>
      <c r="C946" t="s">
        <v>28</v>
      </c>
      <c r="D946" t="s">
        <v>29</v>
      </c>
      <c r="E946" t="s">
        <v>42</v>
      </c>
      <c r="F946" t="s">
        <v>40</v>
      </c>
      <c r="G946" t="s">
        <v>31</v>
      </c>
      <c r="H946" t="s">
        <v>25</v>
      </c>
      <c r="I946">
        <v>5</v>
      </c>
      <c r="J946" s="3">
        <v>69779</v>
      </c>
      <c r="K946" s="4">
        <v>0</v>
      </c>
      <c r="L946" s="3">
        <v>348895</v>
      </c>
      <c r="M946" s="3">
        <v>0</v>
      </c>
      <c r="N946" s="3">
        <v>348895</v>
      </c>
      <c r="O946" s="3">
        <v>175126.88</v>
      </c>
      <c r="P946" s="3">
        <v>173768.12</v>
      </c>
      <c r="Q946" t="s">
        <v>201</v>
      </c>
      <c r="R946">
        <v>2026</v>
      </c>
      <c r="S946">
        <v>5</v>
      </c>
    </row>
    <row r="947" spans="1:19" x14ac:dyDescent="0.3">
      <c r="A947" t="s">
        <v>1006</v>
      </c>
      <c r="B947" s="2">
        <v>46172</v>
      </c>
      <c r="C947" t="s">
        <v>82</v>
      </c>
      <c r="D947" t="s">
        <v>21</v>
      </c>
      <c r="E947" t="s">
        <v>22</v>
      </c>
      <c r="F947" t="s">
        <v>40</v>
      </c>
      <c r="G947" t="s">
        <v>24</v>
      </c>
      <c r="H947" t="s">
        <v>25</v>
      </c>
      <c r="I947">
        <v>4</v>
      </c>
      <c r="J947" s="3">
        <v>41588</v>
      </c>
      <c r="K947" s="4">
        <v>0</v>
      </c>
      <c r="L947" s="3">
        <v>166352</v>
      </c>
      <c r="M947" s="3">
        <v>0</v>
      </c>
      <c r="N947" s="3">
        <v>166352</v>
      </c>
      <c r="O947" s="3">
        <v>99948.63</v>
      </c>
      <c r="P947" s="3">
        <v>66403.37</v>
      </c>
      <c r="Q947" t="s">
        <v>201</v>
      </c>
      <c r="R947">
        <v>2026</v>
      </c>
      <c r="S947">
        <v>5</v>
      </c>
    </row>
    <row r="948" spans="1:19" x14ac:dyDescent="0.3">
      <c r="A948" t="s">
        <v>1007</v>
      </c>
      <c r="B948" s="2">
        <v>46172</v>
      </c>
      <c r="C948" t="s">
        <v>33</v>
      </c>
      <c r="D948" t="s">
        <v>34</v>
      </c>
      <c r="E948" t="s">
        <v>22</v>
      </c>
      <c r="F948" t="s">
        <v>37</v>
      </c>
      <c r="G948" t="s">
        <v>24</v>
      </c>
      <c r="H948" t="s">
        <v>25</v>
      </c>
      <c r="I948">
        <v>3</v>
      </c>
      <c r="J948" s="3">
        <v>43301</v>
      </c>
      <c r="K948" s="4">
        <v>0</v>
      </c>
      <c r="L948" s="3">
        <v>129903</v>
      </c>
      <c r="M948" s="3">
        <v>0</v>
      </c>
      <c r="N948" s="3">
        <v>129903</v>
      </c>
      <c r="O948" s="3">
        <v>79361.66</v>
      </c>
      <c r="P948" s="3">
        <v>50541.34</v>
      </c>
      <c r="Q948" t="s">
        <v>201</v>
      </c>
      <c r="R948">
        <v>2026</v>
      </c>
      <c r="S948">
        <v>5</v>
      </c>
    </row>
    <row r="949" spans="1:19" x14ac:dyDescent="0.3">
      <c r="A949" t="s">
        <v>1008</v>
      </c>
      <c r="B949" s="2">
        <v>46172</v>
      </c>
      <c r="C949" t="s">
        <v>46</v>
      </c>
      <c r="D949" t="s">
        <v>21</v>
      </c>
      <c r="E949" t="s">
        <v>22</v>
      </c>
      <c r="F949" t="s">
        <v>23</v>
      </c>
      <c r="G949" t="s">
        <v>31</v>
      </c>
      <c r="H949" t="s">
        <v>25</v>
      </c>
      <c r="I949">
        <v>4</v>
      </c>
      <c r="J949" s="3">
        <v>11685</v>
      </c>
      <c r="K949" s="4">
        <v>0</v>
      </c>
      <c r="L949" s="3">
        <v>46740</v>
      </c>
      <c r="M949" s="3">
        <v>0</v>
      </c>
      <c r="N949" s="3">
        <v>46740</v>
      </c>
      <c r="O949" s="3">
        <v>23397.16</v>
      </c>
      <c r="P949" s="3">
        <v>23342.84</v>
      </c>
      <c r="Q949" t="s">
        <v>201</v>
      </c>
      <c r="R949">
        <v>2026</v>
      </c>
      <c r="S949">
        <v>5</v>
      </c>
    </row>
    <row r="950" spans="1:19" x14ac:dyDescent="0.3">
      <c r="A950" t="s">
        <v>1009</v>
      </c>
      <c r="B950" s="2">
        <v>46174</v>
      </c>
      <c r="C950" t="s">
        <v>50</v>
      </c>
      <c r="D950" t="s">
        <v>34</v>
      </c>
      <c r="E950" t="s">
        <v>22</v>
      </c>
      <c r="F950" t="s">
        <v>40</v>
      </c>
      <c r="G950" t="s">
        <v>24</v>
      </c>
      <c r="H950" t="s">
        <v>25</v>
      </c>
      <c r="I950">
        <v>1</v>
      </c>
      <c r="J950" s="3">
        <v>18269</v>
      </c>
      <c r="K950" s="4">
        <v>0</v>
      </c>
      <c r="L950" s="3">
        <v>18269</v>
      </c>
      <c r="M950" s="3">
        <v>0</v>
      </c>
      <c r="N950" s="3">
        <v>18269</v>
      </c>
      <c r="O950" s="3">
        <v>10331.27</v>
      </c>
      <c r="P950" s="3">
        <v>7937.73</v>
      </c>
      <c r="Q950" t="s">
        <v>241</v>
      </c>
      <c r="R950">
        <v>2026</v>
      </c>
      <c r="S950">
        <v>6</v>
      </c>
    </row>
    <row r="951" spans="1:19" x14ac:dyDescent="0.3">
      <c r="A951" t="s">
        <v>1010</v>
      </c>
      <c r="B951" s="2">
        <v>46174</v>
      </c>
      <c r="C951" t="s">
        <v>82</v>
      </c>
      <c r="D951" t="s">
        <v>21</v>
      </c>
      <c r="E951" t="s">
        <v>22</v>
      </c>
      <c r="F951" t="s">
        <v>35</v>
      </c>
      <c r="G951" t="s">
        <v>24</v>
      </c>
      <c r="H951" t="s">
        <v>240</v>
      </c>
      <c r="I951">
        <v>3</v>
      </c>
      <c r="J951" s="3">
        <v>43157</v>
      </c>
      <c r="K951" s="4">
        <v>10</v>
      </c>
      <c r="L951" s="3">
        <v>129471</v>
      </c>
      <c r="M951" s="3">
        <v>12947.1</v>
      </c>
      <c r="N951" s="3">
        <v>116523.9</v>
      </c>
      <c r="O951" s="3">
        <v>73013.16</v>
      </c>
      <c r="P951" s="3">
        <v>43510.74</v>
      </c>
      <c r="Q951" t="s">
        <v>241</v>
      </c>
      <c r="R951">
        <v>2026</v>
      </c>
      <c r="S951">
        <v>6</v>
      </c>
    </row>
    <row r="952" spans="1:19" x14ac:dyDescent="0.3">
      <c r="A952" t="s">
        <v>1011</v>
      </c>
      <c r="B952" s="2">
        <v>46174</v>
      </c>
      <c r="C952" t="s">
        <v>33</v>
      </c>
      <c r="D952" t="s">
        <v>34</v>
      </c>
      <c r="E952" t="s">
        <v>44</v>
      </c>
      <c r="F952" t="s">
        <v>23</v>
      </c>
      <c r="G952" t="s">
        <v>31</v>
      </c>
      <c r="H952" t="s">
        <v>25</v>
      </c>
      <c r="I952">
        <v>1</v>
      </c>
      <c r="J952" s="3">
        <v>41722</v>
      </c>
      <c r="K952" s="4">
        <v>0</v>
      </c>
      <c r="L952" s="3">
        <v>41722</v>
      </c>
      <c r="M952" s="3">
        <v>0</v>
      </c>
      <c r="N952" s="3">
        <v>41722</v>
      </c>
      <c r="O952" s="3">
        <v>24175.74</v>
      </c>
      <c r="P952" s="3">
        <v>17546.259999999998</v>
      </c>
      <c r="Q952" t="s">
        <v>241</v>
      </c>
      <c r="R952">
        <v>2026</v>
      </c>
      <c r="S952">
        <v>6</v>
      </c>
    </row>
    <row r="953" spans="1:19" x14ac:dyDescent="0.3">
      <c r="A953" t="s">
        <v>1012</v>
      </c>
      <c r="B953" s="2">
        <v>46175</v>
      </c>
      <c r="C953" t="s">
        <v>50</v>
      </c>
      <c r="D953" t="s">
        <v>34</v>
      </c>
      <c r="E953" t="s">
        <v>22</v>
      </c>
      <c r="F953" t="s">
        <v>30</v>
      </c>
      <c r="G953" t="s">
        <v>31</v>
      </c>
      <c r="H953" t="s">
        <v>25</v>
      </c>
      <c r="I953">
        <v>2</v>
      </c>
      <c r="J953" s="3">
        <v>16861</v>
      </c>
      <c r="K953" s="4">
        <v>0</v>
      </c>
      <c r="L953" s="3">
        <v>33722</v>
      </c>
      <c r="M953" s="3">
        <v>0</v>
      </c>
      <c r="N953" s="3">
        <v>33722</v>
      </c>
      <c r="O953" s="3">
        <v>18783.96</v>
      </c>
      <c r="P953" s="3">
        <v>14938.04</v>
      </c>
      <c r="Q953" t="s">
        <v>241</v>
      </c>
      <c r="R953">
        <v>2026</v>
      </c>
      <c r="S953">
        <v>6</v>
      </c>
    </row>
    <row r="954" spans="1:19" x14ac:dyDescent="0.3">
      <c r="A954" t="s">
        <v>1013</v>
      </c>
      <c r="B954" s="2">
        <v>46175</v>
      </c>
      <c r="C954" t="s">
        <v>28</v>
      </c>
      <c r="D954" t="s">
        <v>29</v>
      </c>
      <c r="E954" t="s">
        <v>22</v>
      </c>
      <c r="F954" t="s">
        <v>37</v>
      </c>
      <c r="G954" t="s">
        <v>31</v>
      </c>
      <c r="H954" t="s">
        <v>25</v>
      </c>
      <c r="I954">
        <v>2</v>
      </c>
      <c r="J954" s="3">
        <v>66506</v>
      </c>
      <c r="K954" s="4">
        <v>0</v>
      </c>
      <c r="L954" s="3">
        <v>133012</v>
      </c>
      <c r="M954" s="3">
        <v>0</v>
      </c>
      <c r="N954" s="3">
        <v>0</v>
      </c>
      <c r="O954" s="3">
        <v>75274.759999999995</v>
      </c>
      <c r="P954" s="3">
        <v>0</v>
      </c>
      <c r="Q954" t="s">
        <v>241</v>
      </c>
      <c r="R954">
        <v>2026</v>
      </c>
      <c r="S954">
        <v>6</v>
      </c>
    </row>
    <row r="955" spans="1:19" x14ac:dyDescent="0.3">
      <c r="A955" t="s">
        <v>1014</v>
      </c>
      <c r="B955" s="2">
        <v>46176</v>
      </c>
      <c r="C955" t="s">
        <v>82</v>
      </c>
      <c r="D955" t="s">
        <v>21</v>
      </c>
      <c r="E955" t="s">
        <v>56</v>
      </c>
      <c r="F955" t="s">
        <v>37</v>
      </c>
      <c r="G955" t="s">
        <v>31</v>
      </c>
      <c r="H955" t="s">
        <v>240</v>
      </c>
      <c r="I955">
        <v>2</v>
      </c>
      <c r="J955" s="3">
        <v>42899</v>
      </c>
      <c r="K955" s="4">
        <v>10</v>
      </c>
      <c r="L955" s="3">
        <v>85798</v>
      </c>
      <c r="M955" s="3">
        <v>8579.7999999999993</v>
      </c>
      <c r="N955" s="3">
        <v>77218.2</v>
      </c>
      <c r="O955" s="3">
        <v>44436.42</v>
      </c>
      <c r="P955" s="3">
        <v>32781.78</v>
      </c>
      <c r="Q955" t="s">
        <v>241</v>
      </c>
      <c r="R955">
        <v>2026</v>
      </c>
      <c r="S955">
        <v>6</v>
      </c>
    </row>
    <row r="956" spans="1:19" x14ac:dyDescent="0.3">
      <c r="A956" t="s">
        <v>1015</v>
      </c>
      <c r="B956" s="2">
        <v>46176</v>
      </c>
      <c r="C956" t="s">
        <v>71</v>
      </c>
      <c r="D956" t="s">
        <v>34</v>
      </c>
      <c r="E956" t="s">
        <v>22</v>
      </c>
      <c r="F956" t="s">
        <v>40</v>
      </c>
      <c r="G956" t="s">
        <v>31</v>
      </c>
      <c r="H956" t="s">
        <v>25</v>
      </c>
      <c r="I956">
        <v>2</v>
      </c>
      <c r="J956" s="3">
        <v>49218</v>
      </c>
      <c r="K956" s="4">
        <v>0</v>
      </c>
      <c r="L956" s="3">
        <v>98436</v>
      </c>
      <c r="M956" s="3">
        <v>0</v>
      </c>
      <c r="N956" s="3">
        <v>98436</v>
      </c>
      <c r="O956" s="3">
        <v>59563.19</v>
      </c>
      <c r="P956" s="3">
        <v>38872.81</v>
      </c>
      <c r="Q956" t="s">
        <v>241</v>
      </c>
      <c r="R956">
        <v>2026</v>
      </c>
      <c r="S956">
        <v>6</v>
      </c>
    </row>
    <row r="957" spans="1:19" x14ac:dyDescent="0.3">
      <c r="A957" t="s">
        <v>1016</v>
      </c>
      <c r="B957" s="2">
        <v>46177</v>
      </c>
      <c r="C957" t="s">
        <v>28</v>
      </c>
      <c r="D957" t="s">
        <v>29</v>
      </c>
      <c r="E957" t="s">
        <v>42</v>
      </c>
      <c r="F957" t="s">
        <v>40</v>
      </c>
      <c r="G957" t="s">
        <v>24</v>
      </c>
      <c r="H957" t="s">
        <v>240</v>
      </c>
      <c r="I957">
        <v>1</v>
      </c>
      <c r="J957" s="3">
        <v>69406</v>
      </c>
      <c r="K957" s="4">
        <v>5</v>
      </c>
      <c r="L957" s="3">
        <v>69406</v>
      </c>
      <c r="M957" s="3">
        <v>3470.3</v>
      </c>
      <c r="N957" s="3">
        <v>65935.7</v>
      </c>
      <c r="O957" s="3">
        <v>38229.72</v>
      </c>
      <c r="P957" s="3">
        <v>27705.98</v>
      </c>
      <c r="Q957" t="s">
        <v>241</v>
      </c>
      <c r="R957">
        <v>2026</v>
      </c>
      <c r="S957">
        <v>6</v>
      </c>
    </row>
    <row r="958" spans="1:19" x14ac:dyDescent="0.3">
      <c r="A958" t="s">
        <v>1017</v>
      </c>
      <c r="B958" s="2">
        <v>46179</v>
      </c>
      <c r="C958" t="s">
        <v>82</v>
      </c>
      <c r="D958" t="s">
        <v>21</v>
      </c>
      <c r="E958" t="s">
        <v>44</v>
      </c>
      <c r="F958" t="s">
        <v>40</v>
      </c>
      <c r="G958" t="s">
        <v>24</v>
      </c>
      <c r="H958" t="s">
        <v>25</v>
      </c>
      <c r="I958">
        <v>1</v>
      </c>
      <c r="J958" s="3">
        <v>45376</v>
      </c>
      <c r="K958" s="4">
        <v>0</v>
      </c>
      <c r="L958" s="3">
        <v>45376</v>
      </c>
      <c r="M958" s="3">
        <v>0</v>
      </c>
      <c r="N958" s="3">
        <v>45376</v>
      </c>
      <c r="O958" s="3">
        <v>24710.87</v>
      </c>
      <c r="P958" s="3">
        <v>20665.13</v>
      </c>
      <c r="Q958" t="s">
        <v>241</v>
      </c>
      <c r="R958">
        <v>2026</v>
      </c>
      <c r="S958">
        <v>6</v>
      </c>
    </row>
    <row r="959" spans="1:19" x14ac:dyDescent="0.3">
      <c r="A959" t="s">
        <v>1018</v>
      </c>
      <c r="B959" s="2">
        <v>46182</v>
      </c>
      <c r="C959" t="s">
        <v>33</v>
      </c>
      <c r="D959" t="s">
        <v>34</v>
      </c>
      <c r="E959" t="s">
        <v>42</v>
      </c>
      <c r="F959" t="s">
        <v>23</v>
      </c>
      <c r="G959" t="s">
        <v>24</v>
      </c>
      <c r="H959" t="s">
        <v>240</v>
      </c>
      <c r="I959">
        <v>2</v>
      </c>
      <c r="J959" s="3">
        <v>40686</v>
      </c>
      <c r="K959" s="4">
        <v>10</v>
      </c>
      <c r="L959" s="3">
        <v>81372</v>
      </c>
      <c r="M959" s="3">
        <v>8137.2</v>
      </c>
      <c r="N959" s="3">
        <v>73234.8</v>
      </c>
      <c r="O959" s="3">
        <v>49519.38</v>
      </c>
      <c r="P959" s="3">
        <v>23715.42</v>
      </c>
      <c r="Q959" t="s">
        <v>241</v>
      </c>
      <c r="R959">
        <v>2026</v>
      </c>
      <c r="S959">
        <v>6</v>
      </c>
    </row>
    <row r="960" spans="1:19" x14ac:dyDescent="0.3">
      <c r="A960" t="s">
        <v>1019</v>
      </c>
      <c r="B960" s="2">
        <v>46183</v>
      </c>
      <c r="C960" t="s">
        <v>33</v>
      </c>
      <c r="D960" t="s">
        <v>34</v>
      </c>
      <c r="E960" t="s">
        <v>42</v>
      </c>
      <c r="F960" t="s">
        <v>30</v>
      </c>
      <c r="G960" t="s">
        <v>24</v>
      </c>
      <c r="H960" t="s">
        <v>25</v>
      </c>
      <c r="I960">
        <v>1</v>
      </c>
      <c r="J960" s="3">
        <v>41259</v>
      </c>
      <c r="K960" s="4">
        <v>0</v>
      </c>
      <c r="L960" s="3">
        <v>41259</v>
      </c>
      <c r="M960" s="3">
        <v>0</v>
      </c>
      <c r="N960" s="3">
        <v>41259</v>
      </c>
      <c r="O960" s="3">
        <v>21675.25</v>
      </c>
      <c r="P960" s="3">
        <v>19583.75</v>
      </c>
      <c r="Q960" t="s">
        <v>241</v>
      </c>
      <c r="R960">
        <v>2026</v>
      </c>
      <c r="S960">
        <v>6</v>
      </c>
    </row>
    <row r="961" spans="1:19" x14ac:dyDescent="0.3">
      <c r="A961" t="s">
        <v>1020</v>
      </c>
      <c r="B961" s="2">
        <v>46184</v>
      </c>
      <c r="C961" t="s">
        <v>28</v>
      </c>
      <c r="D961" t="s">
        <v>29</v>
      </c>
      <c r="E961" t="s">
        <v>22</v>
      </c>
      <c r="F961" t="s">
        <v>23</v>
      </c>
      <c r="G961" t="s">
        <v>24</v>
      </c>
      <c r="H961" t="s">
        <v>240</v>
      </c>
      <c r="I961">
        <v>2</v>
      </c>
      <c r="J961" s="3">
        <v>68363</v>
      </c>
      <c r="K961" s="4">
        <v>10</v>
      </c>
      <c r="L961" s="3">
        <v>136726</v>
      </c>
      <c r="M961" s="3">
        <v>13672.6</v>
      </c>
      <c r="N961" s="3">
        <v>123053.4</v>
      </c>
      <c r="O961" s="3">
        <v>76868.52</v>
      </c>
      <c r="P961" s="3">
        <v>46184.88</v>
      </c>
      <c r="Q961" t="s">
        <v>241</v>
      </c>
      <c r="R961">
        <v>2026</v>
      </c>
      <c r="S961">
        <v>6</v>
      </c>
    </row>
    <row r="962" spans="1:19" x14ac:dyDescent="0.3">
      <c r="A962" t="s">
        <v>1021</v>
      </c>
      <c r="B962" s="2">
        <v>46185</v>
      </c>
      <c r="C962" t="s">
        <v>82</v>
      </c>
      <c r="D962" t="s">
        <v>21</v>
      </c>
      <c r="E962" t="s">
        <v>22</v>
      </c>
      <c r="F962" t="s">
        <v>40</v>
      </c>
      <c r="G962" t="s">
        <v>31</v>
      </c>
      <c r="H962" t="s">
        <v>240</v>
      </c>
      <c r="I962">
        <v>1</v>
      </c>
      <c r="J962" s="3">
        <v>46876</v>
      </c>
      <c r="K962" s="4">
        <v>5</v>
      </c>
      <c r="L962" s="3">
        <v>46876</v>
      </c>
      <c r="M962" s="3">
        <v>2343.8000000000002</v>
      </c>
      <c r="N962" s="3">
        <v>44532.2</v>
      </c>
      <c r="O962" s="3">
        <v>25715.16</v>
      </c>
      <c r="P962" s="3">
        <v>18817.04</v>
      </c>
      <c r="Q962" t="s">
        <v>241</v>
      </c>
      <c r="R962">
        <v>2026</v>
      </c>
      <c r="S962">
        <v>6</v>
      </c>
    </row>
    <row r="963" spans="1:19" x14ac:dyDescent="0.3">
      <c r="A963" t="s">
        <v>1022</v>
      </c>
      <c r="B963" s="2">
        <v>46186</v>
      </c>
      <c r="C963" t="s">
        <v>48</v>
      </c>
      <c r="D963" t="s">
        <v>34</v>
      </c>
      <c r="E963" t="s">
        <v>42</v>
      </c>
      <c r="F963" t="s">
        <v>23</v>
      </c>
      <c r="G963" t="s">
        <v>24</v>
      </c>
      <c r="H963" t="s">
        <v>25</v>
      </c>
      <c r="I963">
        <v>1</v>
      </c>
      <c r="J963" s="3">
        <v>26929</v>
      </c>
      <c r="K963" s="4">
        <v>0</v>
      </c>
      <c r="L963" s="3">
        <v>26929</v>
      </c>
      <c r="M963" s="3">
        <v>0</v>
      </c>
      <c r="N963" s="3">
        <v>26929</v>
      </c>
      <c r="O963" s="3">
        <v>15290.99</v>
      </c>
      <c r="P963" s="3">
        <v>11638.01</v>
      </c>
      <c r="Q963" t="s">
        <v>241</v>
      </c>
      <c r="R963">
        <v>2026</v>
      </c>
      <c r="S963">
        <v>6</v>
      </c>
    </row>
    <row r="964" spans="1:19" x14ac:dyDescent="0.3">
      <c r="A964" t="s">
        <v>1023</v>
      </c>
      <c r="B964" s="2">
        <v>46187</v>
      </c>
      <c r="C964" t="s">
        <v>33</v>
      </c>
      <c r="D964" t="s">
        <v>34</v>
      </c>
      <c r="E964" t="s">
        <v>22</v>
      </c>
      <c r="F964" t="s">
        <v>30</v>
      </c>
      <c r="G964" t="s">
        <v>24</v>
      </c>
      <c r="H964" t="s">
        <v>25</v>
      </c>
      <c r="I964">
        <v>3</v>
      </c>
      <c r="J964" s="3">
        <v>43782</v>
      </c>
      <c r="K964" s="4">
        <v>0</v>
      </c>
      <c r="L964" s="3">
        <v>131346</v>
      </c>
      <c r="M964" s="3">
        <v>0</v>
      </c>
      <c r="N964" s="3">
        <v>131346</v>
      </c>
      <c r="O964" s="3">
        <v>80323.759999999995</v>
      </c>
      <c r="P964" s="3">
        <v>51022.239999999998</v>
      </c>
      <c r="Q964" t="s">
        <v>241</v>
      </c>
      <c r="R964">
        <v>2026</v>
      </c>
      <c r="S964">
        <v>6</v>
      </c>
    </row>
    <row r="965" spans="1:19" x14ac:dyDescent="0.3">
      <c r="A965" t="s">
        <v>1024</v>
      </c>
      <c r="B965" s="2">
        <v>46188</v>
      </c>
      <c r="C965" t="s">
        <v>20</v>
      </c>
      <c r="D965" t="s">
        <v>21</v>
      </c>
      <c r="E965" t="s">
        <v>44</v>
      </c>
      <c r="F965" t="s">
        <v>40</v>
      </c>
      <c r="G965" t="s">
        <v>24</v>
      </c>
      <c r="H965" t="s">
        <v>25</v>
      </c>
      <c r="I965">
        <v>2</v>
      </c>
      <c r="J965" s="3">
        <v>14892</v>
      </c>
      <c r="K965" s="4">
        <v>0</v>
      </c>
      <c r="L965" s="3">
        <v>29784</v>
      </c>
      <c r="M965" s="3">
        <v>0</v>
      </c>
      <c r="N965" s="3">
        <v>29784</v>
      </c>
      <c r="O965" s="3">
        <v>18647.72</v>
      </c>
      <c r="P965" s="3">
        <v>11136.28</v>
      </c>
      <c r="Q965" t="s">
        <v>241</v>
      </c>
      <c r="R965">
        <v>2026</v>
      </c>
      <c r="S965">
        <v>6</v>
      </c>
    </row>
    <row r="966" spans="1:19" x14ac:dyDescent="0.3">
      <c r="A966" t="s">
        <v>1025</v>
      </c>
      <c r="B966" s="2">
        <v>46188</v>
      </c>
      <c r="C966" t="s">
        <v>46</v>
      </c>
      <c r="D966" t="s">
        <v>21</v>
      </c>
      <c r="E966" t="s">
        <v>42</v>
      </c>
      <c r="F966" t="s">
        <v>40</v>
      </c>
      <c r="G966" t="s">
        <v>24</v>
      </c>
      <c r="H966" t="s">
        <v>240</v>
      </c>
      <c r="I966">
        <v>1</v>
      </c>
      <c r="J966" s="3">
        <v>11879</v>
      </c>
      <c r="K966" s="4">
        <v>5</v>
      </c>
      <c r="L966" s="3">
        <v>11879</v>
      </c>
      <c r="M966" s="3">
        <v>593.95000000000005</v>
      </c>
      <c r="N966" s="3">
        <v>11285.05</v>
      </c>
      <c r="O966" s="3">
        <v>5825.23</v>
      </c>
      <c r="P966" s="3">
        <v>5459.82</v>
      </c>
      <c r="Q966" t="s">
        <v>241</v>
      </c>
      <c r="R966">
        <v>2026</v>
      </c>
      <c r="S966">
        <v>6</v>
      </c>
    </row>
    <row r="967" spans="1:19" x14ac:dyDescent="0.3">
      <c r="A967" t="s">
        <v>1026</v>
      </c>
      <c r="B967" s="2">
        <v>46189</v>
      </c>
      <c r="C967" t="s">
        <v>33</v>
      </c>
      <c r="D967" t="s">
        <v>34</v>
      </c>
      <c r="E967" t="s">
        <v>22</v>
      </c>
      <c r="F967" t="s">
        <v>40</v>
      </c>
      <c r="G967" t="s">
        <v>24</v>
      </c>
      <c r="H967" t="s">
        <v>240</v>
      </c>
      <c r="I967">
        <v>5</v>
      </c>
      <c r="J967" s="3">
        <v>42151</v>
      </c>
      <c r="K967" s="4">
        <v>15</v>
      </c>
      <c r="L967" s="3">
        <v>210755</v>
      </c>
      <c r="M967" s="3">
        <v>31613.25</v>
      </c>
      <c r="N967" s="3">
        <v>179141.75</v>
      </c>
      <c r="O967" s="3">
        <v>137387.64000000001</v>
      </c>
      <c r="P967" s="3">
        <v>41754.11</v>
      </c>
      <c r="Q967" t="s">
        <v>241</v>
      </c>
      <c r="R967">
        <v>2026</v>
      </c>
      <c r="S967">
        <v>6</v>
      </c>
    </row>
    <row r="968" spans="1:19" x14ac:dyDescent="0.3">
      <c r="A968" t="s">
        <v>1027</v>
      </c>
      <c r="B968" s="2">
        <v>46189</v>
      </c>
      <c r="C968" t="s">
        <v>48</v>
      </c>
      <c r="D968" t="s">
        <v>34</v>
      </c>
      <c r="E968" t="s">
        <v>42</v>
      </c>
      <c r="F968" t="s">
        <v>40</v>
      </c>
      <c r="G968" t="s">
        <v>24</v>
      </c>
      <c r="H968" t="s">
        <v>25</v>
      </c>
      <c r="I968">
        <v>2</v>
      </c>
      <c r="J968" s="3">
        <v>24439</v>
      </c>
      <c r="K968" s="4">
        <v>0</v>
      </c>
      <c r="L968" s="3">
        <v>48878</v>
      </c>
      <c r="M968" s="3">
        <v>0</v>
      </c>
      <c r="N968" s="3">
        <v>48878</v>
      </c>
      <c r="O968" s="3">
        <v>23858.29</v>
      </c>
      <c r="P968" s="3">
        <v>25019.71</v>
      </c>
      <c r="Q968" t="s">
        <v>241</v>
      </c>
      <c r="R968">
        <v>2026</v>
      </c>
      <c r="S968">
        <v>6</v>
      </c>
    </row>
    <row r="969" spans="1:19" x14ac:dyDescent="0.3">
      <c r="A969" t="s">
        <v>1028</v>
      </c>
      <c r="B969" s="2">
        <v>46190</v>
      </c>
      <c r="C969" t="s">
        <v>50</v>
      </c>
      <c r="D969" t="s">
        <v>34</v>
      </c>
      <c r="E969" t="s">
        <v>56</v>
      </c>
      <c r="F969" t="s">
        <v>37</v>
      </c>
      <c r="G969" t="s">
        <v>31</v>
      </c>
      <c r="H969" t="s">
        <v>25</v>
      </c>
      <c r="I969">
        <v>1</v>
      </c>
      <c r="J969" s="3">
        <v>18986</v>
      </c>
      <c r="K969" s="4">
        <v>0</v>
      </c>
      <c r="L969" s="3">
        <v>18986</v>
      </c>
      <c r="M969" s="3">
        <v>0</v>
      </c>
      <c r="N969" s="3">
        <v>18986</v>
      </c>
      <c r="O969" s="3">
        <v>12403.28</v>
      </c>
      <c r="P969" s="3">
        <v>6582.72</v>
      </c>
      <c r="Q969" t="s">
        <v>241</v>
      </c>
      <c r="R969">
        <v>2026</v>
      </c>
      <c r="S969">
        <v>6</v>
      </c>
    </row>
    <row r="970" spans="1:19" x14ac:dyDescent="0.3">
      <c r="A970" t="s">
        <v>1029</v>
      </c>
      <c r="B970" s="2">
        <v>46191</v>
      </c>
      <c r="C970" t="s">
        <v>48</v>
      </c>
      <c r="D970" t="s">
        <v>34</v>
      </c>
      <c r="E970" t="s">
        <v>22</v>
      </c>
      <c r="F970" t="s">
        <v>40</v>
      </c>
      <c r="G970" t="s">
        <v>24</v>
      </c>
      <c r="H970" t="s">
        <v>240</v>
      </c>
      <c r="I970">
        <v>3</v>
      </c>
      <c r="J970" s="3">
        <v>24292</v>
      </c>
      <c r="K970" s="4">
        <v>10</v>
      </c>
      <c r="L970" s="3">
        <v>72876</v>
      </c>
      <c r="M970" s="3">
        <v>7287.6</v>
      </c>
      <c r="N970" s="3">
        <v>65588.399999999994</v>
      </c>
      <c r="O970" s="3">
        <v>40275.980000000003</v>
      </c>
      <c r="P970" s="3">
        <v>25312.42</v>
      </c>
      <c r="Q970" t="s">
        <v>241</v>
      </c>
      <c r="R970">
        <v>2026</v>
      </c>
      <c r="S970">
        <v>6</v>
      </c>
    </row>
    <row r="971" spans="1:19" x14ac:dyDescent="0.3">
      <c r="A971" t="s">
        <v>1030</v>
      </c>
      <c r="B971" s="2">
        <v>46191</v>
      </c>
      <c r="C971" t="s">
        <v>64</v>
      </c>
      <c r="D971" t="s">
        <v>29</v>
      </c>
      <c r="E971" t="s">
        <v>42</v>
      </c>
      <c r="F971" t="s">
        <v>30</v>
      </c>
      <c r="G971" t="s">
        <v>31</v>
      </c>
      <c r="H971" t="s">
        <v>240</v>
      </c>
      <c r="I971">
        <v>1</v>
      </c>
      <c r="J971" s="3">
        <v>30382</v>
      </c>
      <c r="K971" s="4">
        <v>20</v>
      </c>
      <c r="L971" s="3">
        <v>30382</v>
      </c>
      <c r="M971" s="3">
        <v>6076.4</v>
      </c>
      <c r="N971" s="3">
        <v>24305.599999999999</v>
      </c>
      <c r="O971" s="3">
        <v>20122.47</v>
      </c>
      <c r="P971" s="3">
        <v>4183.13</v>
      </c>
      <c r="Q971" t="s">
        <v>241</v>
      </c>
      <c r="R971">
        <v>2026</v>
      </c>
      <c r="S971">
        <v>6</v>
      </c>
    </row>
    <row r="972" spans="1:19" x14ac:dyDescent="0.3">
      <c r="A972" t="s">
        <v>1031</v>
      </c>
      <c r="B972" s="2">
        <v>46191</v>
      </c>
      <c r="C972" t="s">
        <v>82</v>
      </c>
      <c r="D972" t="s">
        <v>21</v>
      </c>
      <c r="E972" t="s">
        <v>42</v>
      </c>
      <c r="F972" t="s">
        <v>40</v>
      </c>
      <c r="G972" t="s">
        <v>31</v>
      </c>
      <c r="H972" t="s">
        <v>25</v>
      </c>
      <c r="I972">
        <v>3</v>
      </c>
      <c r="J972" s="3">
        <v>42605</v>
      </c>
      <c r="K972" s="4">
        <v>0</v>
      </c>
      <c r="L972" s="3">
        <v>127815</v>
      </c>
      <c r="M972" s="3">
        <v>0</v>
      </c>
      <c r="N972" s="3">
        <v>127815</v>
      </c>
      <c r="O972" s="3">
        <v>70389.64</v>
      </c>
      <c r="P972" s="3">
        <v>57425.36</v>
      </c>
      <c r="Q972" t="s">
        <v>241</v>
      </c>
      <c r="R972">
        <v>2026</v>
      </c>
      <c r="S972">
        <v>6</v>
      </c>
    </row>
    <row r="973" spans="1:19" x14ac:dyDescent="0.3">
      <c r="A973" t="s">
        <v>1032</v>
      </c>
      <c r="B973" s="2">
        <v>46193</v>
      </c>
      <c r="C973" t="s">
        <v>71</v>
      </c>
      <c r="D973" t="s">
        <v>34</v>
      </c>
      <c r="E973" t="s">
        <v>56</v>
      </c>
      <c r="F973" t="s">
        <v>40</v>
      </c>
      <c r="G973" t="s">
        <v>31</v>
      </c>
      <c r="H973" t="s">
        <v>25</v>
      </c>
      <c r="I973">
        <v>1</v>
      </c>
      <c r="J973" s="3">
        <v>48805</v>
      </c>
      <c r="K973" s="4">
        <v>0</v>
      </c>
      <c r="L973" s="3">
        <v>48805</v>
      </c>
      <c r="M973" s="3">
        <v>0</v>
      </c>
      <c r="N973" s="3">
        <v>48805</v>
      </c>
      <c r="O973" s="3">
        <v>29111.22</v>
      </c>
      <c r="P973" s="3">
        <v>19693.78</v>
      </c>
      <c r="Q973" t="s">
        <v>241</v>
      </c>
      <c r="R973">
        <v>2026</v>
      </c>
      <c r="S973">
        <v>6</v>
      </c>
    </row>
    <row r="974" spans="1:19" x14ac:dyDescent="0.3">
      <c r="A974" t="s">
        <v>1033</v>
      </c>
      <c r="B974" s="2">
        <v>46194</v>
      </c>
      <c r="C974" t="s">
        <v>64</v>
      </c>
      <c r="D974" t="s">
        <v>29</v>
      </c>
      <c r="E974" t="s">
        <v>22</v>
      </c>
      <c r="F974" t="s">
        <v>23</v>
      </c>
      <c r="G974" t="s">
        <v>24</v>
      </c>
      <c r="H974" t="s">
        <v>25</v>
      </c>
      <c r="I974">
        <v>4</v>
      </c>
      <c r="J974" s="3">
        <v>31233</v>
      </c>
      <c r="K974" s="4">
        <v>0</v>
      </c>
      <c r="L974" s="3">
        <v>124932</v>
      </c>
      <c r="M974" s="3">
        <v>0</v>
      </c>
      <c r="N974" s="3">
        <v>124932</v>
      </c>
      <c r="O974" s="3">
        <v>60139.22</v>
      </c>
      <c r="P974" s="3">
        <v>64792.78</v>
      </c>
      <c r="Q974" t="s">
        <v>241</v>
      </c>
      <c r="R974">
        <v>2026</v>
      </c>
      <c r="S974">
        <v>6</v>
      </c>
    </row>
    <row r="975" spans="1:19" x14ac:dyDescent="0.3">
      <c r="A975" t="s">
        <v>1034</v>
      </c>
      <c r="B975" s="2">
        <v>46196</v>
      </c>
      <c r="C975" t="s">
        <v>20</v>
      </c>
      <c r="D975" t="s">
        <v>21</v>
      </c>
      <c r="E975" t="s">
        <v>42</v>
      </c>
      <c r="F975" t="s">
        <v>40</v>
      </c>
      <c r="G975" t="s">
        <v>31</v>
      </c>
      <c r="H975" t="s">
        <v>25</v>
      </c>
      <c r="I975">
        <v>1</v>
      </c>
      <c r="J975" s="3">
        <v>15979</v>
      </c>
      <c r="K975" s="4">
        <v>15</v>
      </c>
      <c r="L975" s="3">
        <v>15979</v>
      </c>
      <c r="M975" s="3">
        <v>2396.85</v>
      </c>
      <c r="N975" s="3">
        <v>13582.15</v>
      </c>
      <c r="O975" s="3">
        <v>10790.34</v>
      </c>
      <c r="P975" s="3">
        <v>2791.81</v>
      </c>
      <c r="Q975" t="s">
        <v>241</v>
      </c>
      <c r="R975">
        <v>2026</v>
      </c>
      <c r="S975">
        <v>6</v>
      </c>
    </row>
    <row r="976" spans="1:19" x14ac:dyDescent="0.3">
      <c r="A976" t="s">
        <v>1035</v>
      </c>
      <c r="B976" s="2">
        <v>46197</v>
      </c>
      <c r="C976" t="s">
        <v>50</v>
      </c>
      <c r="D976" t="s">
        <v>34</v>
      </c>
      <c r="E976" t="s">
        <v>42</v>
      </c>
      <c r="F976" t="s">
        <v>37</v>
      </c>
      <c r="G976" t="s">
        <v>31</v>
      </c>
      <c r="H976" t="s">
        <v>25</v>
      </c>
      <c r="I976">
        <v>1</v>
      </c>
      <c r="J976" s="3">
        <v>16671</v>
      </c>
      <c r="K976" s="4">
        <v>0</v>
      </c>
      <c r="L976" s="3">
        <v>16671</v>
      </c>
      <c r="M976" s="3">
        <v>0</v>
      </c>
      <c r="N976" s="3">
        <v>16671</v>
      </c>
      <c r="O976" s="3">
        <v>8751.07</v>
      </c>
      <c r="P976" s="3">
        <v>7919.93</v>
      </c>
      <c r="Q976" t="s">
        <v>241</v>
      </c>
      <c r="R976">
        <v>2026</v>
      </c>
      <c r="S976">
        <v>6</v>
      </c>
    </row>
    <row r="977" spans="1:19" x14ac:dyDescent="0.3">
      <c r="A977" t="s">
        <v>1036</v>
      </c>
      <c r="B977" s="2">
        <v>46200</v>
      </c>
      <c r="C977" t="s">
        <v>20</v>
      </c>
      <c r="D977" t="s">
        <v>21</v>
      </c>
      <c r="E977" t="s">
        <v>22</v>
      </c>
      <c r="F977" t="s">
        <v>23</v>
      </c>
      <c r="G977" t="s">
        <v>31</v>
      </c>
      <c r="H977" t="s">
        <v>25</v>
      </c>
      <c r="I977">
        <v>3</v>
      </c>
      <c r="J977" s="3">
        <v>14512</v>
      </c>
      <c r="K977" s="4">
        <v>0</v>
      </c>
      <c r="L977" s="3">
        <v>43536</v>
      </c>
      <c r="M977" s="3">
        <v>0</v>
      </c>
      <c r="N977" s="3">
        <v>0</v>
      </c>
      <c r="O977" s="3">
        <v>29283.13</v>
      </c>
      <c r="P977" s="3">
        <v>0</v>
      </c>
      <c r="Q977" t="s">
        <v>241</v>
      </c>
      <c r="R977">
        <v>2026</v>
      </c>
      <c r="S977">
        <v>6</v>
      </c>
    </row>
    <row r="978" spans="1:19" x14ac:dyDescent="0.3">
      <c r="A978" t="s">
        <v>1037</v>
      </c>
      <c r="B978" s="2">
        <v>46201</v>
      </c>
      <c r="C978" t="s">
        <v>20</v>
      </c>
      <c r="D978" t="s">
        <v>21</v>
      </c>
      <c r="E978" t="s">
        <v>22</v>
      </c>
      <c r="F978" t="s">
        <v>40</v>
      </c>
      <c r="G978" t="s">
        <v>24</v>
      </c>
      <c r="H978" t="s">
        <v>25</v>
      </c>
      <c r="I978">
        <v>2</v>
      </c>
      <c r="J978" s="3">
        <v>14344</v>
      </c>
      <c r="K978" s="4">
        <v>0</v>
      </c>
      <c r="L978" s="3">
        <v>28688</v>
      </c>
      <c r="M978" s="3">
        <v>0</v>
      </c>
      <c r="N978" s="3">
        <v>28688</v>
      </c>
      <c r="O978" s="3">
        <v>14696.39</v>
      </c>
      <c r="P978" s="3">
        <v>13991.61</v>
      </c>
      <c r="Q978" t="s">
        <v>241</v>
      </c>
      <c r="R978">
        <v>2026</v>
      </c>
      <c r="S978">
        <v>6</v>
      </c>
    </row>
    <row r="979" spans="1:19" x14ac:dyDescent="0.3">
      <c r="A979" t="s">
        <v>1038</v>
      </c>
      <c r="B979" s="2">
        <v>46202</v>
      </c>
      <c r="C979" t="s">
        <v>20</v>
      </c>
      <c r="D979" t="s">
        <v>21</v>
      </c>
      <c r="E979" t="s">
        <v>22</v>
      </c>
      <c r="F979" t="s">
        <v>40</v>
      </c>
      <c r="G979" t="s">
        <v>31</v>
      </c>
      <c r="H979" t="s">
        <v>25</v>
      </c>
      <c r="I979">
        <v>2</v>
      </c>
      <c r="J979" s="3">
        <v>14099</v>
      </c>
      <c r="K979" s="4">
        <v>0</v>
      </c>
      <c r="L979" s="3">
        <v>28198</v>
      </c>
      <c r="M979" s="3">
        <v>0</v>
      </c>
      <c r="N979" s="3">
        <v>28198</v>
      </c>
      <c r="O979" s="3">
        <v>17845.14</v>
      </c>
      <c r="P979" s="3">
        <v>10352.86</v>
      </c>
      <c r="Q979" t="s">
        <v>241</v>
      </c>
      <c r="R979">
        <v>2026</v>
      </c>
      <c r="S979">
        <v>6</v>
      </c>
    </row>
    <row r="980" spans="1:19" x14ac:dyDescent="0.3">
      <c r="A980" t="s">
        <v>1039</v>
      </c>
      <c r="B980" s="2">
        <v>46203</v>
      </c>
      <c r="C980" t="s">
        <v>46</v>
      </c>
      <c r="D980" t="s">
        <v>21</v>
      </c>
      <c r="E980" t="s">
        <v>42</v>
      </c>
      <c r="F980" t="s">
        <v>40</v>
      </c>
      <c r="G980" t="s">
        <v>24</v>
      </c>
      <c r="H980" t="s">
        <v>240</v>
      </c>
      <c r="I980">
        <v>2</v>
      </c>
      <c r="J980" s="3">
        <v>11082</v>
      </c>
      <c r="K980" s="4">
        <v>10</v>
      </c>
      <c r="L980" s="3">
        <v>22164</v>
      </c>
      <c r="M980" s="3">
        <v>2216.4</v>
      </c>
      <c r="N980" s="3">
        <v>19947.599999999999</v>
      </c>
      <c r="O980" s="3">
        <v>10822.36</v>
      </c>
      <c r="P980" s="3">
        <v>9125.24</v>
      </c>
      <c r="Q980" t="s">
        <v>241</v>
      </c>
      <c r="R980">
        <v>2026</v>
      </c>
      <c r="S980">
        <v>6</v>
      </c>
    </row>
    <row r="981" spans="1:19" x14ac:dyDescent="0.3">
      <c r="A981" t="s">
        <v>1040</v>
      </c>
      <c r="B981" s="2">
        <v>46204</v>
      </c>
      <c r="C981" t="s">
        <v>48</v>
      </c>
      <c r="D981" t="s">
        <v>34</v>
      </c>
      <c r="E981" t="s">
        <v>44</v>
      </c>
      <c r="F981" t="s">
        <v>35</v>
      </c>
      <c r="G981" t="s">
        <v>31</v>
      </c>
      <c r="H981" t="s">
        <v>25</v>
      </c>
      <c r="I981">
        <v>4</v>
      </c>
      <c r="J981" s="3">
        <v>23096</v>
      </c>
      <c r="K981" s="4">
        <v>0</v>
      </c>
      <c r="L981" s="3">
        <v>92384</v>
      </c>
      <c r="M981" s="3">
        <v>0</v>
      </c>
      <c r="N981" s="3">
        <v>92384</v>
      </c>
      <c r="O981" s="3">
        <v>57062.61</v>
      </c>
      <c r="P981" s="3">
        <v>35321.39</v>
      </c>
      <c r="Q981" t="s">
        <v>272</v>
      </c>
      <c r="R981">
        <v>2026</v>
      </c>
      <c r="S981">
        <v>7</v>
      </c>
    </row>
    <row r="982" spans="1:19" x14ac:dyDescent="0.3">
      <c r="A982" t="s">
        <v>1041</v>
      </c>
      <c r="B982" s="2">
        <v>46205</v>
      </c>
      <c r="C982" t="s">
        <v>50</v>
      </c>
      <c r="D982" t="s">
        <v>34</v>
      </c>
      <c r="E982" t="s">
        <v>22</v>
      </c>
      <c r="F982" t="s">
        <v>37</v>
      </c>
      <c r="G982" t="s">
        <v>31</v>
      </c>
      <c r="H982" t="s">
        <v>25</v>
      </c>
      <c r="I982">
        <v>1</v>
      </c>
      <c r="J982" s="3">
        <v>18534</v>
      </c>
      <c r="K982" s="4">
        <v>5</v>
      </c>
      <c r="L982" s="3">
        <v>18534</v>
      </c>
      <c r="M982" s="3">
        <v>926.7</v>
      </c>
      <c r="N982" s="3">
        <v>17607.3</v>
      </c>
      <c r="O982" s="3">
        <v>9351.48</v>
      </c>
      <c r="P982" s="3">
        <v>8255.82</v>
      </c>
      <c r="Q982" t="s">
        <v>272</v>
      </c>
      <c r="R982">
        <v>2026</v>
      </c>
      <c r="S982">
        <v>7</v>
      </c>
    </row>
    <row r="983" spans="1:19" x14ac:dyDescent="0.3">
      <c r="A983" t="s">
        <v>1042</v>
      </c>
      <c r="B983" s="2">
        <v>46205</v>
      </c>
      <c r="C983" t="s">
        <v>46</v>
      </c>
      <c r="D983" t="s">
        <v>21</v>
      </c>
      <c r="E983" t="s">
        <v>22</v>
      </c>
      <c r="F983" t="s">
        <v>40</v>
      </c>
      <c r="G983" t="s">
        <v>31</v>
      </c>
      <c r="H983" t="s">
        <v>240</v>
      </c>
      <c r="I983">
        <v>1</v>
      </c>
      <c r="J983" s="3">
        <v>12215</v>
      </c>
      <c r="K983" s="4">
        <v>10</v>
      </c>
      <c r="L983" s="3">
        <v>12215</v>
      </c>
      <c r="M983" s="3">
        <v>1221.5</v>
      </c>
      <c r="N983" s="3">
        <v>10993.5</v>
      </c>
      <c r="O983" s="3">
        <v>8157.32</v>
      </c>
      <c r="P983" s="3">
        <v>2836.18</v>
      </c>
      <c r="Q983" t="s">
        <v>272</v>
      </c>
      <c r="R983">
        <v>2026</v>
      </c>
      <c r="S983">
        <v>7</v>
      </c>
    </row>
    <row r="984" spans="1:19" x14ac:dyDescent="0.3">
      <c r="A984" t="s">
        <v>1043</v>
      </c>
      <c r="B984" s="2">
        <v>46206</v>
      </c>
      <c r="C984" t="s">
        <v>75</v>
      </c>
      <c r="D984" t="s">
        <v>34</v>
      </c>
      <c r="E984" t="s">
        <v>56</v>
      </c>
      <c r="F984" t="s">
        <v>37</v>
      </c>
      <c r="G984" t="s">
        <v>24</v>
      </c>
      <c r="H984" t="s">
        <v>25</v>
      </c>
      <c r="I984">
        <v>1</v>
      </c>
      <c r="J984" s="3">
        <v>37851</v>
      </c>
      <c r="K984" s="4">
        <v>0</v>
      </c>
      <c r="L984" s="3">
        <v>37851</v>
      </c>
      <c r="M984" s="3">
        <v>0</v>
      </c>
      <c r="N984" s="3">
        <v>37851</v>
      </c>
      <c r="O984" s="3">
        <v>24681.65</v>
      </c>
      <c r="P984" s="3">
        <v>13169.35</v>
      </c>
      <c r="Q984" t="s">
        <v>272</v>
      </c>
      <c r="R984">
        <v>2026</v>
      </c>
      <c r="S984">
        <v>7</v>
      </c>
    </row>
    <row r="985" spans="1:19" x14ac:dyDescent="0.3">
      <c r="A985" t="s">
        <v>1044</v>
      </c>
      <c r="B985" s="2">
        <v>46209</v>
      </c>
      <c r="C985" t="s">
        <v>20</v>
      </c>
      <c r="D985" t="s">
        <v>21</v>
      </c>
      <c r="E985" t="s">
        <v>42</v>
      </c>
      <c r="F985" t="s">
        <v>40</v>
      </c>
      <c r="G985" t="s">
        <v>31</v>
      </c>
      <c r="H985" t="s">
        <v>25</v>
      </c>
      <c r="I985">
        <v>3</v>
      </c>
      <c r="J985" s="3">
        <v>15695</v>
      </c>
      <c r="K985" s="4">
        <v>0</v>
      </c>
      <c r="L985" s="3">
        <v>47085</v>
      </c>
      <c r="M985" s="3">
        <v>0</v>
      </c>
      <c r="N985" s="3">
        <v>47085</v>
      </c>
      <c r="O985" s="3">
        <v>23665.86</v>
      </c>
      <c r="P985" s="3">
        <v>23419.14</v>
      </c>
      <c r="Q985" t="s">
        <v>272</v>
      </c>
      <c r="R985">
        <v>2026</v>
      </c>
      <c r="S985">
        <v>7</v>
      </c>
    </row>
    <row r="986" spans="1:19" x14ac:dyDescent="0.3">
      <c r="A986" t="s">
        <v>1045</v>
      </c>
      <c r="B986" s="2">
        <v>46210</v>
      </c>
      <c r="C986" t="s">
        <v>46</v>
      </c>
      <c r="D986" t="s">
        <v>21</v>
      </c>
      <c r="E986" t="s">
        <v>22</v>
      </c>
      <c r="F986" t="s">
        <v>35</v>
      </c>
      <c r="G986" t="s">
        <v>24</v>
      </c>
      <c r="H986" t="s">
        <v>240</v>
      </c>
      <c r="I986">
        <v>2</v>
      </c>
      <c r="J986" s="3">
        <v>11222</v>
      </c>
      <c r="K986" s="4">
        <v>5</v>
      </c>
      <c r="L986" s="3">
        <v>22444</v>
      </c>
      <c r="M986" s="3">
        <v>1122.2</v>
      </c>
      <c r="N986" s="3">
        <v>21321.8</v>
      </c>
      <c r="O986" s="3">
        <v>14029.65</v>
      </c>
      <c r="P986" s="3">
        <v>7292.15</v>
      </c>
      <c r="Q986" t="s">
        <v>272</v>
      </c>
      <c r="R986">
        <v>2026</v>
      </c>
      <c r="S986">
        <v>7</v>
      </c>
    </row>
    <row r="987" spans="1:19" x14ac:dyDescent="0.3">
      <c r="A987" t="s">
        <v>1046</v>
      </c>
      <c r="B987" s="2">
        <v>46210</v>
      </c>
      <c r="C987" t="s">
        <v>82</v>
      </c>
      <c r="D987" t="s">
        <v>21</v>
      </c>
      <c r="E987" t="s">
        <v>44</v>
      </c>
      <c r="F987" t="s">
        <v>23</v>
      </c>
      <c r="G987" t="s">
        <v>31</v>
      </c>
      <c r="H987" t="s">
        <v>240</v>
      </c>
      <c r="I987">
        <v>1</v>
      </c>
      <c r="J987" s="3">
        <v>42837</v>
      </c>
      <c r="K987" s="4">
        <v>15</v>
      </c>
      <c r="L987" s="3">
        <v>42837</v>
      </c>
      <c r="M987" s="3">
        <v>6425.55</v>
      </c>
      <c r="N987" s="3">
        <v>36411.449999999997</v>
      </c>
      <c r="O987" s="3">
        <v>24860.02</v>
      </c>
      <c r="P987" s="3">
        <v>11551.43</v>
      </c>
      <c r="Q987" t="s">
        <v>272</v>
      </c>
      <c r="R987">
        <v>2026</v>
      </c>
      <c r="S987">
        <v>7</v>
      </c>
    </row>
    <row r="988" spans="1:19" x14ac:dyDescent="0.3">
      <c r="A988" t="s">
        <v>1047</v>
      </c>
      <c r="B988" s="2">
        <v>46211</v>
      </c>
      <c r="C988" t="s">
        <v>33</v>
      </c>
      <c r="D988" t="s">
        <v>34</v>
      </c>
      <c r="E988" t="s">
        <v>44</v>
      </c>
      <c r="F988" t="s">
        <v>35</v>
      </c>
      <c r="G988" t="s">
        <v>31</v>
      </c>
      <c r="H988" t="s">
        <v>240</v>
      </c>
      <c r="I988">
        <v>4</v>
      </c>
      <c r="J988" s="3">
        <v>40126</v>
      </c>
      <c r="K988" s="4">
        <v>10</v>
      </c>
      <c r="L988" s="3">
        <v>160504</v>
      </c>
      <c r="M988" s="3">
        <v>16050.4</v>
      </c>
      <c r="N988" s="3">
        <v>144453.6</v>
      </c>
      <c r="O988" s="3">
        <v>102823.13</v>
      </c>
      <c r="P988" s="3">
        <v>41630.47</v>
      </c>
      <c r="Q988" t="s">
        <v>272</v>
      </c>
      <c r="R988">
        <v>2026</v>
      </c>
      <c r="S988">
        <v>7</v>
      </c>
    </row>
    <row r="989" spans="1:19" x14ac:dyDescent="0.3">
      <c r="A989" t="s">
        <v>1048</v>
      </c>
      <c r="B989" s="2">
        <v>46211</v>
      </c>
      <c r="C989" t="s">
        <v>46</v>
      </c>
      <c r="D989" t="s">
        <v>21</v>
      </c>
      <c r="E989" t="s">
        <v>22</v>
      </c>
      <c r="F989" t="s">
        <v>40</v>
      </c>
      <c r="G989" t="s">
        <v>24</v>
      </c>
      <c r="H989" t="s">
        <v>240</v>
      </c>
      <c r="I989">
        <v>1</v>
      </c>
      <c r="J989" s="3">
        <v>11502</v>
      </c>
      <c r="K989" s="4">
        <v>15</v>
      </c>
      <c r="L989" s="3">
        <v>11502</v>
      </c>
      <c r="M989" s="3">
        <v>1725.3</v>
      </c>
      <c r="N989" s="3">
        <v>9776.7000000000007</v>
      </c>
      <c r="O989" s="3">
        <v>5706.33</v>
      </c>
      <c r="P989" s="3">
        <v>4070.37</v>
      </c>
      <c r="Q989" t="s">
        <v>272</v>
      </c>
      <c r="R989">
        <v>2026</v>
      </c>
      <c r="S989">
        <v>7</v>
      </c>
    </row>
    <row r="990" spans="1:19" x14ac:dyDescent="0.3">
      <c r="A990" t="s">
        <v>1049</v>
      </c>
      <c r="B990" s="2">
        <v>46212</v>
      </c>
      <c r="C990" t="s">
        <v>48</v>
      </c>
      <c r="D990" t="s">
        <v>34</v>
      </c>
      <c r="E990" t="s">
        <v>22</v>
      </c>
      <c r="F990" t="s">
        <v>30</v>
      </c>
      <c r="G990" t="s">
        <v>31</v>
      </c>
      <c r="H990" t="s">
        <v>25</v>
      </c>
      <c r="I990">
        <v>2</v>
      </c>
      <c r="J990" s="3">
        <v>26392</v>
      </c>
      <c r="K990" s="4">
        <v>0</v>
      </c>
      <c r="L990" s="3">
        <v>52784</v>
      </c>
      <c r="M990" s="3">
        <v>0</v>
      </c>
      <c r="N990" s="3">
        <v>52784</v>
      </c>
      <c r="O990" s="3">
        <v>34677.56</v>
      </c>
      <c r="P990" s="3">
        <v>18106.439999999999</v>
      </c>
      <c r="Q990" t="s">
        <v>272</v>
      </c>
      <c r="R990">
        <v>2026</v>
      </c>
      <c r="S990">
        <v>7</v>
      </c>
    </row>
    <row r="991" spans="1:19" x14ac:dyDescent="0.3">
      <c r="A991" t="s">
        <v>1050</v>
      </c>
      <c r="B991" s="2">
        <v>46212</v>
      </c>
      <c r="C991" t="s">
        <v>82</v>
      </c>
      <c r="D991" t="s">
        <v>21</v>
      </c>
      <c r="E991" t="s">
        <v>22</v>
      </c>
      <c r="F991" t="s">
        <v>35</v>
      </c>
      <c r="G991" t="s">
        <v>24</v>
      </c>
      <c r="H991" t="s">
        <v>240</v>
      </c>
      <c r="I991">
        <v>1</v>
      </c>
      <c r="J991" s="3">
        <v>46286</v>
      </c>
      <c r="K991" s="4">
        <v>15</v>
      </c>
      <c r="L991" s="3">
        <v>46286</v>
      </c>
      <c r="M991" s="3">
        <v>6942.9</v>
      </c>
      <c r="N991" s="3">
        <v>39343.1</v>
      </c>
      <c r="O991" s="3">
        <v>30546.53</v>
      </c>
      <c r="P991" s="3">
        <v>8796.57</v>
      </c>
      <c r="Q991" t="s">
        <v>272</v>
      </c>
      <c r="R991">
        <v>2026</v>
      </c>
      <c r="S991">
        <v>7</v>
      </c>
    </row>
    <row r="992" spans="1:19" x14ac:dyDescent="0.3">
      <c r="A992" t="s">
        <v>1051</v>
      </c>
      <c r="B992" s="2">
        <v>46212</v>
      </c>
      <c r="C992" t="s">
        <v>75</v>
      </c>
      <c r="D992" t="s">
        <v>34</v>
      </c>
      <c r="E992" t="s">
        <v>56</v>
      </c>
      <c r="F992" t="s">
        <v>37</v>
      </c>
      <c r="G992" t="s">
        <v>24</v>
      </c>
      <c r="H992" t="s">
        <v>240</v>
      </c>
      <c r="I992">
        <v>3</v>
      </c>
      <c r="J992" s="3">
        <v>40171</v>
      </c>
      <c r="K992" s="4">
        <v>15</v>
      </c>
      <c r="L992" s="3">
        <v>120513</v>
      </c>
      <c r="M992" s="3">
        <v>18076.95</v>
      </c>
      <c r="N992" s="3">
        <v>102436.05</v>
      </c>
      <c r="O992" s="3">
        <v>68981.63</v>
      </c>
      <c r="P992" s="3">
        <v>33454.42</v>
      </c>
      <c r="Q992" t="s">
        <v>272</v>
      </c>
      <c r="R992">
        <v>2026</v>
      </c>
      <c r="S992">
        <v>7</v>
      </c>
    </row>
    <row r="993" spans="1:19" x14ac:dyDescent="0.3">
      <c r="A993" t="s">
        <v>1052</v>
      </c>
      <c r="B993" s="2">
        <v>46212</v>
      </c>
      <c r="C993" t="s">
        <v>20</v>
      </c>
      <c r="D993" t="s">
        <v>21</v>
      </c>
      <c r="E993" t="s">
        <v>42</v>
      </c>
      <c r="F993" t="s">
        <v>40</v>
      </c>
      <c r="G993" t="s">
        <v>24</v>
      </c>
      <c r="H993" t="s">
        <v>25</v>
      </c>
      <c r="I993">
        <v>1</v>
      </c>
      <c r="J993" s="3">
        <v>14377</v>
      </c>
      <c r="K993" s="4">
        <v>0</v>
      </c>
      <c r="L993" s="3">
        <v>14377</v>
      </c>
      <c r="M993" s="3">
        <v>0</v>
      </c>
      <c r="N993" s="3">
        <v>14377</v>
      </c>
      <c r="O993" s="3">
        <v>8539.09</v>
      </c>
      <c r="P993" s="3">
        <v>5837.91</v>
      </c>
      <c r="Q993" t="s">
        <v>272</v>
      </c>
      <c r="R993">
        <v>2026</v>
      </c>
      <c r="S993">
        <v>7</v>
      </c>
    </row>
    <row r="994" spans="1:19" x14ac:dyDescent="0.3">
      <c r="A994" t="s">
        <v>1053</v>
      </c>
      <c r="B994" s="2">
        <v>46213</v>
      </c>
      <c r="C994" t="s">
        <v>82</v>
      </c>
      <c r="D994" t="s">
        <v>21</v>
      </c>
      <c r="E994" t="s">
        <v>44</v>
      </c>
      <c r="F994" t="s">
        <v>40</v>
      </c>
      <c r="G994" t="s">
        <v>31</v>
      </c>
      <c r="H994" t="s">
        <v>25</v>
      </c>
      <c r="I994">
        <v>1</v>
      </c>
      <c r="J994" s="3">
        <v>41561</v>
      </c>
      <c r="K994" s="4">
        <v>0</v>
      </c>
      <c r="L994" s="3">
        <v>41561</v>
      </c>
      <c r="M994" s="3">
        <v>0</v>
      </c>
      <c r="N994" s="3">
        <v>41561</v>
      </c>
      <c r="O994" s="3">
        <v>22141</v>
      </c>
      <c r="P994" s="3">
        <v>19420</v>
      </c>
      <c r="Q994" t="s">
        <v>272</v>
      </c>
      <c r="R994">
        <v>2026</v>
      </c>
      <c r="S994">
        <v>7</v>
      </c>
    </row>
    <row r="995" spans="1:19" x14ac:dyDescent="0.3">
      <c r="A995" t="s">
        <v>1054</v>
      </c>
      <c r="B995" s="2">
        <v>46214</v>
      </c>
      <c r="C995" t="s">
        <v>64</v>
      </c>
      <c r="D995" t="s">
        <v>29</v>
      </c>
      <c r="E995" t="s">
        <v>56</v>
      </c>
      <c r="F995" t="s">
        <v>35</v>
      </c>
      <c r="G995" t="s">
        <v>31</v>
      </c>
      <c r="H995" t="s">
        <v>240</v>
      </c>
      <c r="I995">
        <v>3</v>
      </c>
      <c r="J995" s="3">
        <v>29007</v>
      </c>
      <c r="K995" s="4">
        <v>5</v>
      </c>
      <c r="L995" s="3">
        <v>87021</v>
      </c>
      <c r="M995" s="3">
        <v>4351.05</v>
      </c>
      <c r="N995" s="3">
        <v>0</v>
      </c>
      <c r="O995" s="3">
        <v>48317.56</v>
      </c>
      <c r="P995" s="3">
        <v>0</v>
      </c>
      <c r="Q995" t="s">
        <v>272</v>
      </c>
      <c r="R995">
        <v>2026</v>
      </c>
      <c r="S995">
        <v>7</v>
      </c>
    </row>
    <row r="996" spans="1:19" x14ac:dyDescent="0.3">
      <c r="A996" t="s">
        <v>1055</v>
      </c>
      <c r="B996" s="2">
        <v>46216</v>
      </c>
      <c r="C996" t="s">
        <v>46</v>
      </c>
      <c r="D996" t="s">
        <v>21</v>
      </c>
      <c r="E996" t="s">
        <v>42</v>
      </c>
      <c r="F996" t="s">
        <v>35</v>
      </c>
      <c r="G996" t="s">
        <v>24</v>
      </c>
      <c r="H996" t="s">
        <v>25</v>
      </c>
      <c r="I996">
        <v>1</v>
      </c>
      <c r="J996" s="3">
        <v>12610</v>
      </c>
      <c r="K996" s="4">
        <v>10</v>
      </c>
      <c r="L996" s="3">
        <v>12610</v>
      </c>
      <c r="M996" s="3">
        <v>1261</v>
      </c>
      <c r="N996" s="3">
        <v>11349</v>
      </c>
      <c r="O996" s="3">
        <v>7318.51</v>
      </c>
      <c r="P996" s="3">
        <v>4030.49</v>
      </c>
      <c r="Q996" t="s">
        <v>272</v>
      </c>
      <c r="R996">
        <v>2026</v>
      </c>
      <c r="S996">
        <v>7</v>
      </c>
    </row>
    <row r="997" spans="1:19" x14ac:dyDescent="0.3">
      <c r="A997" t="s">
        <v>1056</v>
      </c>
      <c r="B997" s="2">
        <v>46216</v>
      </c>
      <c r="C997" t="s">
        <v>50</v>
      </c>
      <c r="D997" t="s">
        <v>34</v>
      </c>
      <c r="E997" t="s">
        <v>44</v>
      </c>
      <c r="F997" t="s">
        <v>40</v>
      </c>
      <c r="G997" t="s">
        <v>24</v>
      </c>
      <c r="H997" t="s">
        <v>240</v>
      </c>
      <c r="I997">
        <v>1</v>
      </c>
      <c r="J997" s="3">
        <v>18079</v>
      </c>
      <c r="K997" s="4">
        <v>20</v>
      </c>
      <c r="L997" s="3">
        <v>18079</v>
      </c>
      <c r="M997" s="3">
        <v>3615.8</v>
      </c>
      <c r="N997" s="3">
        <v>14463.2</v>
      </c>
      <c r="O997" s="3">
        <v>11709.77</v>
      </c>
      <c r="P997" s="3">
        <v>2753.43</v>
      </c>
      <c r="Q997" t="s">
        <v>272</v>
      </c>
      <c r="R997">
        <v>2026</v>
      </c>
      <c r="S997">
        <v>7</v>
      </c>
    </row>
    <row r="998" spans="1:19" x14ac:dyDescent="0.3">
      <c r="A998" t="s">
        <v>1057</v>
      </c>
      <c r="B998" s="2">
        <v>46217</v>
      </c>
      <c r="C998" t="s">
        <v>71</v>
      </c>
      <c r="D998" t="s">
        <v>34</v>
      </c>
      <c r="E998" t="s">
        <v>44</v>
      </c>
      <c r="F998" t="s">
        <v>23</v>
      </c>
      <c r="G998" t="s">
        <v>31</v>
      </c>
      <c r="H998" t="s">
        <v>240</v>
      </c>
      <c r="I998">
        <v>2</v>
      </c>
      <c r="J998" s="3">
        <v>50623</v>
      </c>
      <c r="K998" s="4">
        <v>15</v>
      </c>
      <c r="L998" s="3">
        <v>101246</v>
      </c>
      <c r="M998" s="3">
        <v>15186.9</v>
      </c>
      <c r="N998" s="3">
        <v>86059.1</v>
      </c>
      <c r="O998" s="3">
        <v>51845.73</v>
      </c>
      <c r="P998" s="3">
        <v>34213.370000000003</v>
      </c>
      <c r="Q998" t="s">
        <v>272</v>
      </c>
      <c r="R998">
        <v>2026</v>
      </c>
      <c r="S998">
        <v>7</v>
      </c>
    </row>
    <row r="999" spans="1:19" x14ac:dyDescent="0.3">
      <c r="A999" t="s">
        <v>1058</v>
      </c>
      <c r="B999" s="2">
        <v>46219</v>
      </c>
      <c r="C999" t="s">
        <v>82</v>
      </c>
      <c r="D999" t="s">
        <v>21</v>
      </c>
      <c r="E999" t="s">
        <v>22</v>
      </c>
      <c r="F999" t="s">
        <v>35</v>
      </c>
      <c r="G999" t="s">
        <v>31</v>
      </c>
      <c r="H999" t="s">
        <v>25</v>
      </c>
      <c r="I999">
        <v>3</v>
      </c>
      <c r="J999" s="3">
        <v>43644</v>
      </c>
      <c r="K999" s="4">
        <v>0</v>
      </c>
      <c r="L999" s="3">
        <v>130932</v>
      </c>
      <c r="M999" s="3">
        <v>0</v>
      </c>
      <c r="N999" s="3">
        <v>0</v>
      </c>
      <c r="O999" s="3">
        <v>67410.17</v>
      </c>
      <c r="P999" s="3">
        <v>0</v>
      </c>
      <c r="Q999" t="s">
        <v>272</v>
      </c>
      <c r="R999">
        <v>2026</v>
      </c>
      <c r="S999">
        <v>7</v>
      </c>
    </row>
    <row r="1000" spans="1:19" x14ac:dyDescent="0.3">
      <c r="A1000" t="s">
        <v>1059</v>
      </c>
      <c r="B1000" s="2">
        <v>46220</v>
      </c>
      <c r="C1000" t="s">
        <v>20</v>
      </c>
      <c r="D1000" t="s">
        <v>21</v>
      </c>
      <c r="E1000" t="s">
        <v>56</v>
      </c>
      <c r="F1000" t="s">
        <v>40</v>
      </c>
      <c r="G1000" t="s">
        <v>24</v>
      </c>
      <c r="H1000" t="s">
        <v>240</v>
      </c>
      <c r="I1000">
        <v>2</v>
      </c>
      <c r="J1000" s="3">
        <v>14154</v>
      </c>
      <c r="K1000" s="4">
        <v>20</v>
      </c>
      <c r="L1000" s="3">
        <v>28308</v>
      </c>
      <c r="M1000" s="3">
        <v>5661.6</v>
      </c>
      <c r="N1000" s="3">
        <v>22646.400000000001</v>
      </c>
      <c r="O1000" s="3">
        <v>14623.31</v>
      </c>
      <c r="P1000" s="3">
        <v>8023.09</v>
      </c>
      <c r="Q1000" t="s">
        <v>272</v>
      </c>
      <c r="R1000">
        <v>2026</v>
      </c>
      <c r="S1000">
        <v>7</v>
      </c>
    </row>
    <row r="1001" spans="1:19" x14ac:dyDescent="0.3">
      <c r="A1001" t="s">
        <v>1060</v>
      </c>
      <c r="B1001" s="2">
        <v>46220</v>
      </c>
      <c r="C1001" t="s">
        <v>82</v>
      </c>
      <c r="D1001" t="s">
        <v>21</v>
      </c>
      <c r="E1001" t="s">
        <v>56</v>
      </c>
      <c r="F1001" t="s">
        <v>40</v>
      </c>
      <c r="G1001" t="s">
        <v>31</v>
      </c>
      <c r="H1001" t="s">
        <v>240</v>
      </c>
      <c r="I1001">
        <v>1</v>
      </c>
      <c r="J1001" s="3">
        <v>45297</v>
      </c>
      <c r="K1001" s="4">
        <v>20</v>
      </c>
      <c r="L1001" s="3">
        <v>45297</v>
      </c>
      <c r="M1001" s="3">
        <v>9059.4</v>
      </c>
      <c r="N1001" s="3">
        <v>36237.599999999999</v>
      </c>
      <c r="O1001" s="3">
        <v>30754.62</v>
      </c>
      <c r="P1001" s="3">
        <v>5482.98</v>
      </c>
      <c r="Q1001" t="s">
        <v>272</v>
      </c>
      <c r="R1001">
        <v>2026</v>
      </c>
      <c r="S1001">
        <v>7</v>
      </c>
    </row>
    <row r="1002" spans="1:19" x14ac:dyDescent="0.3">
      <c r="A1002" t="s">
        <v>1061</v>
      </c>
      <c r="B1002" s="2">
        <v>46220</v>
      </c>
      <c r="C1002" t="s">
        <v>33</v>
      </c>
      <c r="D1002" t="s">
        <v>34</v>
      </c>
      <c r="E1002" t="s">
        <v>42</v>
      </c>
      <c r="F1002" t="s">
        <v>37</v>
      </c>
      <c r="G1002" t="s">
        <v>31</v>
      </c>
      <c r="H1002" t="s">
        <v>240</v>
      </c>
      <c r="I1002">
        <v>3</v>
      </c>
      <c r="J1002" s="3">
        <v>43969</v>
      </c>
      <c r="K1002" s="4">
        <v>20</v>
      </c>
      <c r="L1002" s="3">
        <v>131907</v>
      </c>
      <c r="M1002" s="3">
        <v>26381.4</v>
      </c>
      <c r="N1002" s="3">
        <v>105525.6</v>
      </c>
      <c r="O1002" s="3">
        <v>69699.06</v>
      </c>
      <c r="P1002" s="3">
        <v>35826.54</v>
      </c>
      <c r="Q1002" t="s">
        <v>272</v>
      </c>
      <c r="R1002">
        <v>2026</v>
      </c>
      <c r="S1002">
        <v>7</v>
      </c>
    </row>
    <row r="1003" spans="1:19" x14ac:dyDescent="0.3">
      <c r="A1003" t="s">
        <v>1062</v>
      </c>
      <c r="B1003" s="2">
        <v>46221</v>
      </c>
      <c r="C1003" t="s">
        <v>46</v>
      </c>
      <c r="D1003" t="s">
        <v>21</v>
      </c>
      <c r="E1003" t="s">
        <v>22</v>
      </c>
      <c r="F1003" t="s">
        <v>35</v>
      </c>
      <c r="G1003" t="s">
        <v>24</v>
      </c>
      <c r="H1003" t="s">
        <v>240</v>
      </c>
      <c r="I1003">
        <v>1</v>
      </c>
      <c r="J1003" s="3">
        <v>11542</v>
      </c>
      <c r="K1003" s="4">
        <v>10</v>
      </c>
      <c r="L1003" s="3">
        <v>11542</v>
      </c>
      <c r="M1003" s="3">
        <v>1154.2</v>
      </c>
      <c r="N1003" s="3">
        <v>10387.799999999999</v>
      </c>
      <c r="O1003" s="3">
        <v>7632.16</v>
      </c>
      <c r="P1003" s="3">
        <v>2755.64</v>
      </c>
      <c r="Q1003" t="s">
        <v>272</v>
      </c>
      <c r="R1003">
        <v>2026</v>
      </c>
      <c r="S1003">
        <v>7</v>
      </c>
    </row>
    <row r="1004" spans="1:19" x14ac:dyDescent="0.3">
      <c r="A1004" t="s">
        <v>1063</v>
      </c>
      <c r="B1004" s="2">
        <v>46225</v>
      </c>
      <c r="C1004" t="s">
        <v>71</v>
      </c>
      <c r="D1004" t="s">
        <v>34</v>
      </c>
      <c r="E1004" t="s">
        <v>56</v>
      </c>
      <c r="F1004" t="s">
        <v>40</v>
      </c>
      <c r="G1004" t="s">
        <v>24</v>
      </c>
      <c r="H1004" t="s">
        <v>25</v>
      </c>
      <c r="I1004">
        <v>3</v>
      </c>
      <c r="J1004" s="3">
        <v>51515</v>
      </c>
      <c r="K1004" s="4">
        <v>0</v>
      </c>
      <c r="L1004" s="3">
        <v>154545</v>
      </c>
      <c r="M1004" s="3">
        <v>0</v>
      </c>
      <c r="N1004" s="3">
        <v>154545</v>
      </c>
      <c r="O1004" s="3">
        <v>95628.22</v>
      </c>
      <c r="P1004" s="3">
        <v>58916.78</v>
      </c>
      <c r="Q1004" t="s">
        <v>272</v>
      </c>
      <c r="R1004">
        <v>2026</v>
      </c>
      <c r="S1004">
        <v>7</v>
      </c>
    </row>
    <row r="1005" spans="1:19" x14ac:dyDescent="0.3">
      <c r="A1005" t="s">
        <v>1064</v>
      </c>
      <c r="B1005" s="2">
        <v>46225</v>
      </c>
      <c r="C1005" t="s">
        <v>82</v>
      </c>
      <c r="D1005" t="s">
        <v>21</v>
      </c>
      <c r="E1005" t="s">
        <v>42</v>
      </c>
      <c r="F1005" t="s">
        <v>40</v>
      </c>
      <c r="G1005" t="s">
        <v>24</v>
      </c>
      <c r="H1005" t="s">
        <v>240</v>
      </c>
      <c r="I1005">
        <v>2</v>
      </c>
      <c r="J1005" s="3">
        <v>41463</v>
      </c>
      <c r="K1005" s="4">
        <v>10</v>
      </c>
      <c r="L1005" s="3">
        <v>82926</v>
      </c>
      <c r="M1005" s="3">
        <v>8292.6</v>
      </c>
      <c r="N1005" s="3">
        <v>74633.399999999994</v>
      </c>
      <c r="O1005" s="3">
        <v>55410.26</v>
      </c>
      <c r="P1005" s="3">
        <v>19223.14</v>
      </c>
      <c r="Q1005" t="s">
        <v>272</v>
      </c>
      <c r="R1005">
        <v>2026</v>
      </c>
      <c r="S1005">
        <v>7</v>
      </c>
    </row>
    <row r="1006" spans="1:19" x14ac:dyDescent="0.3">
      <c r="A1006" t="s">
        <v>1065</v>
      </c>
      <c r="B1006" s="2">
        <v>46225</v>
      </c>
      <c r="C1006" t="s">
        <v>64</v>
      </c>
      <c r="D1006" t="s">
        <v>29</v>
      </c>
      <c r="E1006" t="s">
        <v>44</v>
      </c>
      <c r="F1006" t="s">
        <v>35</v>
      </c>
      <c r="G1006" t="s">
        <v>31</v>
      </c>
      <c r="H1006" t="s">
        <v>25</v>
      </c>
      <c r="I1006">
        <v>3</v>
      </c>
      <c r="J1006" s="3">
        <v>28340</v>
      </c>
      <c r="K1006" s="4">
        <v>0</v>
      </c>
      <c r="L1006" s="3">
        <v>85020</v>
      </c>
      <c r="M1006" s="3">
        <v>0</v>
      </c>
      <c r="N1006" s="3">
        <v>85020</v>
      </c>
      <c r="O1006" s="3">
        <v>53366.78</v>
      </c>
      <c r="P1006" s="3">
        <v>31653.22</v>
      </c>
      <c r="Q1006" t="s">
        <v>272</v>
      </c>
      <c r="R1006">
        <v>2026</v>
      </c>
      <c r="S1006">
        <v>7</v>
      </c>
    </row>
    <row r="1007" spans="1:19" x14ac:dyDescent="0.3">
      <c r="A1007" t="s">
        <v>1066</v>
      </c>
      <c r="B1007" s="2">
        <v>46226</v>
      </c>
      <c r="C1007" t="s">
        <v>33</v>
      </c>
      <c r="D1007" t="s">
        <v>34</v>
      </c>
      <c r="E1007" t="s">
        <v>22</v>
      </c>
      <c r="F1007" t="s">
        <v>23</v>
      </c>
      <c r="G1007" t="s">
        <v>31</v>
      </c>
      <c r="H1007" t="s">
        <v>240</v>
      </c>
      <c r="I1007">
        <v>2</v>
      </c>
      <c r="J1007" s="3">
        <v>41620</v>
      </c>
      <c r="K1007" s="4">
        <v>15</v>
      </c>
      <c r="L1007" s="3">
        <v>83240</v>
      </c>
      <c r="M1007" s="3">
        <v>12486</v>
      </c>
      <c r="N1007" s="3">
        <v>70754</v>
      </c>
      <c r="O1007" s="3">
        <v>44865.46</v>
      </c>
      <c r="P1007" s="3">
        <v>25888.54</v>
      </c>
      <c r="Q1007" t="s">
        <v>272</v>
      </c>
      <c r="R1007">
        <v>2026</v>
      </c>
      <c r="S1007">
        <v>7</v>
      </c>
    </row>
    <row r="1008" spans="1:19" x14ac:dyDescent="0.3">
      <c r="A1008" t="s">
        <v>1067</v>
      </c>
      <c r="B1008" s="2">
        <v>46226</v>
      </c>
      <c r="C1008" t="s">
        <v>82</v>
      </c>
      <c r="D1008" t="s">
        <v>21</v>
      </c>
      <c r="E1008" t="s">
        <v>22</v>
      </c>
      <c r="F1008" t="s">
        <v>35</v>
      </c>
      <c r="G1008" t="s">
        <v>24</v>
      </c>
      <c r="H1008" t="s">
        <v>240</v>
      </c>
      <c r="I1008">
        <v>2</v>
      </c>
      <c r="J1008" s="3">
        <v>47218</v>
      </c>
      <c r="K1008" s="4">
        <v>10</v>
      </c>
      <c r="L1008" s="3">
        <v>94436</v>
      </c>
      <c r="M1008" s="3">
        <v>9443.6</v>
      </c>
      <c r="N1008" s="3">
        <v>84992.4</v>
      </c>
      <c r="O1008" s="3">
        <v>63516.78</v>
      </c>
      <c r="P1008" s="3">
        <v>21475.62</v>
      </c>
      <c r="Q1008" t="s">
        <v>272</v>
      </c>
      <c r="R1008">
        <v>2026</v>
      </c>
      <c r="S1008">
        <v>7</v>
      </c>
    </row>
    <row r="1009" spans="1:19" x14ac:dyDescent="0.3">
      <c r="A1009" t="s">
        <v>1068</v>
      </c>
      <c r="B1009" s="2">
        <v>46227</v>
      </c>
      <c r="C1009" t="s">
        <v>71</v>
      </c>
      <c r="D1009" t="s">
        <v>34</v>
      </c>
      <c r="E1009" t="s">
        <v>42</v>
      </c>
      <c r="F1009" t="s">
        <v>35</v>
      </c>
      <c r="G1009" t="s">
        <v>24</v>
      </c>
      <c r="H1009" t="s">
        <v>240</v>
      </c>
      <c r="I1009">
        <v>1</v>
      </c>
      <c r="J1009" s="3">
        <v>50847</v>
      </c>
      <c r="K1009" s="4">
        <v>5</v>
      </c>
      <c r="L1009" s="3">
        <v>50847</v>
      </c>
      <c r="M1009" s="3">
        <v>2542.35</v>
      </c>
      <c r="N1009" s="3">
        <v>48304.65</v>
      </c>
      <c r="O1009" s="3">
        <v>24864.15</v>
      </c>
      <c r="P1009" s="3">
        <v>23440.5</v>
      </c>
      <c r="Q1009" t="s">
        <v>272</v>
      </c>
      <c r="R1009">
        <v>2026</v>
      </c>
      <c r="S1009">
        <v>7</v>
      </c>
    </row>
    <row r="1010" spans="1:19" x14ac:dyDescent="0.3">
      <c r="A1010" t="s">
        <v>1069</v>
      </c>
      <c r="B1010" s="2">
        <v>46227</v>
      </c>
      <c r="C1010" t="s">
        <v>46</v>
      </c>
      <c r="D1010" t="s">
        <v>21</v>
      </c>
      <c r="E1010" t="s">
        <v>22</v>
      </c>
      <c r="F1010" t="s">
        <v>35</v>
      </c>
      <c r="G1010" t="s">
        <v>31</v>
      </c>
      <c r="H1010" t="s">
        <v>25</v>
      </c>
      <c r="I1010">
        <v>1</v>
      </c>
      <c r="J1010" s="3">
        <v>11374</v>
      </c>
      <c r="K1010" s="4">
        <v>0</v>
      </c>
      <c r="L1010" s="3">
        <v>11374</v>
      </c>
      <c r="M1010" s="3">
        <v>0</v>
      </c>
      <c r="N1010" s="3">
        <v>11374</v>
      </c>
      <c r="O1010" s="3">
        <v>7288.33</v>
      </c>
      <c r="P1010" s="3">
        <v>4085.67</v>
      </c>
      <c r="Q1010" t="s">
        <v>272</v>
      </c>
      <c r="R1010">
        <v>2026</v>
      </c>
      <c r="S1010">
        <v>7</v>
      </c>
    </row>
    <row r="1011" spans="1:19" x14ac:dyDescent="0.3">
      <c r="A1011" t="s">
        <v>1070</v>
      </c>
      <c r="B1011" s="2">
        <v>46227</v>
      </c>
      <c r="C1011" t="s">
        <v>71</v>
      </c>
      <c r="D1011" t="s">
        <v>34</v>
      </c>
      <c r="E1011" t="s">
        <v>56</v>
      </c>
      <c r="F1011" t="s">
        <v>40</v>
      </c>
      <c r="G1011" t="s">
        <v>31</v>
      </c>
      <c r="H1011" t="s">
        <v>25</v>
      </c>
      <c r="I1011">
        <v>2</v>
      </c>
      <c r="J1011" s="3">
        <v>48689</v>
      </c>
      <c r="K1011" s="4">
        <v>0</v>
      </c>
      <c r="L1011" s="3">
        <v>97378</v>
      </c>
      <c r="M1011" s="3">
        <v>0</v>
      </c>
      <c r="N1011" s="3">
        <v>97378</v>
      </c>
      <c r="O1011" s="3">
        <v>57281.4</v>
      </c>
      <c r="P1011" s="3">
        <v>40096.6</v>
      </c>
      <c r="Q1011" t="s">
        <v>272</v>
      </c>
      <c r="R1011">
        <v>2026</v>
      </c>
      <c r="S1011">
        <v>7</v>
      </c>
    </row>
    <row r="1012" spans="1:19" x14ac:dyDescent="0.3">
      <c r="A1012" t="s">
        <v>1071</v>
      </c>
      <c r="B1012" s="2">
        <v>46228</v>
      </c>
      <c r="C1012" t="s">
        <v>33</v>
      </c>
      <c r="D1012" t="s">
        <v>34</v>
      </c>
      <c r="E1012" t="s">
        <v>42</v>
      </c>
      <c r="F1012" t="s">
        <v>23</v>
      </c>
      <c r="G1012" t="s">
        <v>24</v>
      </c>
      <c r="H1012" t="s">
        <v>240</v>
      </c>
      <c r="I1012">
        <v>1</v>
      </c>
      <c r="J1012" s="3">
        <v>43631</v>
      </c>
      <c r="K1012" s="4">
        <v>15</v>
      </c>
      <c r="L1012" s="3">
        <v>43631</v>
      </c>
      <c r="M1012" s="3">
        <v>6544.65</v>
      </c>
      <c r="N1012" s="3">
        <v>37086.35</v>
      </c>
      <c r="O1012" s="3">
        <v>24493.26</v>
      </c>
      <c r="P1012" s="3">
        <v>12593.09</v>
      </c>
      <c r="Q1012" t="s">
        <v>272</v>
      </c>
      <c r="R1012">
        <v>2026</v>
      </c>
      <c r="S1012">
        <v>7</v>
      </c>
    </row>
    <row r="1013" spans="1:19" x14ac:dyDescent="0.3">
      <c r="A1013" t="s">
        <v>1072</v>
      </c>
      <c r="B1013" s="2">
        <v>46228</v>
      </c>
      <c r="C1013" t="s">
        <v>64</v>
      </c>
      <c r="D1013" t="s">
        <v>29</v>
      </c>
      <c r="E1013" t="s">
        <v>44</v>
      </c>
      <c r="F1013" t="s">
        <v>40</v>
      </c>
      <c r="G1013" t="s">
        <v>24</v>
      </c>
      <c r="H1013" t="s">
        <v>240</v>
      </c>
      <c r="I1013">
        <v>1</v>
      </c>
      <c r="J1013" s="3">
        <v>30144</v>
      </c>
      <c r="K1013" s="4">
        <v>20</v>
      </c>
      <c r="L1013" s="3">
        <v>30144</v>
      </c>
      <c r="M1013" s="3">
        <v>6028.8</v>
      </c>
      <c r="N1013" s="3">
        <v>24115.200000000001</v>
      </c>
      <c r="O1013" s="3">
        <v>16694.09</v>
      </c>
      <c r="P1013" s="3">
        <v>7421.11</v>
      </c>
      <c r="Q1013" t="s">
        <v>272</v>
      </c>
      <c r="R1013">
        <v>2026</v>
      </c>
      <c r="S1013">
        <v>7</v>
      </c>
    </row>
    <row r="1014" spans="1:19" x14ac:dyDescent="0.3">
      <c r="A1014" t="s">
        <v>1073</v>
      </c>
      <c r="B1014" s="2">
        <v>46230</v>
      </c>
      <c r="C1014" t="s">
        <v>28</v>
      </c>
      <c r="D1014" t="s">
        <v>29</v>
      </c>
      <c r="E1014" t="s">
        <v>22</v>
      </c>
      <c r="F1014" t="s">
        <v>23</v>
      </c>
      <c r="G1014" t="s">
        <v>24</v>
      </c>
      <c r="H1014" t="s">
        <v>240</v>
      </c>
      <c r="I1014">
        <v>1</v>
      </c>
      <c r="J1014" s="3">
        <v>63975</v>
      </c>
      <c r="K1014" s="4">
        <v>10</v>
      </c>
      <c r="L1014" s="3">
        <v>63975</v>
      </c>
      <c r="M1014" s="3">
        <v>6397.5</v>
      </c>
      <c r="N1014" s="3">
        <v>57577.5</v>
      </c>
      <c r="O1014" s="3">
        <v>43091</v>
      </c>
      <c r="P1014" s="3">
        <v>14486.5</v>
      </c>
      <c r="Q1014" t="s">
        <v>272</v>
      </c>
      <c r="R1014">
        <v>2026</v>
      </c>
      <c r="S1014">
        <v>7</v>
      </c>
    </row>
    <row r="1015" spans="1:19" x14ac:dyDescent="0.3">
      <c r="A1015" t="s">
        <v>1074</v>
      </c>
      <c r="B1015" s="2">
        <v>46230</v>
      </c>
      <c r="C1015" t="s">
        <v>50</v>
      </c>
      <c r="D1015" t="s">
        <v>34</v>
      </c>
      <c r="E1015" t="s">
        <v>44</v>
      </c>
      <c r="F1015" t="s">
        <v>40</v>
      </c>
      <c r="G1015" t="s">
        <v>24</v>
      </c>
      <c r="H1015" t="s">
        <v>25</v>
      </c>
      <c r="I1015">
        <v>2</v>
      </c>
      <c r="J1015" s="3">
        <v>18929</v>
      </c>
      <c r="K1015" s="4">
        <v>5</v>
      </c>
      <c r="L1015" s="3">
        <v>37858</v>
      </c>
      <c r="M1015" s="3">
        <v>1892.9</v>
      </c>
      <c r="N1015" s="3">
        <v>35965.1</v>
      </c>
      <c r="O1015" s="3">
        <v>23480.6</v>
      </c>
      <c r="P1015" s="3">
        <v>12484.5</v>
      </c>
      <c r="Q1015" t="s">
        <v>272</v>
      </c>
      <c r="R1015">
        <v>2026</v>
      </c>
      <c r="S1015">
        <v>7</v>
      </c>
    </row>
    <row r="1016" spans="1:19" x14ac:dyDescent="0.3">
      <c r="A1016" t="s">
        <v>1075</v>
      </c>
      <c r="B1016" s="2">
        <v>46230</v>
      </c>
      <c r="C1016" t="s">
        <v>71</v>
      </c>
      <c r="D1016" t="s">
        <v>34</v>
      </c>
      <c r="E1016" t="s">
        <v>42</v>
      </c>
      <c r="F1016" t="s">
        <v>30</v>
      </c>
      <c r="G1016" t="s">
        <v>31</v>
      </c>
      <c r="H1016" t="s">
        <v>25</v>
      </c>
      <c r="I1016">
        <v>1</v>
      </c>
      <c r="J1016" s="3">
        <v>46271</v>
      </c>
      <c r="K1016" s="4">
        <v>0</v>
      </c>
      <c r="L1016" s="3">
        <v>46271</v>
      </c>
      <c r="M1016" s="3">
        <v>0</v>
      </c>
      <c r="N1016" s="3">
        <v>46271</v>
      </c>
      <c r="O1016" s="3">
        <v>26522.02</v>
      </c>
      <c r="P1016" s="3">
        <v>19748.98</v>
      </c>
      <c r="Q1016" t="s">
        <v>272</v>
      </c>
      <c r="R1016">
        <v>2026</v>
      </c>
      <c r="S1016">
        <v>7</v>
      </c>
    </row>
    <row r="1017" spans="1:19" x14ac:dyDescent="0.3">
      <c r="A1017" t="s">
        <v>1076</v>
      </c>
      <c r="B1017" s="2">
        <v>46231</v>
      </c>
      <c r="C1017" t="s">
        <v>28</v>
      </c>
      <c r="D1017" t="s">
        <v>29</v>
      </c>
      <c r="E1017" t="s">
        <v>42</v>
      </c>
      <c r="F1017" t="s">
        <v>30</v>
      </c>
      <c r="G1017" t="s">
        <v>31</v>
      </c>
      <c r="H1017" t="s">
        <v>240</v>
      </c>
      <c r="I1017">
        <v>1</v>
      </c>
      <c r="J1017" s="3">
        <v>62220</v>
      </c>
      <c r="K1017" s="4">
        <v>10</v>
      </c>
      <c r="L1017" s="3">
        <v>62220</v>
      </c>
      <c r="M1017" s="3">
        <v>6222</v>
      </c>
      <c r="N1017" s="3">
        <v>55998</v>
      </c>
      <c r="O1017" s="3">
        <v>40722.559999999998</v>
      </c>
      <c r="P1017" s="3">
        <v>15275.44</v>
      </c>
      <c r="Q1017" t="s">
        <v>272</v>
      </c>
      <c r="R1017">
        <v>2026</v>
      </c>
      <c r="S1017">
        <v>7</v>
      </c>
    </row>
    <row r="1018" spans="1:19" x14ac:dyDescent="0.3">
      <c r="A1018" t="s">
        <v>1077</v>
      </c>
      <c r="B1018" s="2">
        <v>46235</v>
      </c>
      <c r="C1018" t="s">
        <v>33</v>
      </c>
      <c r="D1018" t="s">
        <v>34</v>
      </c>
      <c r="E1018" t="s">
        <v>56</v>
      </c>
      <c r="F1018" t="s">
        <v>40</v>
      </c>
      <c r="G1018" t="s">
        <v>24</v>
      </c>
      <c r="H1018" t="s">
        <v>25</v>
      </c>
      <c r="I1018">
        <v>1</v>
      </c>
      <c r="J1018" s="3">
        <v>43659</v>
      </c>
      <c r="K1018" s="4">
        <v>0</v>
      </c>
      <c r="L1018" s="3">
        <v>43659</v>
      </c>
      <c r="M1018" s="3">
        <v>0</v>
      </c>
      <c r="N1018" s="3">
        <v>43659</v>
      </c>
      <c r="O1018" s="3">
        <v>29322.46</v>
      </c>
      <c r="P1018" s="3">
        <v>14336.54</v>
      </c>
      <c r="Q1018" t="s">
        <v>300</v>
      </c>
      <c r="R1018">
        <v>2026</v>
      </c>
      <c r="S1018">
        <v>8</v>
      </c>
    </row>
    <row r="1019" spans="1:19" x14ac:dyDescent="0.3">
      <c r="A1019" t="s">
        <v>1078</v>
      </c>
      <c r="B1019" s="2">
        <v>46237</v>
      </c>
      <c r="C1019" t="s">
        <v>75</v>
      </c>
      <c r="D1019" t="s">
        <v>34</v>
      </c>
      <c r="E1019" t="s">
        <v>22</v>
      </c>
      <c r="F1019" t="s">
        <v>40</v>
      </c>
      <c r="G1019" t="s">
        <v>31</v>
      </c>
      <c r="H1019" t="s">
        <v>25</v>
      </c>
      <c r="I1019">
        <v>3</v>
      </c>
      <c r="J1019" s="3">
        <v>40980</v>
      </c>
      <c r="K1019" s="4">
        <v>0</v>
      </c>
      <c r="L1019" s="3">
        <v>122940</v>
      </c>
      <c r="M1019" s="3">
        <v>0</v>
      </c>
      <c r="N1019" s="3">
        <v>122940</v>
      </c>
      <c r="O1019" s="3">
        <v>68132.7</v>
      </c>
      <c r="P1019" s="3">
        <v>54807.3</v>
      </c>
      <c r="Q1019" t="s">
        <v>300</v>
      </c>
      <c r="R1019">
        <v>2026</v>
      </c>
      <c r="S1019">
        <v>8</v>
      </c>
    </row>
    <row r="1020" spans="1:19" x14ac:dyDescent="0.3">
      <c r="A1020" t="s">
        <v>1079</v>
      </c>
      <c r="B1020" s="2">
        <v>46238</v>
      </c>
      <c r="C1020" t="s">
        <v>28</v>
      </c>
      <c r="D1020" t="s">
        <v>29</v>
      </c>
      <c r="E1020" t="s">
        <v>42</v>
      </c>
      <c r="F1020" t="s">
        <v>40</v>
      </c>
      <c r="G1020" t="s">
        <v>24</v>
      </c>
      <c r="H1020" t="s">
        <v>25</v>
      </c>
      <c r="I1020">
        <v>2</v>
      </c>
      <c r="J1020" s="3">
        <v>64451</v>
      </c>
      <c r="K1020" s="4">
        <v>0</v>
      </c>
      <c r="L1020" s="3">
        <v>128902</v>
      </c>
      <c r="M1020" s="3">
        <v>0</v>
      </c>
      <c r="N1020" s="3">
        <v>128902</v>
      </c>
      <c r="O1020" s="3">
        <v>74320</v>
      </c>
      <c r="P1020" s="3">
        <v>54582</v>
      </c>
      <c r="Q1020" t="s">
        <v>300</v>
      </c>
      <c r="R1020">
        <v>2026</v>
      </c>
      <c r="S1020">
        <v>8</v>
      </c>
    </row>
    <row r="1021" spans="1:19" x14ac:dyDescent="0.3">
      <c r="A1021" t="s">
        <v>1080</v>
      </c>
      <c r="B1021" s="2">
        <v>46238</v>
      </c>
      <c r="C1021" t="s">
        <v>48</v>
      </c>
      <c r="D1021" t="s">
        <v>34</v>
      </c>
      <c r="E1021" t="s">
        <v>22</v>
      </c>
      <c r="F1021" t="s">
        <v>37</v>
      </c>
      <c r="G1021" t="s">
        <v>31</v>
      </c>
      <c r="H1021" t="s">
        <v>25</v>
      </c>
      <c r="I1021">
        <v>1</v>
      </c>
      <c r="J1021" s="3">
        <v>25875</v>
      </c>
      <c r="K1021" s="4">
        <v>0</v>
      </c>
      <c r="L1021" s="3">
        <v>25875</v>
      </c>
      <c r="M1021" s="3">
        <v>0</v>
      </c>
      <c r="N1021" s="3">
        <v>25875</v>
      </c>
      <c r="O1021" s="3">
        <v>17162.48</v>
      </c>
      <c r="P1021" s="3">
        <v>8712.52</v>
      </c>
      <c r="Q1021" t="s">
        <v>300</v>
      </c>
      <c r="R1021">
        <v>2026</v>
      </c>
      <c r="S1021">
        <v>8</v>
      </c>
    </row>
    <row r="1022" spans="1:19" x14ac:dyDescent="0.3">
      <c r="A1022" t="s">
        <v>1081</v>
      </c>
      <c r="B1022" s="2">
        <v>46239</v>
      </c>
      <c r="C1022" t="s">
        <v>28</v>
      </c>
      <c r="D1022" t="s">
        <v>29</v>
      </c>
      <c r="E1022" t="s">
        <v>22</v>
      </c>
      <c r="F1022" t="s">
        <v>23</v>
      </c>
      <c r="G1022" t="s">
        <v>31</v>
      </c>
      <c r="H1022" t="s">
        <v>25</v>
      </c>
      <c r="I1022">
        <v>1</v>
      </c>
      <c r="J1022" s="3">
        <v>59887</v>
      </c>
      <c r="K1022" s="4">
        <v>0</v>
      </c>
      <c r="L1022" s="3">
        <v>59887</v>
      </c>
      <c r="M1022" s="3">
        <v>0</v>
      </c>
      <c r="N1022" s="3">
        <v>59887</v>
      </c>
      <c r="O1022" s="3">
        <v>30256.94</v>
      </c>
      <c r="P1022" s="3">
        <v>29630.06</v>
      </c>
      <c r="Q1022" t="s">
        <v>300</v>
      </c>
      <c r="R1022">
        <v>2026</v>
      </c>
      <c r="S1022">
        <v>8</v>
      </c>
    </row>
    <row r="1023" spans="1:19" x14ac:dyDescent="0.3">
      <c r="A1023" t="s">
        <v>1082</v>
      </c>
      <c r="B1023" s="2">
        <v>46239</v>
      </c>
      <c r="C1023" t="s">
        <v>82</v>
      </c>
      <c r="D1023" t="s">
        <v>21</v>
      </c>
      <c r="E1023" t="s">
        <v>44</v>
      </c>
      <c r="F1023" t="s">
        <v>35</v>
      </c>
      <c r="G1023" t="s">
        <v>31</v>
      </c>
      <c r="H1023" t="s">
        <v>25</v>
      </c>
      <c r="I1023">
        <v>4</v>
      </c>
      <c r="J1023" s="3">
        <v>43791</v>
      </c>
      <c r="K1023" s="4">
        <v>0</v>
      </c>
      <c r="L1023" s="3">
        <v>175164</v>
      </c>
      <c r="M1023" s="3">
        <v>0</v>
      </c>
      <c r="N1023" s="3">
        <v>175164</v>
      </c>
      <c r="O1023" s="3">
        <v>110889.89</v>
      </c>
      <c r="P1023" s="3">
        <v>64274.11</v>
      </c>
      <c r="Q1023" t="s">
        <v>300</v>
      </c>
      <c r="R1023">
        <v>2026</v>
      </c>
      <c r="S1023">
        <v>8</v>
      </c>
    </row>
    <row r="1024" spans="1:19" x14ac:dyDescent="0.3">
      <c r="A1024" t="s">
        <v>1083</v>
      </c>
      <c r="B1024" s="2">
        <v>46240</v>
      </c>
      <c r="C1024" t="s">
        <v>28</v>
      </c>
      <c r="D1024" t="s">
        <v>29</v>
      </c>
      <c r="E1024" t="s">
        <v>22</v>
      </c>
      <c r="F1024" t="s">
        <v>30</v>
      </c>
      <c r="G1024" t="s">
        <v>24</v>
      </c>
      <c r="H1024" t="s">
        <v>25</v>
      </c>
      <c r="I1024">
        <v>1</v>
      </c>
      <c r="J1024" s="3">
        <v>70176</v>
      </c>
      <c r="K1024" s="4">
        <v>5</v>
      </c>
      <c r="L1024" s="3">
        <v>70176</v>
      </c>
      <c r="M1024" s="3">
        <v>3508.8</v>
      </c>
      <c r="N1024" s="3">
        <v>66667.199999999997</v>
      </c>
      <c r="O1024" s="3">
        <v>45505.62</v>
      </c>
      <c r="P1024" s="3">
        <v>21161.58</v>
      </c>
      <c r="Q1024" t="s">
        <v>300</v>
      </c>
      <c r="R1024">
        <v>2026</v>
      </c>
      <c r="S1024">
        <v>8</v>
      </c>
    </row>
    <row r="1025" spans="1:19" x14ac:dyDescent="0.3">
      <c r="A1025" t="s">
        <v>1084</v>
      </c>
      <c r="B1025" s="2">
        <v>46242</v>
      </c>
      <c r="C1025" t="s">
        <v>46</v>
      </c>
      <c r="D1025" t="s">
        <v>21</v>
      </c>
      <c r="E1025" t="s">
        <v>42</v>
      </c>
      <c r="F1025" t="s">
        <v>40</v>
      </c>
      <c r="G1025" t="s">
        <v>31</v>
      </c>
      <c r="H1025" t="s">
        <v>25</v>
      </c>
      <c r="I1025">
        <v>1</v>
      </c>
      <c r="J1025" s="3">
        <v>11417</v>
      </c>
      <c r="K1025" s="4">
        <v>0</v>
      </c>
      <c r="L1025" s="3">
        <v>11417</v>
      </c>
      <c r="M1025" s="3">
        <v>0</v>
      </c>
      <c r="N1025" s="3">
        <v>11417</v>
      </c>
      <c r="O1025" s="3">
        <v>5876.49</v>
      </c>
      <c r="P1025" s="3">
        <v>5540.51</v>
      </c>
      <c r="Q1025" t="s">
        <v>300</v>
      </c>
      <c r="R1025">
        <v>2026</v>
      </c>
      <c r="S1025">
        <v>8</v>
      </c>
    </row>
    <row r="1026" spans="1:19" x14ac:dyDescent="0.3">
      <c r="A1026" t="s">
        <v>1085</v>
      </c>
      <c r="B1026" s="2">
        <v>46243</v>
      </c>
      <c r="C1026" t="s">
        <v>33</v>
      </c>
      <c r="D1026" t="s">
        <v>34</v>
      </c>
      <c r="E1026" t="s">
        <v>42</v>
      </c>
      <c r="F1026" t="s">
        <v>23</v>
      </c>
      <c r="G1026" t="s">
        <v>24</v>
      </c>
      <c r="H1026" t="s">
        <v>25</v>
      </c>
      <c r="I1026">
        <v>5</v>
      </c>
      <c r="J1026" s="3">
        <v>42657</v>
      </c>
      <c r="K1026" s="4">
        <v>0</v>
      </c>
      <c r="L1026" s="3">
        <v>213285</v>
      </c>
      <c r="M1026" s="3">
        <v>0</v>
      </c>
      <c r="N1026" s="3">
        <v>213285</v>
      </c>
      <c r="O1026" s="3">
        <v>116836.8</v>
      </c>
      <c r="P1026" s="3">
        <v>96448.2</v>
      </c>
      <c r="Q1026" t="s">
        <v>300</v>
      </c>
      <c r="R1026">
        <v>2026</v>
      </c>
      <c r="S1026">
        <v>8</v>
      </c>
    </row>
    <row r="1027" spans="1:19" x14ac:dyDescent="0.3">
      <c r="A1027" t="s">
        <v>1086</v>
      </c>
      <c r="B1027" s="2">
        <v>46243</v>
      </c>
      <c r="C1027" t="s">
        <v>82</v>
      </c>
      <c r="D1027" t="s">
        <v>21</v>
      </c>
      <c r="E1027" t="s">
        <v>22</v>
      </c>
      <c r="F1027" t="s">
        <v>40</v>
      </c>
      <c r="G1027" t="s">
        <v>24</v>
      </c>
      <c r="H1027" t="s">
        <v>25</v>
      </c>
      <c r="I1027">
        <v>1</v>
      </c>
      <c r="J1027" s="3">
        <v>44728</v>
      </c>
      <c r="K1027" s="4">
        <v>0</v>
      </c>
      <c r="L1027" s="3">
        <v>44728</v>
      </c>
      <c r="M1027" s="3">
        <v>0</v>
      </c>
      <c r="N1027" s="3">
        <v>44728</v>
      </c>
      <c r="O1027" s="3">
        <v>23763.49</v>
      </c>
      <c r="P1027" s="3">
        <v>20964.509999999998</v>
      </c>
      <c r="Q1027" t="s">
        <v>300</v>
      </c>
      <c r="R1027">
        <v>2026</v>
      </c>
      <c r="S1027">
        <v>8</v>
      </c>
    </row>
    <row r="1028" spans="1:19" x14ac:dyDescent="0.3">
      <c r="A1028" t="s">
        <v>1087</v>
      </c>
      <c r="B1028" s="2">
        <v>46243</v>
      </c>
      <c r="C1028" t="s">
        <v>28</v>
      </c>
      <c r="D1028" t="s">
        <v>29</v>
      </c>
      <c r="E1028" t="s">
        <v>22</v>
      </c>
      <c r="F1028" t="s">
        <v>40</v>
      </c>
      <c r="G1028" t="s">
        <v>31</v>
      </c>
      <c r="H1028" t="s">
        <v>25</v>
      </c>
      <c r="I1028">
        <v>1</v>
      </c>
      <c r="J1028" s="3">
        <v>65512</v>
      </c>
      <c r="K1028" s="4">
        <v>0</v>
      </c>
      <c r="L1028" s="3">
        <v>65512</v>
      </c>
      <c r="M1028" s="3">
        <v>0</v>
      </c>
      <c r="N1028" s="3">
        <v>65512</v>
      </c>
      <c r="O1028" s="3">
        <v>40365.300000000003</v>
      </c>
      <c r="P1028" s="3">
        <v>25146.7</v>
      </c>
      <c r="Q1028" t="s">
        <v>300</v>
      </c>
      <c r="R1028">
        <v>2026</v>
      </c>
      <c r="S1028">
        <v>8</v>
      </c>
    </row>
    <row r="1029" spans="1:19" x14ac:dyDescent="0.3">
      <c r="A1029" t="s">
        <v>1088</v>
      </c>
      <c r="B1029" s="2">
        <v>46245</v>
      </c>
      <c r="C1029" t="s">
        <v>50</v>
      </c>
      <c r="D1029" t="s">
        <v>34</v>
      </c>
      <c r="E1029" t="s">
        <v>44</v>
      </c>
      <c r="F1029" t="s">
        <v>40</v>
      </c>
      <c r="G1029" t="s">
        <v>31</v>
      </c>
      <c r="H1029" t="s">
        <v>25</v>
      </c>
      <c r="I1029">
        <v>1</v>
      </c>
      <c r="J1029" s="3">
        <v>17825</v>
      </c>
      <c r="K1029" s="4">
        <v>0</v>
      </c>
      <c r="L1029" s="3">
        <v>17825</v>
      </c>
      <c r="M1029" s="3">
        <v>0</v>
      </c>
      <c r="N1029" s="3">
        <v>17825</v>
      </c>
      <c r="O1029" s="3">
        <v>9478.59</v>
      </c>
      <c r="P1029" s="3">
        <v>8346.41</v>
      </c>
      <c r="Q1029" t="s">
        <v>300</v>
      </c>
      <c r="R1029">
        <v>2026</v>
      </c>
      <c r="S1029">
        <v>8</v>
      </c>
    </row>
    <row r="1030" spans="1:19" x14ac:dyDescent="0.3">
      <c r="A1030" t="s">
        <v>1089</v>
      </c>
      <c r="B1030" s="2">
        <v>46246</v>
      </c>
      <c r="C1030" t="s">
        <v>64</v>
      </c>
      <c r="D1030" t="s">
        <v>29</v>
      </c>
      <c r="E1030" t="s">
        <v>56</v>
      </c>
      <c r="F1030" t="s">
        <v>40</v>
      </c>
      <c r="G1030" t="s">
        <v>24</v>
      </c>
      <c r="H1030" t="s">
        <v>25</v>
      </c>
      <c r="I1030">
        <v>1</v>
      </c>
      <c r="J1030" s="3">
        <v>29451</v>
      </c>
      <c r="K1030" s="4">
        <v>10</v>
      </c>
      <c r="L1030" s="3">
        <v>29451</v>
      </c>
      <c r="M1030" s="3">
        <v>2945.1</v>
      </c>
      <c r="N1030" s="3">
        <v>26505.9</v>
      </c>
      <c r="O1030" s="3">
        <v>14545.9</v>
      </c>
      <c r="P1030" s="3">
        <v>11960</v>
      </c>
      <c r="Q1030" t="s">
        <v>300</v>
      </c>
      <c r="R1030">
        <v>2026</v>
      </c>
      <c r="S1030">
        <v>8</v>
      </c>
    </row>
    <row r="1031" spans="1:19" x14ac:dyDescent="0.3">
      <c r="A1031" t="s">
        <v>1090</v>
      </c>
      <c r="B1031" s="2">
        <v>46246</v>
      </c>
      <c r="C1031" t="s">
        <v>82</v>
      </c>
      <c r="D1031" t="s">
        <v>21</v>
      </c>
      <c r="E1031" t="s">
        <v>22</v>
      </c>
      <c r="F1031" t="s">
        <v>37</v>
      </c>
      <c r="G1031" t="s">
        <v>31</v>
      </c>
      <c r="H1031" t="s">
        <v>25</v>
      </c>
      <c r="I1031">
        <v>3</v>
      </c>
      <c r="J1031" s="3">
        <v>47039</v>
      </c>
      <c r="K1031" s="4">
        <v>0</v>
      </c>
      <c r="L1031" s="3">
        <v>141117</v>
      </c>
      <c r="M1031" s="3">
        <v>0</v>
      </c>
      <c r="N1031" s="3">
        <v>141117</v>
      </c>
      <c r="O1031" s="3">
        <v>74848.62</v>
      </c>
      <c r="P1031" s="3">
        <v>66268.38</v>
      </c>
      <c r="Q1031" t="s">
        <v>300</v>
      </c>
      <c r="R1031">
        <v>2026</v>
      </c>
      <c r="S1031">
        <v>8</v>
      </c>
    </row>
    <row r="1032" spans="1:19" x14ac:dyDescent="0.3">
      <c r="A1032" t="s">
        <v>1091</v>
      </c>
      <c r="B1032" s="2">
        <v>46246</v>
      </c>
      <c r="C1032" t="s">
        <v>82</v>
      </c>
      <c r="D1032" t="s">
        <v>21</v>
      </c>
      <c r="E1032" t="s">
        <v>22</v>
      </c>
      <c r="F1032" t="s">
        <v>35</v>
      </c>
      <c r="G1032" t="s">
        <v>24</v>
      </c>
      <c r="H1032" t="s">
        <v>25</v>
      </c>
      <c r="I1032">
        <v>1</v>
      </c>
      <c r="J1032" s="3">
        <v>46086</v>
      </c>
      <c r="K1032" s="4">
        <v>0</v>
      </c>
      <c r="L1032" s="3">
        <v>46086</v>
      </c>
      <c r="M1032" s="3">
        <v>0</v>
      </c>
      <c r="N1032" s="3">
        <v>46086</v>
      </c>
      <c r="O1032" s="3">
        <v>27294.83</v>
      </c>
      <c r="P1032" s="3">
        <v>18791.169999999998</v>
      </c>
      <c r="Q1032" t="s">
        <v>300</v>
      </c>
      <c r="R1032">
        <v>2026</v>
      </c>
      <c r="S1032">
        <v>8</v>
      </c>
    </row>
    <row r="1033" spans="1:19" x14ac:dyDescent="0.3">
      <c r="A1033" t="s">
        <v>1092</v>
      </c>
      <c r="B1033" s="2">
        <v>46246</v>
      </c>
      <c r="C1033" t="s">
        <v>82</v>
      </c>
      <c r="D1033" t="s">
        <v>21</v>
      </c>
      <c r="E1033" t="s">
        <v>44</v>
      </c>
      <c r="F1033" t="s">
        <v>23</v>
      </c>
      <c r="G1033" t="s">
        <v>24</v>
      </c>
      <c r="H1033" t="s">
        <v>25</v>
      </c>
      <c r="I1033">
        <v>2</v>
      </c>
      <c r="J1033" s="3">
        <v>42554</v>
      </c>
      <c r="K1033" s="4">
        <v>0</v>
      </c>
      <c r="L1033" s="3">
        <v>85108</v>
      </c>
      <c r="M1033" s="3">
        <v>0</v>
      </c>
      <c r="N1033" s="3">
        <v>85108</v>
      </c>
      <c r="O1033" s="3">
        <v>43903.02</v>
      </c>
      <c r="P1033" s="3">
        <v>41204.980000000003</v>
      </c>
      <c r="Q1033" t="s">
        <v>300</v>
      </c>
      <c r="R1033">
        <v>2026</v>
      </c>
      <c r="S1033">
        <v>8</v>
      </c>
    </row>
    <row r="1034" spans="1:19" x14ac:dyDescent="0.3">
      <c r="A1034" t="s">
        <v>1093</v>
      </c>
      <c r="B1034" s="2">
        <v>46247</v>
      </c>
      <c r="C1034" t="s">
        <v>20</v>
      </c>
      <c r="D1034" t="s">
        <v>21</v>
      </c>
      <c r="E1034" t="s">
        <v>22</v>
      </c>
      <c r="F1034" t="s">
        <v>40</v>
      </c>
      <c r="G1034" t="s">
        <v>31</v>
      </c>
      <c r="H1034" t="s">
        <v>25</v>
      </c>
      <c r="I1034">
        <v>2</v>
      </c>
      <c r="J1034" s="3">
        <v>15224</v>
      </c>
      <c r="K1034" s="4">
        <v>0</v>
      </c>
      <c r="L1034" s="3">
        <v>30448</v>
      </c>
      <c r="M1034" s="3">
        <v>0</v>
      </c>
      <c r="N1034" s="3">
        <v>30448</v>
      </c>
      <c r="O1034" s="3">
        <v>18552.61</v>
      </c>
      <c r="P1034" s="3">
        <v>11895.39</v>
      </c>
      <c r="Q1034" t="s">
        <v>300</v>
      </c>
      <c r="R1034">
        <v>2026</v>
      </c>
      <c r="S1034">
        <v>8</v>
      </c>
    </row>
    <row r="1035" spans="1:19" x14ac:dyDescent="0.3">
      <c r="A1035" t="s">
        <v>1094</v>
      </c>
      <c r="B1035" s="2">
        <v>46247</v>
      </c>
      <c r="C1035" t="s">
        <v>28</v>
      </c>
      <c r="D1035" t="s">
        <v>29</v>
      </c>
      <c r="E1035" t="s">
        <v>42</v>
      </c>
      <c r="F1035" t="s">
        <v>23</v>
      </c>
      <c r="G1035" t="s">
        <v>31</v>
      </c>
      <c r="H1035" t="s">
        <v>25</v>
      </c>
      <c r="I1035">
        <v>2</v>
      </c>
      <c r="J1035" s="3">
        <v>66876</v>
      </c>
      <c r="K1035" s="4">
        <v>10</v>
      </c>
      <c r="L1035" s="3">
        <v>133752</v>
      </c>
      <c r="M1035" s="3">
        <v>13375.2</v>
      </c>
      <c r="N1035" s="3">
        <v>120376.8</v>
      </c>
      <c r="O1035" s="3">
        <v>90274.57</v>
      </c>
      <c r="P1035" s="3">
        <v>30102.23</v>
      </c>
      <c r="Q1035" t="s">
        <v>300</v>
      </c>
      <c r="R1035">
        <v>2026</v>
      </c>
      <c r="S1035">
        <v>8</v>
      </c>
    </row>
    <row r="1036" spans="1:19" x14ac:dyDescent="0.3">
      <c r="A1036" t="s">
        <v>1095</v>
      </c>
      <c r="B1036" s="2">
        <v>46248</v>
      </c>
      <c r="C1036" t="s">
        <v>50</v>
      </c>
      <c r="D1036" t="s">
        <v>34</v>
      </c>
      <c r="E1036" t="s">
        <v>42</v>
      </c>
      <c r="F1036" t="s">
        <v>40</v>
      </c>
      <c r="G1036" t="s">
        <v>24</v>
      </c>
      <c r="H1036" t="s">
        <v>25</v>
      </c>
      <c r="I1036">
        <v>1</v>
      </c>
      <c r="J1036" s="3">
        <v>16600</v>
      </c>
      <c r="K1036" s="4">
        <v>0</v>
      </c>
      <c r="L1036" s="3">
        <v>16600</v>
      </c>
      <c r="M1036" s="3">
        <v>0</v>
      </c>
      <c r="N1036" s="3">
        <v>16600</v>
      </c>
      <c r="O1036" s="3">
        <v>10664.82</v>
      </c>
      <c r="P1036" s="3">
        <v>5935.18</v>
      </c>
      <c r="Q1036" t="s">
        <v>300</v>
      </c>
      <c r="R1036">
        <v>2026</v>
      </c>
      <c r="S1036">
        <v>8</v>
      </c>
    </row>
    <row r="1037" spans="1:19" x14ac:dyDescent="0.3">
      <c r="A1037" t="s">
        <v>1096</v>
      </c>
      <c r="B1037" s="2">
        <v>46248</v>
      </c>
      <c r="C1037" t="s">
        <v>20</v>
      </c>
      <c r="D1037" t="s">
        <v>21</v>
      </c>
      <c r="E1037" t="s">
        <v>22</v>
      </c>
      <c r="F1037" t="s">
        <v>35</v>
      </c>
      <c r="G1037" t="s">
        <v>24</v>
      </c>
      <c r="H1037" t="s">
        <v>25</v>
      </c>
      <c r="I1037">
        <v>1</v>
      </c>
      <c r="J1037" s="3">
        <v>16102</v>
      </c>
      <c r="K1037" s="4">
        <v>0</v>
      </c>
      <c r="L1037" s="3">
        <v>16102</v>
      </c>
      <c r="M1037" s="3">
        <v>0</v>
      </c>
      <c r="N1037" s="3">
        <v>16102</v>
      </c>
      <c r="O1037" s="3">
        <v>8012.85</v>
      </c>
      <c r="P1037" s="3">
        <v>8089.15</v>
      </c>
      <c r="Q1037" t="s">
        <v>300</v>
      </c>
      <c r="R1037">
        <v>2026</v>
      </c>
      <c r="S1037">
        <v>8</v>
      </c>
    </row>
    <row r="1038" spans="1:19" x14ac:dyDescent="0.3">
      <c r="A1038" t="s">
        <v>1097</v>
      </c>
      <c r="B1038" s="2">
        <v>46248</v>
      </c>
      <c r="C1038" t="s">
        <v>50</v>
      </c>
      <c r="D1038" t="s">
        <v>34</v>
      </c>
      <c r="E1038" t="s">
        <v>22</v>
      </c>
      <c r="F1038" t="s">
        <v>35</v>
      </c>
      <c r="G1038" t="s">
        <v>24</v>
      </c>
      <c r="H1038" t="s">
        <v>25</v>
      </c>
      <c r="I1038">
        <v>1</v>
      </c>
      <c r="J1038" s="3">
        <v>18916</v>
      </c>
      <c r="K1038" s="4">
        <v>0</v>
      </c>
      <c r="L1038" s="3">
        <v>18916</v>
      </c>
      <c r="M1038" s="3">
        <v>0</v>
      </c>
      <c r="N1038" s="3">
        <v>18916</v>
      </c>
      <c r="O1038" s="3">
        <v>12528.15</v>
      </c>
      <c r="P1038" s="3">
        <v>6387.85</v>
      </c>
      <c r="Q1038" t="s">
        <v>300</v>
      </c>
      <c r="R1038">
        <v>2026</v>
      </c>
      <c r="S1038">
        <v>8</v>
      </c>
    </row>
    <row r="1039" spans="1:19" x14ac:dyDescent="0.3">
      <c r="A1039" t="s">
        <v>1098</v>
      </c>
      <c r="B1039" s="2">
        <v>46249</v>
      </c>
      <c r="C1039" t="s">
        <v>33</v>
      </c>
      <c r="D1039" t="s">
        <v>34</v>
      </c>
      <c r="E1039" t="s">
        <v>44</v>
      </c>
      <c r="F1039" t="s">
        <v>37</v>
      </c>
      <c r="G1039" t="s">
        <v>24</v>
      </c>
      <c r="H1039" t="s">
        <v>25</v>
      </c>
      <c r="I1039">
        <v>1</v>
      </c>
      <c r="J1039" s="3">
        <v>44166</v>
      </c>
      <c r="K1039" s="4">
        <v>10</v>
      </c>
      <c r="L1039" s="3">
        <v>44166</v>
      </c>
      <c r="M1039" s="3">
        <v>4416.6000000000004</v>
      </c>
      <c r="N1039" s="3">
        <v>39749.4</v>
      </c>
      <c r="O1039" s="3">
        <v>25836.23</v>
      </c>
      <c r="P1039" s="3">
        <v>13913.17</v>
      </c>
      <c r="Q1039" t="s">
        <v>300</v>
      </c>
      <c r="R1039">
        <v>2026</v>
      </c>
      <c r="S1039">
        <v>8</v>
      </c>
    </row>
    <row r="1040" spans="1:19" x14ac:dyDescent="0.3">
      <c r="A1040" t="s">
        <v>1099</v>
      </c>
      <c r="B1040" s="2">
        <v>46249</v>
      </c>
      <c r="C1040" t="s">
        <v>48</v>
      </c>
      <c r="D1040" t="s">
        <v>34</v>
      </c>
      <c r="E1040" t="s">
        <v>42</v>
      </c>
      <c r="F1040" t="s">
        <v>37</v>
      </c>
      <c r="G1040" t="s">
        <v>31</v>
      </c>
      <c r="H1040" t="s">
        <v>25</v>
      </c>
      <c r="I1040">
        <v>1</v>
      </c>
      <c r="J1040" s="3">
        <v>26220</v>
      </c>
      <c r="K1040" s="4">
        <v>0</v>
      </c>
      <c r="L1040" s="3">
        <v>26220</v>
      </c>
      <c r="M1040" s="3">
        <v>0</v>
      </c>
      <c r="N1040" s="3">
        <v>26220</v>
      </c>
      <c r="O1040" s="3">
        <v>13927.96</v>
      </c>
      <c r="P1040" s="3">
        <v>12292.04</v>
      </c>
      <c r="Q1040" t="s">
        <v>300</v>
      </c>
      <c r="R1040">
        <v>2026</v>
      </c>
      <c r="S1040">
        <v>8</v>
      </c>
    </row>
    <row r="1041" spans="1:19" x14ac:dyDescent="0.3">
      <c r="A1041" t="s">
        <v>1100</v>
      </c>
      <c r="B1041" s="2">
        <v>46249</v>
      </c>
      <c r="C1041" t="s">
        <v>46</v>
      </c>
      <c r="D1041" t="s">
        <v>21</v>
      </c>
      <c r="E1041" t="s">
        <v>44</v>
      </c>
      <c r="F1041" t="s">
        <v>40</v>
      </c>
      <c r="G1041" t="s">
        <v>24</v>
      </c>
      <c r="H1041" t="s">
        <v>25</v>
      </c>
      <c r="I1041">
        <v>1</v>
      </c>
      <c r="J1041" s="3">
        <v>11291</v>
      </c>
      <c r="K1041" s="4">
        <v>0</v>
      </c>
      <c r="L1041" s="3">
        <v>11291</v>
      </c>
      <c r="M1041" s="3">
        <v>0</v>
      </c>
      <c r="N1041" s="3">
        <v>11291</v>
      </c>
      <c r="O1041" s="3">
        <v>6444.43</v>
      </c>
      <c r="P1041" s="3">
        <v>4846.57</v>
      </c>
      <c r="Q1041" t="s">
        <v>300</v>
      </c>
      <c r="R1041">
        <v>2026</v>
      </c>
      <c r="S1041">
        <v>8</v>
      </c>
    </row>
    <row r="1042" spans="1:19" x14ac:dyDescent="0.3">
      <c r="A1042" t="s">
        <v>1101</v>
      </c>
      <c r="B1042" s="2">
        <v>46249</v>
      </c>
      <c r="C1042" t="s">
        <v>46</v>
      </c>
      <c r="D1042" t="s">
        <v>21</v>
      </c>
      <c r="E1042" t="s">
        <v>42</v>
      </c>
      <c r="F1042" t="s">
        <v>35</v>
      </c>
      <c r="G1042" t="s">
        <v>31</v>
      </c>
      <c r="H1042" t="s">
        <v>25</v>
      </c>
      <c r="I1042">
        <v>2</v>
      </c>
      <c r="J1042" s="3">
        <v>11355</v>
      </c>
      <c r="K1042" s="4">
        <v>0</v>
      </c>
      <c r="L1042" s="3">
        <v>22710</v>
      </c>
      <c r="M1042" s="3">
        <v>0</v>
      </c>
      <c r="N1042" s="3">
        <v>22710</v>
      </c>
      <c r="O1042" s="3">
        <v>14356.33</v>
      </c>
      <c r="P1042" s="3">
        <v>8353.67</v>
      </c>
      <c r="Q1042" t="s">
        <v>300</v>
      </c>
      <c r="R1042">
        <v>2026</v>
      </c>
      <c r="S1042">
        <v>8</v>
      </c>
    </row>
    <row r="1043" spans="1:19" x14ac:dyDescent="0.3">
      <c r="A1043" t="s">
        <v>1102</v>
      </c>
      <c r="B1043" s="2">
        <v>46249</v>
      </c>
      <c r="C1043" t="s">
        <v>64</v>
      </c>
      <c r="D1043" t="s">
        <v>29</v>
      </c>
      <c r="E1043" t="s">
        <v>42</v>
      </c>
      <c r="F1043" t="s">
        <v>40</v>
      </c>
      <c r="G1043" t="s">
        <v>24</v>
      </c>
      <c r="H1043" t="s">
        <v>25</v>
      </c>
      <c r="I1043">
        <v>2</v>
      </c>
      <c r="J1043" s="3">
        <v>31652</v>
      </c>
      <c r="K1043" s="4">
        <v>0</v>
      </c>
      <c r="L1043" s="3">
        <v>63304</v>
      </c>
      <c r="M1043" s="3">
        <v>0</v>
      </c>
      <c r="N1043" s="3">
        <v>63304</v>
      </c>
      <c r="O1043" s="3">
        <v>37796.97</v>
      </c>
      <c r="P1043" s="3">
        <v>25507.03</v>
      </c>
      <c r="Q1043" t="s">
        <v>300</v>
      </c>
      <c r="R1043">
        <v>2026</v>
      </c>
      <c r="S1043">
        <v>8</v>
      </c>
    </row>
    <row r="1044" spans="1:19" x14ac:dyDescent="0.3">
      <c r="A1044" t="s">
        <v>1103</v>
      </c>
      <c r="B1044" s="2">
        <v>46249</v>
      </c>
      <c r="C1044" t="s">
        <v>20</v>
      </c>
      <c r="D1044" t="s">
        <v>21</v>
      </c>
      <c r="E1044" t="s">
        <v>22</v>
      </c>
      <c r="F1044" t="s">
        <v>30</v>
      </c>
      <c r="G1044" t="s">
        <v>24</v>
      </c>
      <c r="H1044" t="s">
        <v>25</v>
      </c>
      <c r="I1044">
        <v>1</v>
      </c>
      <c r="J1044" s="3">
        <v>14282</v>
      </c>
      <c r="K1044" s="4">
        <v>0</v>
      </c>
      <c r="L1044" s="3">
        <v>14282</v>
      </c>
      <c r="M1044" s="3">
        <v>0</v>
      </c>
      <c r="N1044" s="3">
        <v>14282</v>
      </c>
      <c r="O1044" s="3">
        <v>9290.92</v>
      </c>
      <c r="P1044" s="3">
        <v>4991.08</v>
      </c>
      <c r="Q1044" t="s">
        <v>300</v>
      </c>
      <c r="R1044">
        <v>2026</v>
      </c>
      <c r="S1044">
        <v>8</v>
      </c>
    </row>
    <row r="1045" spans="1:19" x14ac:dyDescent="0.3">
      <c r="A1045" t="s">
        <v>1104</v>
      </c>
      <c r="B1045" s="2">
        <v>46250</v>
      </c>
      <c r="C1045" t="s">
        <v>28</v>
      </c>
      <c r="D1045" t="s">
        <v>29</v>
      </c>
      <c r="E1045" t="s">
        <v>44</v>
      </c>
      <c r="F1045" t="s">
        <v>37</v>
      </c>
      <c r="G1045" t="s">
        <v>24</v>
      </c>
      <c r="H1045" t="s">
        <v>25</v>
      </c>
      <c r="I1045">
        <v>2</v>
      </c>
      <c r="J1045" s="3">
        <v>64832</v>
      </c>
      <c r="K1045" s="4">
        <v>0</v>
      </c>
      <c r="L1045" s="3">
        <v>129664</v>
      </c>
      <c r="M1045" s="3">
        <v>0</v>
      </c>
      <c r="N1045" s="3">
        <v>129664</v>
      </c>
      <c r="O1045" s="3">
        <v>85779.51</v>
      </c>
      <c r="P1045" s="3">
        <v>43884.49</v>
      </c>
      <c r="Q1045" t="s">
        <v>300</v>
      </c>
      <c r="R1045">
        <v>2026</v>
      </c>
      <c r="S1045">
        <v>8</v>
      </c>
    </row>
    <row r="1046" spans="1:19" x14ac:dyDescent="0.3">
      <c r="A1046" t="s">
        <v>1105</v>
      </c>
      <c r="B1046" s="2">
        <v>46251</v>
      </c>
      <c r="C1046" t="s">
        <v>82</v>
      </c>
      <c r="D1046" t="s">
        <v>21</v>
      </c>
      <c r="E1046" t="s">
        <v>22</v>
      </c>
      <c r="F1046" t="s">
        <v>23</v>
      </c>
      <c r="G1046" t="s">
        <v>31</v>
      </c>
      <c r="H1046" t="s">
        <v>25</v>
      </c>
      <c r="I1046">
        <v>1</v>
      </c>
      <c r="J1046" s="3">
        <v>44183</v>
      </c>
      <c r="K1046" s="4">
        <v>0</v>
      </c>
      <c r="L1046" s="3">
        <v>44183</v>
      </c>
      <c r="M1046" s="3">
        <v>0</v>
      </c>
      <c r="N1046" s="3">
        <v>44183</v>
      </c>
      <c r="O1046" s="3">
        <v>24273.81</v>
      </c>
      <c r="P1046" s="3">
        <v>19909.189999999999</v>
      </c>
      <c r="Q1046" t="s">
        <v>300</v>
      </c>
      <c r="R1046">
        <v>2026</v>
      </c>
      <c r="S1046">
        <v>8</v>
      </c>
    </row>
    <row r="1047" spans="1:19" x14ac:dyDescent="0.3">
      <c r="A1047" t="s">
        <v>1106</v>
      </c>
      <c r="B1047" s="2">
        <v>46252</v>
      </c>
      <c r="C1047" t="s">
        <v>71</v>
      </c>
      <c r="D1047" t="s">
        <v>34</v>
      </c>
      <c r="E1047" t="s">
        <v>22</v>
      </c>
      <c r="F1047" t="s">
        <v>37</v>
      </c>
      <c r="G1047" t="s">
        <v>31</v>
      </c>
      <c r="H1047" t="s">
        <v>25</v>
      </c>
      <c r="I1047">
        <v>1</v>
      </c>
      <c r="J1047" s="3">
        <v>49125</v>
      </c>
      <c r="K1047" s="4">
        <v>0</v>
      </c>
      <c r="L1047" s="3">
        <v>49125</v>
      </c>
      <c r="M1047" s="3">
        <v>0</v>
      </c>
      <c r="N1047" s="3">
        <v>49125</v>
      </c>
      <c r="O1047" s="3">
        <v>27234.240000000002</v>
      </c>
      <c r="P1047" s="3">
        <v>21890.76</v>
      </c>
      <c r="Q1047" t="s">
        <v>300</v>
      </c>
      <c r="R1047">
        <v>2026</v>
      </c>
      <c r="S1047">
        <v>8</v>
      </c>
    </row>
    <row r="1048" spans="1:19" x14ac:dyDescent="0.3">
      <c r="A1048" t="s">
        <v>1107</v>
      </c>
      <c r="B1048" s="2">
        <v>46253</v>
      </c>
      <c r="C1048" t="s">
        <v>28</v>
      </c>
      <c r="D1048" t="s">
        <v>29</v>
      </c>
      <c r="E1048" t="s">
        <v>44</v>
      </c>
      <c r="F1048" t="s">
        <v>40</v>
      </c>
      <c r="G1048" t="s">
        <v>31</v>
      </c>
      <c r="H1048" t="s">
        <v>25</v>
      </c>
      <c r="I1048">
        <v>1</v>
      </c>
      <c r="J1048" s="3">
        <v>68042</v>
      </c>
      <c r="K1048" s="4">
        <v>0</v>
      </c>
      <c r="L1048" s="3">
        <v>68042</v>
      </c>
      <c r="M1048" s="3">
        <v>0</v>
      </c>
      <c r="N1048" s="3">
        <v>68042</v>
      </c>
      <c r="O1048" s="3">
        <v>42870.080000000002</v>
      </c>
      <c r="P1048" s="3">
        <v>25171.919999999998</v>
      </c>
      <c r="Q1048" t="s">
        <v>300</v>
      </c>
      <c r="R1048">
        <v>2026</v>
      </c>
      <c r="S1048">
        <v>8</v>
      </c>
    </row>
    <row r="1049" spans="1:19" x14ac:dyDescent="0.3">
      <c r="A1049" t="s">
        <v>1108</v>
      </c>
      <c r="B1049" s="2">
        <v>46255</v>
      </c>
      <c r="C1049" t="s">
        <v>20</v>
      </c>
      <c r="D1049" t="s">
        <v>21</v>
      </c>
      <c r="E1049" t="s">
        <v>22</v>
      </c>
      <c r="F1049" t="s">
        <v>30</v>
      </c>
      <c r="G1049" t="s">
        <v>31</v>
      </c>
      <c r="H1049" t="s">
        <v>25</v>
      </c>
      <c r="I1049">
        <v>1</v>
      </c>
      <c r="J1049" s="3">
        <v>15797</v>
      </c>
      <c r="K1049" s="4">
        <v>0</v>
      </c>
      <c r="L1049" s="3">
        <v>15797</v>
      </c>
      <c r="M1049" s="3">
        <v>0</v>
      </c>
      <c r="N1049" s="3">
        <v>15797</v>
      </c>
      <c r="O1049" s="3">
        <v>9726.1</v>
      </c>
      <c r="P1049" s="3">
        <v>6070.9</v>
      </c>
      <c r="Q1049" t="s">
        <v>300</v>
      </c>
      <c r="R1049">
        <v>2026</v>
      </c>
      <c r="S1049">
        <v>8</v>
      </c>
    </row>
    <row r="1050" spans="1:19" x14ac:dyDescent="0.3">
      <c r="A1050" t="s">
        <v>1109</v>
      </c>
      <c r="B1050" s="2">
        <v>46258</v>
      </c>
      <c r="C1050" t="s">
        <v>71</v>
      </c>
      <c r="D1050" t="s">
        <v>34</v>
      </c>
      <c r="E1050" t="s">
        <v>22</v>
      </c>
      <c r="F1050" t="s">
        <v>30</v>
      </c>
      <c r="G1050" t="s">
        <v>31</v>
      </c>
      <c r="H1050" t="s">
        <v>25</v>
      </c>
      <c r="I1050">
        <v>3</v>
      </c>
      <c r="J1050" s="3">
        <v>46819</v>
      </c>
      <c r="K1050" s="4">
        <v>0</v>
      </c>
      <c r="L1050" s="3">
        <v>140457</v>
      </c>
      <c r="M1050" s="3">
        <v>0</v>
      </c>
      <c r="N1050" s="3">
        <v>140457</v>
      </c>
      <c r="O1050" s="3">
        <v>68861.41</v>
      </c>
      <c r="P1050" s="3">
        <v>71595.59</v>
      </c>
      <c r="Q1050" t="s">
        <v>300</v>
      </c>
      <c r="R1050">
        <v>2026</v>
      </c>
      <c r="S1050">
        <v>8</v>
      </c>
    </row>
    <row r="1051" spans="1:19" x14ac:dyDescent="0.3">
      <c r="A1051" t="s">
        <v>1110</v>
      </c>
      <c r="B1051" s="2">
        <v>46259</v>
      </c>
      <c r="C1051" t="s">
        <v>48</v>
      </c>
      <c r="D1051" t="s">
        <v>34</v>
      </c>
      <c r="E1051" t="s">
        <v>42</v>
      </c>
      <c r="F1051" t="s">
        <v>40</v>
      </c>
      <c r="G1051" t="s">
        <v>31</v>
      </c>
      <c r="H1051" t="s">
        <v>25</v>
      </c>
      <c r="I1051">
        <v>1</v>
      </c>
      <c r="J1051" s="3">
        <v>26934</v>
      </c>
      <c r="K1051" s="4">
        <v>0</v>
      </c>
      <c r="L1051" s="3">
        <v>26934</v>
      </c>
      <c r="M1051" s="3">
        <v>0</v>
      </c>
      <c r="N1051" s="3">
        <v>26934</v>
      </c>
      <c r="O1051" s="3">
        <v>16983.759999999998</v>
      </c>
      <c r="P1051" s="3">
        <v>9950.24</v>
      </c>
      <c r="Q1051" t="s">
        <v>300</v>
      </c>
      <c r="R1051">
        <v>2026</v>
      </c>
      <c r="S1051">
        <v>8</v>
      </c>
    </row>
    <row r="1052" spans="1:19" x14ac:dyDescent="0.3">
      <c r="A1052" t="s">
        <v>1111</v>
      </c>
      <c r="B1052" s="2">
        <v>46260</v>
      </c>
      <c r="C1052" t="s">
        <v>20</v>
      </c>
      <c r="D1052" t="s">
        <v>21</v>
      </c>
      <c r="E1052" t="s">
        <v>56</v>
      </c>
      <c r="F1052" t="s">
        <v>40</v>
      </c>
      <c r="G1052" t="s">
        <v>31</v>
      </c>
      <c r="H1052" t="s">
        <v>25</v>
      </c>
      <c r="I1052">
        <v>2</v>
      </c>
      <c r="J1052" s="3">
        <v>15156</v>
      </c>
      <c r="K1052" s="4">
        <v>0</v>
      </c>
      <c r="L1052" s="3">
        <v>30312</v>
      </c>
      <c r="M1052" s="3">
        <v>0</v>
      </c>
      <c r="N1052" s="3">
        <v>30312</v>
      </c>
      <c r="O1052" s="3">
        <v>20019.53</v>
      </c>
      <c r="P1052" s="3">
        <v>10292.469999999999</v>
      </c>
      <c r="Q1052" t="s">
        <v>300</v>
      </c>
      <c r="R1052">
        <v>2026</v>
      </c>
      <c r="S1052">
        <v>8</v>
      </c>
    </row>
    <row r="1053" spans="1:19" x14ac:dyDescent="0.3">
      <c r="A1053" t="s">
        <v>1112</v>
      </c>
      <c r="B1053" s="2">
        <v>46261</v>
      </c>
      <c r="C1053" t="s">
        <v>20</v>
      </c>
      <c r="D1053" t="s">
        <v>21</v>
      </c>
      <c r="E1053" t="s">
        <v>42</v>
      </c>
      <c r="F1053" t="s">
        <v>30</v>
      </c>
      <c r="G1053" t="s">
        <v>24</v>
      </c>
      <c r="H1053" t="s">
        <v>25</v>
      </c>
      <c r="I1053">
        <v>1</v>
      </c>
      <c r="J1053" s="3">
        <v>14243</v>
      </c>
      <c r="K1053" s="4">
        <v>0</v>
      </c>
      <c r="L1053" s="3">
        <v>14243</v>
      </c>
      <c r="M1053" s="3">
        <v>0</v>
      </c>
      <c r="N1053" s="3">
        <v>14243</v>
      </c>
      <c r="O1053" s="3">
        <v>7011.62</v>
      </c>
      <c r="P1053" s="3">
        <v>7231.38</v>
      </c>
      <c r="Q1053" t="s">
        <v>300</v>
      </c>
      <c r="R1053">
        <v>2026</v>
      </c>
      <c r="S1053">
        <v>8</v>
      </c>
    </row>
    <row r="1054" spans="1:19" x14ac:dyDescent="0.3">
      <c r="A1054" t="s">
        <v>1113</v>
      </c>
      <c r="B1054" s="2">
        <v>46262</v>
      </c>
      <c r="C1054" t="s">
        <v>82</v>
      </c>
      <c r="D1054" t="s">
        <v>21</v>
      </c>
      <c r="E1054" t="s">
        <v>42</v>
      </c>
      <c r="F1054" t="s">
        <v>35</v>
      </c>
      <c r="G1054" t="s">
        <v>31</v>
      </c>
      <c r="H1054" t="s">
        <v>25</v>
      </c>
      <c r="I1054">
        <v>2</v>
      </c>
      <c r="J1054" s="3">
        <v>45573</v>
      </c>
      <c r="K1054" s="4">
        <v>5</v>
      </c>
      <c r="L1054" s="3">
        <v>91146</v>
      </c>
      <c r="M1054" s="3">
        <v>4557.3</v>
      </c>
      <c r="N1054" s="3">
        <v>86588.7</v>
      </c>
      <c r="O1054" s="3">
        <v>46983.05</v>
      </c>
      <c r="P1054" s="3">
        <v>39605.65</v>
      </c>
      <c r="Q1054" t="s">
        <v>300</v>
      </c>
      <c r="R1054">
        <v>2026</v>
      </c>
      <c r="S1054">
        <v>8</v>
      </c>
    </row>
    <row r="1055" spans="1:19" x14ac:dyDescent="0.3">
      <c r="A1055" t="s">
        <v>1114</v>
      </c>
      <c r="B1055" s="2">
        <v>46263</v>
      </c>
      <c r="C1055" t="s">
        <v>50</v>
      </c>
      <c r="D1055" t="s">
        <v>34</v>
      </c>
      <c r="E1055" t="s">
        <v>22</v>
      </c>
      <c r="F1055" t="s">
        <v>40</v>
      </c>
      <c r="G1055" t="s">
        <v>24</v>
      </c>
      <c r="H1055" t="s">
        <v>25</v>
      </c>
      <c r="I1055">
        <v>1</v>
      </c>
      <c r="J1055" s="3">
        <v>16642</v>
      </c>
      <c r="K1055" s="4">
        <v>0</v>
      </c>
      <c r="L1055" s="3">
        <v>16642</v>
      </c>
      <c r="M1055" s="3">
        <v>0</v>
      </c>
      <c r="N1055" s="3">
        <v>16642</v>
      </c>
      <c r="O1055" s="3">
        <v>8910.61</v>
      </c>
      <c r="P1055" s="3">
        <v>7731.39</v>
      </c>
      <c r="Q1055" t="s">
        <v>300</v>
      </c>
      <c r="R1055">
        <v>2026</v>
      </c>
      <c r="S1055">
        <v>8</v>
      </c>
    </row>
    <row r="1056" spans="1:19" x14ac:dyDescent="0.3">
      <c r="A1056" t="s">
        <v>1115</v>
      </c>
      <c r="B1056" s="2">
        <v>46263</v>
      </c>
      <c r="C1056" t="s">
        <v>50</v>
      </c>
      <c r="D1056" t="s">
        <v>34</v>
      </c>
      <c r="E1056" t="s">
        <v>56</v>
      </c>
      <c r="F1056" t="s">
        <v>40</v>
      </c>
      <c r="G1056" t="s">
        <v>24</v>
      </c>
      <c r="H1056" t="s">
        <v>25</v>
      </c>
      <c r="I1056">
        <v>1</v>
      </c>
      <c r="J1056" s="3">
        <v>17594</v>
      </c>
      <c r="K1056" s="4">
        <v>0</v>
      </c>
      <c r="L1056" s="3">
        <v>17594</v>
      </c>
      <c r="M1056" s="3">
        <v>0</v>
      </c>
      <c r="N1056" s="3">
        <v>17594</v>
      </c>
      <c r="O1056" s="3">
        <v>11332.99</v>
      </c>
      <c r="P1056" s="3">
        <v>6261.01</v>
      </c>
      <c r="Q1056" t="s">
        <v>300</v>
      </c>
      <c r="R1056">
        <v>2026</v>
      </c>
      <c r="S1056">
        <v>8</v>
      </c>
    </row>
    <row r="1057" spans="1:19" x14ac:dyDescent="0.3">
      <c r="A1057" t="s">
        <v>1116</v>
      </c>
      <c r="B1057" s="2">
        <v>46264</v>
      </c>
      <c r="C1057" t="s">
        <v>20</v>
      </c>
      <c r="D1057" t="s">
        <v>21</v>
      </c>
      <c r="E1057" t="s">
        <v>44</v>
      </c>
      <c r="F1057" t="s">
        <v>40</v>
      </c>
      <c r="G1057" t="s">
        <v>24</v>
      </c>
      <c r="H1057" t="s">
        <v>25</v>
      </c>
      <c r="I1057">
        <v>2</v>
      </c>
      <c r="J1057" s="3">
        <v>16091</v>
      </c>
      <c r="K1057" s="4">
        <v>0</v>
      </c>
      <c r="L1057" s="3">
        <v>32182</v>
      </c>
      <c r="M1057" s="3">
        <v>0</v>
      </c>
      <c r="N1057" s="3">
        <v>32182</v>
      </c>
      <c r="O1057" s="3">
        <v>17582.25</v>
      </c>
      <c r="P1057" s="3">
        <v>14599.75</v>
      </c>
      <c r="Q1057" t="s">
        <v>300</v>
      </c>
      <c r="R1057">
        <v>2026</v>
      </c>
      <c r="S1057">
        <v>8</v>
      </c>
    </row>
    <row r="1058" spans="1:19" x14ac:dyDescent="0.3">
      <c r="A1058" t="s">
        <v>1117</v>
      </c>
      <c r="B1058" s="2">
        <v>46264</v>
      </c>
      <c r="C1058" t="s">
        <v>33</v>
      </c>
      <c r="D1058" t="s">
        <v>34</v>
      </c>
      <c r="E1058" t="s">
        <v>42</v>
      </c>
      <c r="F1058" t="s">
        <v>35</v>
      </c>
      <c r="G1058" t="s">
        <v>24</v>
      </c>
      <c r="H1058" t="s">
        <v>25</v>
      </c>
      <c r="I1058">
        <v>1</v>
      </c>
      <c r="J1058" s="3">
        <v>42645</v>
      </c>
      <c r="K1058" s="4">
        <v>10</v>
      </c>
      <c r="L1058" s="3">
        <v>42645</v>
      </c>
      <c r="M1058" s="3">
        <v>4264.5</v>
      </c>
      <c r="N1058" s="3">
        <v>38380.5</v>
      </c>
      <c r="O1058" s="3">
        <v>27694.85</v>
      </c>
      <c r="P1058" s="3">
        <v>10685.65</v>
      </c>
      <c r="Q1058" t="s">
        <v>300</v>
      </c>
      <c r="R1058">
        <v>2026</v>
      </c>
      <c r="S1058">
        <v>8</v>
      </c>
    </row>
    <row r="1059" spans="1:19" x14ac:dyDescent="0.3">
      <c r="A1059" t="s">
        <v>1118</v>
      </c>
      <c r="B1059" s="2">
        <v>46266</v>
      </c>
      <c r="C1059" t="s">
        <v>33</v>
      </c>
      <c r="D1059" t="s">
        <v>34</v>
      </c>
      <c r="E1059" t="s">
        <v>56</v>
      </c>
      <c r="F1059" t="s">
        <v>40</v>
      </c>
      <c r="G1059" t="s">
        <v>24</v>
      </c>
      <c r="H1059" t="s">
        <v>25</v>
      </c>
      <c r="I1059">
        <v>3</v>
      </c>
      <c r="J1059" s="3">
        <v>43298</v>
      </c>
      <c r="K1059" s="4">
        <v>15</v>
      </c>
      <c r="L1059" s="3">
        <v>129894</v>
      </c>
      <c r="M1059" s="3">
        <v>19484.099999999999</v>
      </c>
      <c r="N1059" s="3">
        <v>110409.9</v>
      </c>
      <c r="O1059" s="3">
        <v>62731.63</v>
      </c>
      <c r="P1059" s="3">
        <v>47678.27</v>
      </c>
      <c r="Q1059" t="s">
        <v>334</v>
      </c>
      <c r="R1059">
        <v>2026</v>
      </c>
      <c r="S1059">
        <v>9</v>
      </c>
    </row>
    <row r="1060" spans="1:19" x14ac:dyDescent="0.3">
      <c r="A1060" t="s">
        <v>1119</v>
      </c>
      <c r="B1060" s="2">
        <v>46267</v>
      </c>
      <c r="C1060" t="s">
        <v>20</v>
      </c>
      <c r="D1060" t="s">
        <v>21</v>
      </c>
      <c r="E1060" t="s">
        <v>44</v>
      </c>
      <c r="F1060" t="s">
        <v>40</v>
      </c>
      <c r="G1060" t="s">
        <v>24</v>
      </c>
      <c r="H1060" t="s">
        <v>25</v>
      </c>
      <c r="I1060">
        <v>2</v>
      </c>
      <c r="J1060" s="3">
        <v>15318</v>
      </c>
      <c r="K1060" s="4">
        <v>0</v>
      </c>
      <c r="L1060" s="3">
        <v>30636</v>
      </c>
      <c r="M1060" s="3">
        <v>0</v>
      </c>
      <c r="N1060" s="3">
        <v>30636</v>
      </c>
      <c r="O1060" s="3">
        <v>17846.18</v>
      </c>
      <c r="P1060" s="3">
        <v>12789.82</v>
      </c>
      <c r="Q1060" t="s">
        <v>334</v>
      </c>
      <c r="R1060">
        <v>2026</v>
      </c>
      <c r="S1060">
        <v>9</v>
      </c>
    </row>
    <row r="1061" spans="1:19" x14ac:dyDescent="0.3">
      <c r="A1061" t="s">
        <v>1120</v>
      </c>
      <c r="B1061" s="2">
        <v>46267</v>
      </c>
      <c r="C1061" t="s">
        <v>50</v>
      </c>
      <c r="D1061" t="s">
        <v>34</v>
      </c>
      <c r="E1061" t="s">
        <v>56</v>
      </c>
      <c r="F1061" t="s">
        <v>35</v>
      </c>
      <c r="G1061" t="s">
        <v>31</v>
      </c>
      <c r="H1061" t="s">
        <v>25</v>
      </c>
      <c r="I1061">
        <v>2</v>
      </c>
      <c r="J1061" s="3">
        <v>16853</v>
      </c>
      <c r="K1061" s="4">
        <v>10</v>
      </c>
      <c r="L1061" s="3">
        <v>33706</v>
      </c>
      <c r="M1061" s="3">
        <v>3370.6</v>
      </c>
      <c r="N1061" s="3">
        <v>30335.4</v>
      </c>
      <c r="O1061" s="3">
        <v>20874.439999999999</v>
      </c>
      <c r="P1061" s="3">
        <v>9460.9599999999991</v>
      </c>
      <c r="Q1061" t="s">
        <v>334</v>
      </c>
      <c r="R1061">
        <v>2026</v>
      </c>
      <c r="S1061">
        <v>9</v>
      </c>
    </row>
    <row r="1062" spans="1:19" x14ac:dyDescent="0.3">
      <c r="A1062" t="s">
        <v>1121</v>
      </c>
      <c r="B1062" s="2">
        <v>46269</v>
      </c>
      <c r="C1062" t="s">
        <v>75</v>
      </c>
      <c r="D1062" t="s">
        <v>34</v>
      </c>
      <c r="E1062" t="s">
        <v>44</v>
      </c>
      <c r="F1062" t="s">
        <v>40</v>
      </c>
      <c r="G1062" t="s">
        <v>31</v>
      </c>
      <c r="H1062" t="s">
        <v>25</v>
      </c>
      <c r="I1062">
        <v>3</v>
      </c>
      <c r="J1062" s="3">
        <v>40748</v>
      </c>
      <c r="K1062" s="4">
        <v>0</v>
      </c>
      <c r="L1062" s="3">
        <v>122244</v>
      </c>
      <c r="M1062" s="3">
        <v>0</v>
      </c>
      <c r="N1062" s="3">
        <v>122244</v>
      </c>
      <c r="O1062" s="3">
        <v>73283.55</v>
      </c>
      <c r="P1062" s="3">
        <v>48960.45</v>
      </c>
      <c r="Q1062" t="s">
        <v>334</v>
      </c>
      <c r="R1062">
        <v>2026</v>
      </c>
      <c r="S1062">
        <v>9</v>
      </c>
    </row>
    <row r="1063" spans="1:19" x14ac:dyDescent="0.3">
      <c r="A1063" t="s">
        <v>1122</v>
      </c>
      <c r="B1063" s="2">
        <v>46272</v>
      </c>
      <c r="C1063" t="s">
        <v>28</v>
      </c>
      <c r="D1063" t="s">
        <v>29</v>
      </c>
      <c r="E1063" t="s">
        <v>44</v>
      </c>
      <c r="F1063" t="s">
        <v>40</v>
      </c>
      <c r="G1063" t="s">
        <v>24</v>
      </c>
      <c r="H1063" t="s">
        <v>25</v>
      </c>
      <c r="I1063">
        <v>1</v>
      </c>
      <c r="J1063" s="3">
        <v>63094</v>
      </c>
      <c r="K1063" s="4">
        <v>0</v>
      </c>
      <c r="L1063" s="3">
        <v>63094</v>
      </c>
      <c r="M1063" s="3">
        <v>0</v>
      </c>
      <c r="N1063" s="3">
        <v>63094</v>
      </c>
      <c r="O1063" s="3">
        <v>32004.46</v>
      </c>
      <c r="P1063" s="3">
        <v>31089.54</v>
      </c>
      <c r="Q1063" t="s">
        <v>334</v>
      </c>
      <c r="R1063">
        <v>2026</v>
      </c>
      <c r="S1063">
        <v>9</v>
      </c>
    </row>
    <row r="1064" spans="1:19" x14ac:dyDescent="0.3">
      <c r="A1064" t="s">
        <v>1123</v>
      </c>
      <c r="B1064" s="2">
        <v>46272</v>
      </c>
      <c r="C1064" t="s">
        <v>75</v>
      </c>
      <c r="D1064" t="s">
        <v>34</v>
      </c>
      <c r="E1064" t="s">
        <v>42</v>
      </c>
      <c r="F1064" t="s">
        <v>23</v>
      </c>
      <c r="G1064" t="s">
        <v>31</v>
      </c>
      <c r="H1064" t="s">
        <v>25</v>
      </c>
      <c r="I1064">
        <v>1</v>
      </c>
      <c r="J1064" s="3">
        <v>35901</v>
      </c>
      <c r="K1064" s="4">
        <v>0</v>
      </c>
      <c r="L1064" s="3">
        <v>35901</v>
      </c>
      <c r="M1064" s="3">
        <v>0</v>
      </c>
      <c r="N1064" s="3">
        <v>35901</v>
      </c>
      <c r="O1064" s="3">
        <v>20711.560000000001</v>
      </c>
      <c r="P1064" s="3">
        <v>15189.44</v>
      </c>
      <c r="Q1064" t="s">
        <v>334</v>
      </c>
      <c r="R1064">
        <v>2026</v>
      </c>
      <c r="S1064">
        <v>9</v>
      </c>
    </row>
    <row r="1065" spans="1:19" x14ac:dyDescent="0.3">
      <c r="A1065" t="s">
        <v>1124</v>
      </c>
      <c r="B1065" s="2">
        <v>46272</v>
      </c>
      <c r="C1065" t="s">
        <v>48</v>
      </c>
      <c r="D1065" t="s">
        <v>34</v>
      </c>
      <c r="E1065" t="s">
        <v>22</v>
      </c>
      <c r="F1065" t="s">
        <v>40</v>
      </c>
      <c r="G1065" t="s">
        <v>31</v>
      </c>
      <c r="H1065" t="s">
        <v>25</v>
      </c>
      <c r="I1065">
        <v>4</v>
      </c>
      <c r="J1065" s="3">
        <v>24893</v>
      </c>
      <c r="K1065" s="4">
        <v>0</v>
      </c>
      <c r="L1065" s="3">
        <v>99572</v>
      </c>
      <c r="M1065" s="3">
        <v>0</v>
      </c>
      <c r="N1065" s="3">
        <v>99572</v>
      </c>
      <c r="O1065" s="3">
        <v>62465.22</v>
      </c>
      <c r="P1065" s="3">
        <v>37106.78</v>
      </c>
      <c r="Q1065" t="s">
        <v>334</v>
      </c>
      <c r="R1065">
        <v>2026</v>
      </c>
      <c r="S1065">
        <v>9</v>
      </c>
    </row>
    <row r="1066" spans="1:19" x14ac:dyDescent="0.3">
      <c r="A1066" t="s">
        <v>1125</v>
      </c>
      <c r="B1066" s="2">
        <v>46273</v>
      </c>
      <c r="C1066" t="s">
        <v>33</v>
      </c>
      <c r="D1066" t="s">
        <v>34</v>
      </c>
      <c r="E1066" t="s">
        <v>44</v>
      </c>
      <c r="F1066" t="s">
        <v>40</v>
      </c>
      <c r="G1066" t="s">
        <v>24</v>
      </c>
      <c r="H1066" t="s">
        <v>25</v>
      </c>
      <c r="I1066">
        <v>2</v>
      </c>
      <c r="J1066" s="3">
        <v>41969</v>
      </c>
      <c r="K1066" s="4">
        <v>0</v>
      </c>
      <c r="L1066" s="3">
        <v>83938</v>
      </c>
      <c r="M1066" s="3">
        <v>0</v>
      </c>
      <c r="N1066" s="3">
        <v>83938</v>
      </c>
      <c r="O1066" s="3">
        <v>40681.17</v>
      </c>
      <c r="P1066" s="3">
        <v>43256.83</v>
      </c>
      <c r="Q1066" t="s">
        <v>334</v>
      </c>
      <c r="R1066">
        <v>2026</v>
      </c>
      <c r="S1066">
        <v>9</v>
      </c>
    </row>
    <row r="1067" spans="1:19" x14ac:dyDescent="0.3">
      <c r="A1067" t="s">
        <v>1126</v>
      </c>
      <c r="B1067" s="2">
        <v>46273</v>
      </c>
      <c r="C1067" t="s">
        <v>48</v>
      </c>
      <c r="D1067" t="s">
        <v>34</v>
      </c>
      <c r="E1067" t="s">
        <v>42</v>
      </c>
      <c r="F1067" t="s">
        <v>35</v>
      </c>
      <c r="G1067" t="s">
        <v>31</v>
      </c>
      <c r="H1067" t="s">
        <v>25</v>
      </c>
      <c r="I1067">
        <v>4</v>
      </c>
      <c r="J1067" s="3">
        <v>25711</v>
      </c>
      <c r="K1067" s="4">
        <v>0</v>
      </c>
      <c r="L1067" s="3">
        <v>102844</v>
      </c>
      <c r="M1067" s="3">
        <v>0</v>
      </c>
      <c r="N1067" s="3">
        <v>102844</v>
      </c>
      <c r="O1067" s="3">
        <v>55439.12</v>
      </c>
      <c r="P1067" s="3">
        <v>47404.88</v>
      </c>
      <c r="Q1067" t="s">
        <v>334</v>
      </c>
      <c r="R1067">
        <v>2026</v>
      </c>
      <c r="S1067">
        <v>9</v>
      </c>
    </row>
    <row r="1068" spans="1:19" x14ac:dyDescent="0.3">
      <c r="A1068" t="s">
        <v>1127</v>
      </c>
      <c r="B1068" s="2">
        <v>46274</v>
      </c>
      <c r="C1068" t="s">
        <v>48</v>
      </c>
      <c r="D1068" t="s">
        <v>34</v>
      </c>
      <c r="E1068" t="s">
        <v>22</v>
      </c>
      <c r="F1068" t="s">
        <v>23</v>
      </c>
      <c r="G1068" t="s">
        <v>31</v>
      </c>
      <c r="H1068" t="s">
        <v>25</v>
      </c>
      <c r="I1068">
        <v>2</v>
      </c>
      <c r="J1068" s="3">
        <v>24925</v>
      </c>
      <c r="K1068" s="4">
        <v>10</v>
      </c>
      <c r="L1068" s="3">
        <v>49850</v>
      </c>
      <c r="M1068" s="3">
        <v>4985</v>
      </c>
      <c r="N1068" s="3">
        <v>44865</v>
      </c>
      <c r="O1068" s="3">
        <v>28154.28</v>
      </c>
      <c r="P1068" s="3">
        <v>16710.72</v>
      </c>
      <c r="Q1068" t="s">
        <v>334</v>
      </c>
      <c r="R1068">
        <v>2026</v>
      </c>
      <c r="S1068">
        <v>9</v>
      </c>
    </row>
    <row r="1069" spans="1:19" x14ac:dyDescent="0.3">
      <c r="A1069" t="s">
        <v>1128</v>
      </c>
      <c r="B1069" s="2">
        <v>46274</v>
      </c>
      <c r="C1069" t="s">
        <v>20</v>
      </c>
      <c r="D1069" t="s">
        <v>21</v>
      </c>
      <c r="E1069" t="s">
        <v>44</v>
      </c>
      <c r="F1069" t="s">
        <v>37</v>
      </c>
      <c r="G1069" t="s">
        <v>31</v>
      </c>
      <c r="H1069" t="s">
        <v>25</v>
      </c>
      <c r="I1069">
        <v>2</v>
      </c>
      <c r="J1069" s="3">
        <v>14414</v>
      </c>
      <c r="K1069" s="4">
        <v>0</v>
      </c>
      <c r="L1069" s="3">
        <v>28828</v>
      </c>
      <c r="M1069" s="3">
        <v>0</v>
      </c>
      <c r="N1069" s="3">
        <v>28828</v>
      </c>
      <c r="O1069" s="3">
        <v>14405.57</v>
      </c>
      <c r="P1069" s="3">
        <v>14422.43</v>
      </c>
      <c r="Q1069" t="s">
        <v>334</v>
      </c>
      <c r="R1069">
        <v>2026</v>
      </c>
      <c r="S1069">
        <v>9</v>
      </c>
    </row>
    <row r="1070" spans="1:19" x14ac:dyDescent="0.3">
      <c r="A1070" t="s">
        <v>1129</v>
      </c>
      <c r="B1070" s="2">
        <v>46275</v>
      </c>
      <c r="C1070" t="s">
        <v>71</v>
      </c>
      <c r="D1070" t="s">
        <v>34</v>
      </c>
      <c r="E1070" t="s">
        <v>42</v>
      </c>
      <c r="F1070" t="s">
        <v>40</v>
      </c>
      <c r="G1070" t="s">
        <v>24</v>
      </c>
      <c r="H1070" t="s">
        <v>25</v>
      </c>
      <c r="I1070">
        <v>1</v>
      </c>
      <c r="J1070" s="3">
        <v>47218</v>
      </c>
      <c r="K1070" s="4">
        <v>0</v>
      </c>
      <c r="L1070" s="3">
        <v>47218</v>
      </c>
      <c r="M1070" s="3">
        <v>0</v>
      </c>
      <c r="N1070" s="3">
        <v>47218</v>
      </c>
      <c r="O1070" s="3">
        <v>26701.85</v>
      </c>
      <c r="P1070" s="3">
        <v>20516.150000000001</v>
      </c>
      <c r="Q1070" t="s">
        <v>334</v>
      </c>
      <c r="R1070">
        <v>2026</v>
      </c>
      <c r="S1070">
        <v>9</v>
      </c>
    </row>
    <row r="1071" spans="1:19" x14ac:dyDescent="0.3">
      <c r="A1071" t="s">
        <v>1130</v>
      </c>
      <c r="B1071" s="2">
        <v>46275</v>
      </c>
      <c r="C1071" t="s">
        <v>64</v>
      </c>
      <c r="D1071" t="s">
        <v>29</v>
      </c>
      <c r="E1071" t="s">
        <v>42</v>
      </c>
      <c r="F1071" t="s">
        <v>30</v>
      </c>
      <c r="G1071" t="s">
        <v>31</v>
      </c>
      <c r="H1071" t="s">
        <v>25</v>
      </c>
      <c r="I1071">
        <v>2</v>
      </c>
      <c r="J1071" s="3">
        <v>30531</v>
      </c>
      <c r="K1071" s="4">
        <v>0</v>
      </c>
      <c r="L1071" s="3">
        <v>61062</v>
      </c>
      <c r="M1071" s="3">
        <v>0</v>
      </c>
      <c r="N1071" s="3">
        <v>61062</v>
      </c>
      <c r="O1071" s="3">
        <v>32817.67</v>
      </c>
      <c r="P1071" s="3">
        <v>28244.33</v>
      </c>
      <c r="Q1071" t="s">
        <v>334</v>
      </c>
      <c r="R1071">
        <v>2026</v>
      </c>
      <c r="S1071">
        <v>9</v>
      </c>
    </row>
    <row r="1072" spans="1:19" x14ac:dyDescent="0.3">
      <c r="A1072" t="s">
        <v>1131</v>
      </c>
      <c r="B1072" s="2">
        <v>46275</v>
      </c>
      <c r="C1072" t="s">
        <v>75</v>
      </c>
      <c r="D1072" t="s">
        <v>34</v>
      </c>
      <c r="E1072" t="s">
        <v>42</v>
      </c>
      <c r="F1072" t="s">
        <v>35</v>
      </c>
      <c r="G1072" t="s">
        <v>31</v>
      </c>
      <c r="H1072" t="s">
        <v>25</v>
      </c>
      <c r="I1072">
        <v>3</v>
      </c>
      <c r="J1072" s="3">
        <v>36671</v>
      </c>
      <c r="K1072" s="4">
        <v>0</v>
      </c>
      <c r="L1072" s="3">
        <v>110013</v>
      </c>
      <c r="M1072" s="3">
        <v>0</v>
      </c>
      <c r="N1072" s="3">
        <v>110013</v>
      </c>
      <c r="O1072" s="3">
        <v>53909.54</v>
      </c>
      <c r="P1072" s="3">
        <v>56103.46</v>
      </c>
      <c r="Q1072" t="s">
        <v>334</v>
      </c>
      <c r="R1072">
        <v>2026</v>
      </c>
      <c r="S1072">
        <v>9</v>
      </c>
    </row>
    <row r="1073" spans="1:19" x14ac:dyDescent="0.3">
      <c r="A1073" t="s">
        <v>1132</v>
      </c>
      <c r="B1073" s="2">
        <v>46276</v>
      </c>
      <c r="C1073" t="s">
        <v>20</v>
      </c>
      <c r="D1073" t="s">
        <v>21</v>
      </c>
      <c r="E1073" t="s">
        <v>56</v>
      </c>
      <c r="F1073" t="s">
        <v>40</v>
      </c>
      <c r="G1073" t="s">
        <v>31</v>
      </c>
      <c r="H1073" t="s">
        <v>25</v>
      </c>
      <c r="I1073">
        <v>1</v>
      </c>
      <c r="J1073" s="3">
        <v>15927</v>
      </c>
      <c r="K1073" s="4">
        <v>0</v>
      </c>
      <c r="L1073" s="3">
        <v>15927</v>
      </c>
      <c r="M1073" s="3">
        <v>0</v>
      </c>
      <c r="N1073" s="3">
        <v>15927</v>
      </c>
      <c r="O1073" s="3">
        <v>8991.9699999999993</v>
      </c>
      <c r="P1073" s="3">
        <v>6935.03</v>
      </c>
      <c r="Q1073" t="s">
        <v>334</v>
      </c>
      <c r="R1073">
        <v>2026</v>
      </c>
      <c r="S1073">
        <v>9</v>
      </c>
    </row>
    <row r="1074" spans="1:19" x14ac:dyDescent="0.3">
      <c r="A1074" t="s">
        <v>1133</v>
      </c>
      <c r="B1074" s="2">
        <v>46277</v>
      </c>
      <c r="C1074" t="s">
        <v>82</v>
      </c>
      <c r="D1074" t="s">
        <v>21</v>
      </c>
      <c r="E1074" t="s">
        <v>44</v>
      </c>
      <c r="F1074" t="s">
        <v>37</v>
      </c>
      <c r="G1074" t="s">
        <v>24</v>
      </c>
      <c r="H1074" t="s">
        <v>25</v>
      </c>
      <c r="I1074">
        <v>2</v>
      </c>
      <c r="J1074" s="3">
        <v>46530</v>
      </c>
      <c r="K1074" s="4">
        <v>0</v>
      </c>
      <c r="L1074" s="3">
        <v>93060</v>
      </c>
      <c r="M1074" s="3">
        <v>0</v>
      </c>
      <c r="N1074" s="3">
        <v>93060</v>
      </c>
      <c r="O1074" s="3">
        <v>50934.97</v>
      </c>
      <c r="P1074" s="3">
        <v>42125.03</v>
      </c>
      <c r="Q1074" t="s">
        <v>334</v>
      </c>
      <c r="R1074">
        <v>2026</v>
      </c>
      <c r="S1074">
        <v>9</v>
      </c>
    </row>
    <row r="1075" spans="1:19" x14ac:dyDescent="0.3">
      <c r="A1075" t="s">
        <v>1134</v>
      </c>
      <c r="B1075" s="2">
        <v>46279</v>
      </c>
      <c r="C1075" t="s">
        <v>33</v>
      </c>
      <c r="D1075" t="s">
        <v>34</v>
      </c>
      <c r="E1075" t="s">
        <v>42</v>
      </c>
      <c r="F1075" t="s">
        <v>37</v>
      </c>
      <c r="G1075" t="s">
        <v>24</v>
      </c>
      <c r="H1075" t="s">
        <v>25</v>
      </c>
      <c r="I1075">
        <v>2</v>
      </c>
      <c r="J1075" s="3">
        <v>42844</v>
      </c>
      <c r="K1075" s="4">
        <v>0</v>
      </c>
      <c r="L1075" s="3">
        <v>85688</v>
      </c>
      <c r="M1075" s="3">
        <v>0</v>
      </c>
      <c r="N1075" s="3">
        <v>85688</v>
      </c>
      <c r="O1075" s="3">
        <v>45825.78</v>
      </c>
      <c r="P1075" s="3">
        <v>39862.22</v>
      </c>
      <c r="Q1075" t="s">
        <v>334</v>
      </c>
      <c r="R1075">
        <v>2026</v>
      </c>
      <c r="S1075">
        <v>9</v>
      </c>
    </row>
    <row r="1076" spans="1:19" x14ac:dyDescent="0.3">
      <c r="A1076" t="s">
        <v>1135</v>
      </c>
      <c r="B1076" s="2">
        <v>46279</v>
      </c>
      <c r="C1076" t="s">
        <v>71</v>
      </c>
      <c r="D1076" t="s">
        <v>34</v>
      </c>
      <c r="E1076" t="s">
        <v>22</v>
      </c>
      <c r="F1076" t="s">
        <v>40</v>
      </c>
      <c r="G1076" t="s">
        <v>31</v>
      </c>
      <c r="H1076" t="s">
        <v>25</v>
      </c>
      <c r="I1076">
        <v>2</v>
      </c>
      <c r="J1076" s="3">
        <v>48347</v>
      </c>
      <c r="K1076" s="4">
        <v>15</v>
      </c>
      <c r="L1076" s="3">
        <v>96694</v>
      </c>
      <c r="M1076" s="3">
        <v>14504.1</v>
      </c>
      <c r="N1076" s="3">
        <v>82189.899999999994</v>
      </c>
      <c r="O1076" s="3">
        <v>61205.1</v>
      </c>
      <c r="P1076" s="3">
        <v>20984.799999999999</v>
      </c>
      <c r="Q1076" t="s">
        <v>334</v>
      </c>
      <c r="R1076">
        <v>2026</v>
      </c>
      <c r="S1076">
        <v>9</v>
      </c>
    </row>
    <row r="1077" spans="1:19" x14ac:dyDescent="0.3">
      <c r="A1077" t="s">
        <v>1136</v>
      </c>
      <c r="B1077" s="2">
        <v>46281</v>
      </c>
      <c r="C1077" t="s">
        <v>71</v>
      </c>
      <c r="D1077" t="s">
        <v>34</v>
      </c>
      <c r="E1077" t="s">
        <v>22</v>
      </c>
      <c r="F1077" t="s">
        <v>30</v>
      </c>
      <c r="G1077" t="s">
        <v>31</v>
      </c>
      <c r="H1077" t="s">
        <v>25</v>
      </c>
      <c r="I1077">
        <v>4</v>
      </c>
      <c r="J1077" s="3">
        <v>53445</v>
      </c>
      <c r="K1077" s="4">
        <v>0</v>
      </c>
      <c r="L1077" s="3">
        <v>213780</v>
      </c>
      <c r="M1077" s="3">
        <v>0</v>
      </c>
      <c r="N1077" s="3">
        <v>213780</v>
      </c>
      <c r="O1077" s="3">
        <v>119732</v>
      </c>
      <c r="P1077" s="3">
        <v>94048</v>
      </c>
      <c r="Q1077" t="s">
        <v>334</v>
      </c>
      <c r="R1077">
        <v>2026</v>
      </c>
      <c r="S1077">
        <v>9</v>
      </c>
    </row>
    <row r="1078" spans="1:19" x14ac:dyDescent="0.3">
      <c r="A1078" t="s">
        <v>1137</v>
      </c>
      <c r="B1078" s="2">
        <v>46281</v>
      </c>
      <c r="C1078" t="s">
        <v>50</v>
      </c>
      <c r="D1078" t="s">
        <v>34</v>
      </c>
      <c r="E1078" t="s">
        <v>42</v>
      </c>
      <c r="F1078" t="s">
        <v>23</v>
      </c>
      <c r="G1078" t="s">
        <v>24</v>
      </c>
      <c r="H1078" t="s">
        <v>25</v>
      </c>
      <c r="I1078">
        <v>1</v>
      </c>
      <c r="J1078" s="3">
        <v>17089</v>
      </c>
      <c r="K1078" s="4">
        <v>0</v>
      </c>
      <c r="L1078" s="3">
        <v>17089</v>
      </c>
      <c r="M1078" s="3">
        <v>0</v>
      </c>
      <c r="N1078" s="3">
        <v>17089</v>
      </c>
      <c r="O1078" s="3">
        <v>8731.94</v>
      </c>
      <c r="P1078" s="3">
        <v>8357.06</v>
      </c>
      <c r="Q1078" t="s">
        <v>334</v>
      </c>
      <c r="R1078">
        <v>2026</v>
      </c>
      <c r="S1078">
        <v>9</v>
      </c>
    </row>
    <row r="1079" spans="1:19" x14ac:dyDescent="0.3">
      <c r="A1079" t="s">
        <v>1138</v>
      </c>
      <c r="B1079" s="2">
        <v>46281</v>
      </c>
      <c r="C1079" t="s">
        <v>82</v>
      </c>
      <c r="D1079" t="s">
        <v>21</v>
      </c>
      <c r="E1079" t="s">
        <v>44</v>
      </c>
      <c r="F1079" t="s">
        <v>40</v>
      </c>
      <c r="G1079" t="s">
        <v>24</v>
      </c>
      <c r="H1079" t="s">
        <v>25</v>
      </c>
      <c r="I1079">
        <v>1</v>
      </c>
      <c r="J1079" s="3">
        <v>46263</v>
      </c>
      <c r="K1079" s="4">
        <v>0</v>
      </c>
      <c r="L1079" s="3">
        <v>46263</v>
      </c>
      <c r="M1079" s="3">
        <v>0</v>
      </c>
      <c r="N1079" s="3">
        <v>46263</v>
      </c>
      <c r="O1079" s="3">
        <v>28526.51</v>
      </c>
      <c r="P1079" s="3">
        <v>17736.490000000002</v>
      </c>
      <c r="Q1079" t="s">
        <v>334</v>
      </c>
      <c r="R1079">
        <v>2026</v>
      </c>
      <c r="S1079">
        <v>9</v>
      </c>
    </row>
    <row r="1080" spans="1:19" x14ac:dyDescent="0.3">
      <c r="A1080" t="s">
        <v>1139</v>
      </c>
      <c r="B1080" s="2">
        <v>46283</v>
      </c>
      <c r="C1080" t="s">
        <v>71</v>
      </c>
      <c r="D1080" t="s">
        <v>34</v>
      </c>
      <c r="E1080" t="s">
        <v>56</v>
      </c>
      <c r="F1080" t="s">
        <v>37</v>
      </c>
      <c r="G1080" t="s">
        <v>31</v>
      </c>
      <c r="H1080" t="s">
        <v>25</v>
      </c>
      <c r="I1080">
        <v>1</v>
      </c>
      <c r="J1080" s="3">
        <v>52093</v>
      </c>
      <c r="K1080" s="4">
        <v>0</v>
      </c>
      <c r="L1080" s="3">
        <v>52093</v>
      </c>
      <c r="M1080" s="3">
        <v>0</v>
      </c>
      <c r="N1080" s="3">
        <v>52093</v>
      </c>
      <c r="O1080" s="3">
        <v>31650.68</v>
      </c>
      <c r="P1080" s="3">
        <v>20442.32</v>
      </c>
      <c r="Q1080" t="s">
        <v>334</v>
      </c>
      <c r="R1080">
        <v>2026</v>
      </c>
      <c r="S1080">
        <v>9</v>
      </c>
    </row>
    <row r="1081" spans="1:19" x14ac:dyDescent="0.3">
      <c r="A1081" t="s">
        <v>1140</v>
      </c>
      <c r="B1081" s="2">
        <v>46284</v>
      </c>
      <c r="C1081" t="s">
        <v>75</v>
      </c>
      <c r="D1081" t="s">
        <v>34</v>
      </c>
      <c r="E1081" t="s">
        <v>44</v>
      </c>
      <c r="F1081" t="s">
        <v>37</v>
      </c>
      <c r="G1081" t="s">
        <v>31</v>
      </c>
      <c r="H1081" t="s">
        <v>25</v>
      </c>
      <c r="I1081">
        <v>3</v>
      </c>
      <c r="J1081" s="3">
        <v>40457</v>
      </c>
      <c r="K1081" s="4">
        <v>0</v>
      </c>
      <c r="L1081" s="3">
        <v>121371</v>
      </c>
      <c r="M1081" s="3">
        <v>0</v>
      </c>
      <c r="N1081" s="3">
        <v>121371</v>
      </c>
      <c r="O1081" s="3">
        <v>71605.7</v>
      </c>
      <c r="P1081" s="3">
        <v>49765.3</v>
      </c>
      <c r="Q1081" t="s">
        <v>334</v>
      </c>
      <c r="R1081">
        <v>2026</v>
      </c>
      <c r="S1081">
        <v>9</v>
      </c>
    </row>
    <row r="1082" spans="1:19" x14ac:dyDescent="0.3">
      <c r="A1082" t="s">
        <v>1141</v>
      </c>
      <c r="B1082" s="2">
        <v>46284</v>
      </c>
      <c r="C1082" t="s">
        <v>50</v>
      </c>
      <c r="D1082" t="s">
        <v>34</v>
      </c>
      <c r="E1082" t="s">
        <v>22</v>
      </c>
      <c r="F1082" t="s">
        <v>30</v>
      </c>
      <c r="G1082" t="s">
        <v>31</v>
      </c>
      <c r="H1082" t="s">
        <v>25</v>
      </c>
      <c r="I1082">
        <v>2</v>
      </c>
      <c r="J1082" s="3">
        <v>17758</v>
      </c>
      <c r="K1082" s="4">
        <v>0</v>
      </c>
      <c r="L1082" s="3">
        <v>35516</v>
      </c>
      <c r="M1082" s="3">
        <v>0</v>
      </c>
      <c r="N1082" s="3">
        <v>35516</v>
      </c>
      <c r="O1082" s="3">
        <v>20421.349999999999</v>
      </c>
      <c r="P1082" s="3">
        <v>15094.65</v>
      </c>
      <c r="Q1082" t="s">
        <v>334</v>
      </c>
      <c r="R1082">
        <v>2026</v>
      </c>
      <c r="S1082">
        <v>9</v>
      </c>
    </row>
    <row r="1083" spans="1:19" x14ac:dyDescent="0.3">
      <c r="A1083" t="s">
        <v>1142</v>
      </c>
      <c r="B1083" s="2">
        <v>46284</v>
      </c>
      <c r="C1083" t="s">
        <v>64</v>
      </c>
      <c r="D1083" t="s">
        <v>29</v>
      </c>
      <c r="E1083" t="s">
        <v>22</v>
      </c>
      <c r="F1083" t="s">
        <v>23</v>
      </c>
      <c r="G1083" t="s">
        <v>24</v>
      </c>
      <c r="H1083" t="s">
        <v>25</v>
      </c>
      <c r="I1083">
        <v>2</v>
      </c>
      <c r="J1083" s="3">
        <v>28581</v>
      </c>
      <c r="K1083" s="4">
        <v>5</v>
      </c>
      <c r="L1083" s="3">
        <v>57162</v>
      </c>
      <c r="M1083" s="3">
        <v>2858.1</v>
      </c>
      <c r="N1083" s="3">
        <v>54303.9</v>
      </c>
      <c r="O1083" s="3">
        <v>32809.22</v>
      </c>
      <c r="P1083" s="3">
        <v>21494.68</v>
      </c>
      <c r="Q1083" t="s">
        <v>334</v>
      </c>
      <c r="R1083">
        <v>2026</v>
      </c>
      <c r="S1083">
        <v>9</v>
      </c>
    </row>
    <row r="1084" spans="1:19" x14ac:dyDescent="0.3">
      <c r="A1084" t="s">
        <v>1143</v>
      </c>
      <c r="B1084" s="2">
        <v>46284</v>
      </c>
      <c r="C1084" t="s">
        <v>71</v>
      </c>
      <c r="D1084" t="s">
        <v>34</v>
      </c>
      <c r="E1084" t="s">
        <v>22</v>
      </c>
      <c r="F1084" t="s">
        <v>23</v>
      </c>
      <c r="G1084" t="s">
        <v>24</v>
      </c>
      <c r="H1084" t="s">
        <v>25</v>
      </c>
      <c r="I1084">
        <v>1</v>
      </c>
      <c r="J1084" s="3">
        <v>51249</v>
      </c>
      <c r="K1084" s="4">
        <v>0</v>
      </c>
      <c r="L1084" s="3">
        <v>51249</v>
      </c>
      <c r="M1084" s="3">
        <v>0</v>
      </c>
      <c r="N1084" s="3">
        <v>51249</v>
      </c>
      <c r="O1084" s="3">
        <v>29573.55</v>
      </c>
      <c r="P1084" s="3">
        <v>21675.45</v>
      </c>
      <c r="Q1084" t="s">
        <v>334</v>
      </c>
      <c r="R1084">
        <v>2026</v>
      </c>
      <c r="S1084">
        <v>9</v>
      </c>
    </row>
    <row r="1085" spans="1:19" x14ac:dyDescent="0.3">
      <c r="A1085" t="s">
        <v>1144</v>
      </c>
      <c r="B1085" s="2">
        <v>46286</v>
      </c>
      <c r="C1085" t="s">
        <v>50</v>
      </c>
      <c r="D1085" t="s">
        <v>34</v>
      </c>
      <c r="E1085" t="s">
        <v>22</v>
      </c>
      <c r="F1085" t="s">
        <v>37</v>
      </c>
      <c r="G1085" t="s">
        <v>24</v>
      </c>
      <c r="H1085" t="s">
        <v>25</v>
      </c>
      <c r="I1085">
        <v>4</v>
      </c>
      <c r="J1085" s="3">
        <v>17413</v>
      </c>
      <c r="K1085" s="4">
        <v>0</v>
      </c>
      <c r="L1085" s="3">
        <v>69652</v>
      </c>
      <c r="M1085" s="3">
        <v>0</v>
      </c>
      <c r="N1085" s="3">
        <v>69652</v>
      </c>
      <c r="O1085" s="3">
        <v>36551.94</v>
      </c>
      <c r="P1085" s="3">
        <v>33100.06</v>
      </c>
      <c r="Q1085" t="s">
        <v>334</v>
      </c>
      <c r="R1085">
        <v>2026</v>
      </c>
      <c r="S1085">
        <v>9</v>
      </c>
    </row>
    <row r="1086" spans="1:19" x14ac:dyDescent="0.3">
      <c r="A1086" t="s">
        <v>1145</v>
      </c>
      <c r="B1086" s="2">
        <v>46286</v>
      </c>
      <c r="C1086" t="s">
        <v>46</v>
      </c>
      <c r="D1086" t="s">
        <v>21</v>
      </c>
      <c r="E1086" t="s">
        <v>56</v>
      </c>
      <c r="F1086" t="s">
        <v>40</v>
      </c>
      <c r="G1086" t="s">
        <v>24</v>
      </c>
      <c r="H1086" t="s">
        <v>25</v>
      </c>
      <c r="I1086">
        <v>3</v>
      </c>
      <c r="J1086" s="3">
        <v>12278</v>
      </c>
      <c r="K1086" s="4">
        <v>0</v>
      </c>
      <c r="L1086" s="3">
        <v>36834</v>
      </c>
      <c r="M1086" s="3">
        <v>0</v>
      </c>
      <c r="N1086" s="3">
        <v>36834</v>
      </c>
      <c r="O1086" s="3">
        <v>20639.05</v>
      </c>
      <c r="P1086" s="3">
        <v>16194.95</v>
      </c>
      <c r="Q1086" t="s">
        <v>334</v>
      </c>
      <c r="R1086">
        <v>2026</v>
      </c>
      <c r="S1086">
        <v>9</v>
      </c>
    </row>
    <row r="1087" spans="1:19" x14ac:dyDescent="0.3">
      <c r="A1087" t="s">
        <v>1146</v>
      </c>
      <c r="B1087" s="2">
        <v>46287</v>
      </c>
      <c r="C1087" t="s">
        <v>20</v>
      </c>
      <c r="D1087" t="s">
        <v>21</v>
      </c>
      <c r="E1087" t="s">
        <v>22</v>
      </c>
      <c r="F1087" t="s">
        <v>23</v>
      </c>
      <c r="G1087" t="s">
        <v>31</v>
      </c>
      <c r="H1087" t="s">
        <v>25</v>
      </c>
      <c r="I1087">
        <v>1</v>
      </c>
      <c r="J1087" s="3">
        <v>14574</v>
      </c>
      <c r="K1087" s="4">
        <v>0</v>
      </c>
      <c r="L1087" s="3">
        <v>14574</v>
      </c>
      <c r="M1087" s="3">
        <v>0</v>
      </c>
      <c r="N1087" s="3">
        <v>0</v>
      </c>
      <c r="O1087" s="3">
        <v>7443.79</v>
      </c>
      <c r="P1087" s="3">
        <v>0</v>
      </c>
      <c r="Q1087" t="s">
        <v>334</v>
      </c>
      <c r="R1087">
        <v>2026</v>
      </c>
      <c r="S1087">
        <v>9</v>
      </c>
    </row>
    <row r="1088" spans="1:19" x14ac:dyDescent="0.3">
      <c r="A1088" t="s">
        <v>1147</v>
      </c>
      <c r="B1088" s="2">
        <v>46288</v>
      </c>
      <c r="C1088" t="s">
        <v>64</v>
      </c>
      <c r="D1088" t="s">
        <v>29</v>
      </c>
      <c r="E1088" t="s">
        <v>22</v>
      </c>
      <c r="F1088" t="s">
        <v>37</v>
      </c>
      <c r="G1088" t="s">
        <v>31</v>
      </c>
      <c r="H1088" t="s">
        <v>25</v>
      </c>
      <c r="I1088">
        <v>1</v>
      </c>
      <c r="J1088" s="3">
        <v>30809</v>
      </c>
      <c r="K1088" s="4">
        <v>10</v>
      </c>
      <c r="L1088" s="3">
        <v>30809</v>
      </c>
      <c r="M1088" s="3">
        <v>3080.9</v>
      </c>
      <c r="N1088" s="3">
        <v>27728.1</v>
      </c>
      <c r="O1088" s="3">
        <v>18994.36</v>
      </c>
      <c r="P1088" s="3">
        <v>8733.74</v>
      </c>
      <c r="Q1088" t="s">
        <v>334</v>
      </c>
      <c r="R1088">
        <v>2026</v>
      </c>
      <c r="S1088">
        <v>9</v>
      </c>
    </row>
    <row r="1089" spans="1:19" x14ac:dyDescent="0.3">
      <c r="A1089" t="s">
        <v>1148</v>
      </c>
      <c r="B1089" s="2">
        <v>46288</v>
      </c>
      <c r="C1089" t="s">
        <v>48</v>
      </c>
      <c r="D1089" t="s">
        <v>34</v>
      </c>
      <c r="E1089" t="s">
        <v>42</v>
      </c>
      <c r="F1089" t="s">
        <v>40</v>
      </c>
      <c r="G1089" t="s">
        <v>24</v>
      </c>
      <c r="H1089" t="s">
        <v>25</v>
      </c>
      <c r="I1089">
        <v>2</v>
      </c>
      <c r="J1089" s="3">
        <v>24727</v>
      </c>
      <c r="K1089" s="4">
        <v>0</v>
      </c>
      <c r="L1089" s="3">
        <v>49454</v>
      </c>
      <c r="M1089" s="3">
        <v>0</v>
      </c>
      <c r="N1089" s="3">
        <v>0</v>
      </c>
      <c r="O1089" s="3">
        <v>28846.98</v>
      </c>
      <c r="P1089" s="3">
        <v>0</v>
      </c>
      <c r="Q1089" t="s">
        <v>334</v>
      </c>
      <c r="R1089">
        <v>2026</v>
      </c>
      <c r="S1089">
        <v>9</v>
      </c>
    </row>
    <row r="1090" spans="1:19" x14ac:dyDescent="0.3">
      <c r="A1090" t="s">
        <v>1149</v>
      </c>
      <c r="B1090" s="2">
        <v>46288</v>
      </c>
      <c r="C1090" t="s">
        <v>82</v>
      </c>
      <c r="D1090" t="s">
        <v>21</v>
      </c>
      <c r="E1090" t="s">
        <v>44</v>
      </c>
      <c r="F1090" t="s">
        <v>40</v>
      </c>
      <c r="G1090" t="s">
        <v>24</v>
      </c>
      <c r="H1090" t="s">
        <v>25</v>
      </c>
      <c r="I1090">
        <v>1</v>
      </c>
      <c r="J1090" s="3">
        <v>44566</v>
      </c>
      <c r="K1090" s="4">
        <v>0</v>
      </c>
      <c r="L1090" s="3">
        <v>44566</v>
      </c>
      <c r="M1090" s="3">
        <v>0</v>
      </c>
      <c r="N1090" s="3">
        <v>44566</v>
      </c>
      <c r="O1090" s="3">
        <v>24787.18</v>
      </c>
      <c r="P1090" s="3">
        <v>19778.82</v>
      </c>
      <c r="Q1090" t="s">
        <v>334</v>
      </c>
      <c r="R1090">
        <v>2026</v>
      </c>
      <c r="S1090">
        <v>9</v>
      </c>
    </row>
    <row r="1091" spans="1:19" x14ac:dyDescent="0.3">
      <c r="A1091" t="s">
        <v>1150</v>
      </c>
      <c r="B1091" s="2">
        <v>46289</v>
      </c>
      <c r="C1091" t="s">
        <v>48</v>
      </c>
      <c r="D1091" t="s">
        <v>34</v>
      </c>
      <c r="E1091" t="s">
        <v>22</v>
      </c>
      <c r="F1091" t="s">
        <v>37</v>
      </c>
      <c r="G1091" t="s">
        <v>31</v>
      </c>
      <c r="H1091" t="s">
        <v>25</v>
      </c>
      <c r="I1091">
        <v>1</v>
      </c>
      <c r="J1091" s="3">
        <v>26210</v>
      </c>
      <c r="K1091" s="4">
        <v>0</v>
      </c>
      <c r="L1091" s="3">
        <v>26210</v>
      </c>
      <c r="M1091" s="3">
        <v>0</v>
      </c>
      <c r="N1091" s="3">
        <v>26210</v>
      </c>
      <c r="O1091" s="3">
        <v>16652.62</v>
      </c>
      <c r="P1091" s="3">
        <v>9557.3799999999992</v>
      </c>
      <c r="Q1091" t="s">
        <v>334</v>
      </c>
      <c r="R1091">
        <v>2026</v>
      </c>
      <c r="S1091">
        <v>9</v>
      </c>
    </row>
    <row r="1092" spans="1:19" x14ac:dyDescent="0.3">
      <c r="A1092" t="s">
        <v>1151</v>
      </c>
      <c r="B1092" s="2">
        <v>46294</v>
      </c>
      <c r="C1092" t="s">
        <v>71</v>
      </c>
      <c r="D1092" t="s">
        <v>34</v>
      </c>
      <c r="E1092" t="s">
        <v>42</v>
      </c>
      <c r="F1092" t="s">
        <v>37</v>
      </c>
      <c r="G1092" t="s">
        <v>31</v>
      </c>
      <c r="H1092" t="s">
        <v>25</v>
      </c>
      <c r="I1092">
        <v>1</v>
      </c>
      <c r="J1092" s="3">
        <v>50819</v>
      </c>
      <c r="K1092" s="4">
        <v>0</v>
      </c>
      <c r="L1092" s="3">
        <v>50819</v>
      </c>
      <c r="M1092" s="3">
        <v>0</v>
      </c>
      <c r="N1092" s="3">
        <v>50819</v>
      </c>
      <c r="O1092" s="3">
        <v>26769.55</v>
      </c>
      <c r="P1092" s="3">
        <v>24049.45</v>
      </c>
      <c r="Q1092" t="s">
        <v>334</v>
      </c>
      <c r="R1092">
        <v>2026</v>
      </c>
      <c r="S1092">
        <v>9</v>
      </c>
    </row>
    <row r="1093" spans="1:19" x14ac:dyDescent="0.3">
      <c r="A1093" t="s">
        <v>1152</v>
      </c>
      <c r="B1093" s="2">
        <v>46294</v>
      </c>
      <c r="C1093" t="s">
        <v>50</v>
      </c>
      <c r="D1093" t="s">
        <v>34</v>
      </c>
      <c r="E1093" t="s">
        <v>42</v>
      </c>
      <c r="F1093" t="s">
        <v>40</v>
      </c>
      <c r="G1093" t="s">
        <v>31</v>
      </c>
      <c r="H1093" t="s">
        <v>25</v>
      </c>
      <c r="I1093">
        <v>5</v>
      </c>
      <c r="J1093" s="3">
        <v>17379</v>
      </c>
      <c r="K1093" s="4">
        <v>0</v>
      </c>
      <c r="L1093" s="3">
        <v>86895</v>
      </c>
      <c r="M1093" s="3">
        <v>0</v>
      </c>
      <c r="N1093" s="3">
        <v>86895</v>
      </c>
      <c r="O1093" s="3">
        <v>49782.36</v>
      </c>
      <c r="P1093" s="3">
        <v>37112.639999999999</v>
      </c>
      <c r="Q1093" t="s">
        <v>334</v>
      </c>
      <c r="R1093">
        <v>2026</v>
      </c>
      <c r="S1093">
        <v>9</v>
      </c>
    </row>
    <row r="1094" spans="1:19" x14ac:dyDescent="0.3">
      <c r="A1094" t="s">
        <v>1153</v>
      </c>
      <c r="B1094" s="2">
        <v>46295</v>
      </c>
      <c r="C1094" t="s">
        <v>33</v>
      </c>
      <c r="D1094" t="s">
        <v>34</v>
      </c>
      <c r="E1094" t="s">
        <v>42</v>
      </c>
      <c r="F1094" t="s">
        <v>40</v>
      </c>
      <c r="G1094" t="s">
        <v>31</v>
      </c>
      <c r="H1094" t="s">
        <v>25</v>
      </c>
      <c r="I1094">
        <v>4</v>
      </c>
      <c r="J1094" s="3">
        <v>41548</v>
      </c>
      <c r="K1094" s="4">
        <v>0</v>
      </c>
      <c r="L1094" s="3">
        <v>166192</v>
      </c>
      <c r="M1094" s="3">
        <v>0</v>
      </c>
      <c r="N1094" s="3">
        <v>166192</v>
      </c>
      <c r="O1094" s="3">
        <v>88600.59</v>
      </c>
      <c r="P1094" s="3">
        <v>77591.41</v>
      </c>
      <c r="Q1094" t="s">
        <v>334</v>
      </c>
      <c r="R1094">
        <v>2026</v>
      </c>
      <c r="S1094">
        <v>9</v>
      </c>
    </row>
    <row r="1095" spans="1:19" x14ac:dyDescent="0.3">
      <c r="A1095" t="s">
        <v>1154</v>
      </c>
      <c r="B1095" s="2">
        <v>46295</v>
      </c>
      <c r="C1095" t="s">
        <v>33</v>
      </c>
      <c r="D1095" t="s">
        <v>34</v>
      </c>
      <c r="E1095" t="s">
        <v>22</v>
      </c>
      <c r="F1095" t="s">
        <v>35</v>
      </c>
      <c r="G1095" t="s">
        <v>31</v>
      </c>
      <c r="H1095" t="s">
        <v>25</v>
      </c>
      <c r="I1095">
        <v>1</v>
      </c>
      <c r="J1095" s="3">
        <v>40631</v>
      </c>
      <c r="K1095" s="4">
        <v>0</v>
      </c>
      <c r="L1095" s="3">
        <v>40631</v>
      </c>
      <c r="M1095" s="3">
        <v>0</v>
      </c>
      <c r="N1095" s="3">
        <v>40631</v>
      </c>
      <c r="O1095" s="3">
        <v>23951.279999999999</v>
      </c>
      <c r="P1095" s="3">
        <v>16679.72</v>
      </c>
      <c r="Q1095" t="s">
        <v>334</v>
      </c>
      <c r="R1095">
        <v>2026</v>
      </c>
      <c r="S1095">
        <v>9</v>
      </c>
    </row>
    <row r="1096" spans="1:19" x14ac:dyDescent="0.3">
      <c r="A1096" t="s">
        <v>1155</v>
      </c>
      <c r="B1096" s="2">
        <v>46298</v>
      </c>
      <c r="C1096" t="s">
        <v>75</v>
      </c>
      <c r="D1096" t="s">
        <v>34</v>
      </c>
      <c r="E1096" t="s">
        <v>42</v>
      </c>
      <c r="F1096" t="s">
        <v>37</v>
      </c>
      <c r="G1096" t="s">
        <v>31</v>
      </c>
      <c r="H1096" t="s">
        <v>25</v>
      </c>
      <c r="I1096">
        <v>4</v>
      </c>
      <c r="J1096" s="3">
        <v>38079</v>
      </c>
      <c r="K1096" s="4">
        <v>0</v>
      </c>
      <c r="L1096" s="3">
        <v>152316</v>
      </c>
      <c r="M1096" s="3">
        <v>0</v>
      </c>
      <c r="N1096" s="3">
        <v>152316</v>
      </c>
      <c r="O1096" s="3">
        <v>98924.83</v>
      </c>
      <c r="P1096" s="3">
        <v>53391.17</v>
      </c>
      <c r="Q1096" t="s">
        <v>364</v>
      </c>
      <c r="R1096">
        <v>2026</v>
      </c>
      <c r="S1096">
        <v>10</v>
      </c>
    </row>
    <row r="1097" spans="1:19" x14ac:dyDescent="0.3">
      <c r="A1097" t="s">
        <v>1156</v>
      </c>
      <c r="B1097" s="2">
        <v>46298</v>
      </c>
      <c r="C1097" t="s">
        <v>33</v>
      </c>
      <c r="D1097" t="s">
        <v>34</v>
      </c>
      <c r="E1097" t="s">
        <v>22</v>
      </c>
      <c r="F1097" t="s">
        <v>23</v>
      </c>
      <c r="G1097" t="s">
        <v>24</v>
      </c>
      <c r="H1097" t="s">
        <v>25</v>
      </c>
      <c r="I1097">
        <v>3</v>
      </c>
      <c r="J1097" s="3">
        <v>40875</v>
      </c>
      <c r="K1097" s="4">
        <v>0</v>
      </c>
      <c r="L1097" s="3">
        <v>122625</v>
      </c>
      <c r="M1097" s="3">
        <v>0</v>
      </c>
      <c r="N1097" s="3">
        <v>122625</v>
      </c>
      <c r="O1097" s="3">
        <v>59205.3</v>
      </c>
      <c r="P1097" s="3">
        <v>63419.7</v>
      </c>
      <c r="Q1097" t="s">
        <v>364</v>
      </c>
      <c r="R1097">
        <v>2026</v>
      </c>
      <c r="S1097">
        <v>10</v>
      </c>
    </row>
    <row r="1098" spans="1:19" x14ac:dyDescent="0.3">
      <c r="A1098" t="s">
        <v>1157</v>
      </c>
      <c r="B1098" s="2">
        <v>46299</v>
      </c>
      <c r="C1098" t="s">
        <v>48</v>
      </c>
      <c r="D1098" t="s">
        <v>34</v>
      </c>
      <c r="E1098" t="s">
        <v>56</v>
      </c>
      <c r="F1098" t="s">
        <v>37</v>
      </c>
      <c r="G1098" t="s">
        <v>24</v>
      </c>
      <c r="H1098" t="s">
        <v>25</v>
      </c>
      <c r="I1098">
        <v>5</v>
      </c>
      <c r="J1098" s="3">
        <v>25876</v>
      </c>
      <c r="K1098" s="4">
        <v>0</v>
      </c>
      <c r="L1098" s="3">
        <v>129380</v>
      </c>
      <c r="M1098" s="3">
        <v>0</v>
      </c>
      <c r="N1098" s="3">
        <v>129380</v>
      </c>
      <c r="O1098" s="3">
        <v>79937.73</v>
      </c>
      <c r="P1098" s="3">
        <v>49442.27</v>
      </c>
      <c r="Q1098" t="s">
        <v>364</v>
      </c>
      <c r="R1098">
        <v>2026</v>
      </c>
      <c r="S1098">
        <v>10</v>
      </c>
    </row>
    <row r="1099" spans="1:19" x14ac:dyDescent="0.3">
      <c r="A1099" t="s">
        <v>1158</v>
      </c>
      <c r="B1099" s="2">
        <v>46300</v>
      </c>
      <c r="C1099" t="s">
        <v>71</v>
      </c>
      <c r="D1099" t="s">
        <v>34</v>
      </c>
      <c r="E1099" t="s">
        <v>22</v>
      </c>
      <c r="F1099" t="s">
        <v>40</v>
      </c>
      <c r="G1099" t="s">
        <v>24</v>
      </c>
      <c r="H1099" t="s">
        <v>25</v>
      </c>
      <c r="I1099">
        <v>1</v>
      </c>
      <c r="J1099" s="3">
        <v>51938</v>
      </c>
      <c r="K1099" s="4">
        <v>0</v>
      </c>
      <c r="L1099" s="3">
        <v>51938</v>
      </c>
      <c r="M1099" s="3">
        <v>0</v>
      </c>
      <c r="N1099" s="3">
        <v>51938</v>
      </c>
      <c r="O1099" s="3">
        <v>31142.12</v>
      </c>
      <c r="P1099" s="3">
        <v>20795.88</v>
      </c>
      <c r="Q1099" t="s">
        <v>364</v>
      </c>
      <c r="R1099">
        <v>2026</v>
      </c>
      <c r="S1099">
        <v>10</v>
      </c>
    </row>
    <row r="1100" spans="1:19" x14ac:dyDescent="0.3">
      <c r="A1100" t="s">
        <v>1159</v>
      </c>
      <c r="B1100" s="2">
        <v>46300</v>
      </c>
      <c r="C1100" t="s">
        <v>28</v>
      </c>
      <c r="D1100" t="s">
        <v>29</v>
      </c>
      <c r="E1100" t="s">
        <v>56</v>
      </c>
      <c r="F1100" t="s">
        <v>37</v>
      </c>
      <c r="G1100" t="s">
        <v>31</v>
      </c>
      <c r="H1100" t="s">
        <v>25</v>
      </c>
      <c r="I1100">
        <v>2</v>
      </c>
      <c r="J1100" s="3">
        <v>64959</v>
      </c>
      <c r="K1100" s="4">
        <v>0</v>
      </c>
      <c r="L1100" s="3">
        <v>129918</v>
      </c>
      <c r="M1100" s="3">
        <v>0</v>
      </c>
      <c r="N1100" s="3">
        <v>129918</v>
      </c>
      <c r="O1100" s="3">
        <v>65638.100000000006</v>
      </c>
      <c r="P1100" s="3">
        <v>64279.9</v>
      </c>
      <c r="Q1100" t="s">
        <v>364</v>
      </c>
      <c r="R1100">
        <v>2026</v>
      </c>
      <c r="S1100">
        <v>10</v>
      </c>
    </row>
    <row r="1101" spans="1:19" x14ac:dyDescent="0.3">
      <c r="A1101" t="s">
        <v>1160</v>
      </c>
      <c r="B1101" s="2">
        <v>46300</v>
      </c>
      <c r="C1101" t="s">
        <v>46</v>
      </c>
      <c r="D1101" t="s">
        <v>21</v>
      </c>
      <c r="E1101" t="s">
        <v>56</v>
      </c>
      <c r="F1101" t="s">
        <v>37</v>
      </c>
      <c r="G1101" t="s">
        <v>31</v>
      </c>
      <c r="H1101" t="s">
        <v>25</v>
      </c>
      <c r="I1101">
        <v>4</v>
      </c>
      <c r="J1101" s="3">
        <v>11853</v>
      </c>
      <c r="K1101" s="4">
        <v>10</v>
      </c>
      <c r="L1101" s="3">
        <v>47412</v>
      </c>
      <c r="M1101" s="3">
        <v>4741.2</v>
      </c>
      <c r="N1101" s="3">
        <v>42670.8</v>
      </c>
      <c r="O1101" s="3">
        <v>31875.57</v>
      </c>
      <c r="P1101" s="3">
        <v>10795.23</v>
      </c>
      <c r="Q1101" t="s">
        <v>364</v>
      </c>
      <c r="R1101">
        <v>2026</v>
      </c>
      <c r="S1101">
        <v>10</v>
      </c>
    </row>
    <row r="1102" spans="1:19" x14ac:dyDescent="0.3">
      <c r="A1102" t="s">
        <v>1161</v>
      </c>
      <c r="B1102" s="2">
        <v>46301</v>
      </c>
      <c r="C1102" t="s">
        <v>75</v>
      </c>
      <c r="D1102" t="s">
        <v>34</v>
      </c>
      <c r="E1102" t="s">
        <v>56</v>
      </c>
      <c r="F1102" t="s">
        <v>37</v>
      </c>
      <c r="G1102" t="s">
        <v>24</v>
      </c>
      <c r="H1102" t="s">
        <v>25</v>
      </c>
      <c r="I1102">
        <v>4</v>
      </c>
      <c r="J1102" s="3">
        <v>39631</v>
      </c>
      <c r="K1102" s="4">
        <v>0</v>
      </c>
      <c r="L1102" s="3">
        <v>158524</v>
      </c>
      <c r="M1102" s="3">
        <v>0</v>
      </c>
      <c r="N1102" s="3">
        <v>158524</v>
      </c>
      <c r="O1102" s="3">
        <v>82786.240000000005</v>
      </c>
      <c r="P1102" s="3">
        <v>75737.759999999995</v>
      </c>
      <c r="Q1102" t="s">
        <v>364</v>
      </c>
      <c r="R1102">
        <v>2026</v>
      </c>
      <c r="S1102">
        <v>10</v>
      </c>
    </row>
    <row r="1103" spans="1:19" x14ac:dyDescent="0.3">
      <c r="A1103" t="s">
        <v>1162</v>
      </c>
      <c r="B1103" s="2">
        <v>46303</v>
      </c>
      <c r="C1103" t="s">
        <v>50</v>
      </c>
      <c r="D1103" t="s">
        <v>34</v>
      </c>
      <c r="E1103" t="s">
        <v>56</v>
      </c>
      <c r="F1103" t="s">
        <v>35</v>
      </c>
      <c r="G1103" t="s">
        <v>31</v>
      </c>
      <c r="H1103" t="s">
        <v>25</v>
      </c>
      <c r="I1103">
        <v>2</v>
      </c>
      <c r="J1103" s="3">
        <v>19394</v>
      </c>
      <c r="K1103" s="4">
        <v>0</v>
      </c>
      <c r="L1103" s="3">
        <v>38788</v>
      </c>
      <c r="M1103" s="3">
        <v>0</v>
      </c>
      <c r="N1103" s="3">
        <v>38788</v>
      </c>
      <c r="O1103" s="3">
        <v>24488.87</v>
      </c>
      <c r="P1103" s="3">
        <v>14299.13</v>
      </c>
      <c r="Q1103" t="s">
        <v>364</v>
      </c>
      <c r="R1103">
        <v>2026</v>
      </c>
      <c r="S1103">
        <v>10</v>
      </c>
    </row>
    <row r="1104" spans="1:19" x14ac:dyDescent="0.3">
      <c r="A1104" t="s">
        <v>1163</v>
      </c>
      <c r="B1104" s="2">
        <v>46304</v>
      </c>
      <c r="C1104" t="s">
        <v>82</v>
      </c>
      <c r="D1104" t="s">
        <v>21</v>
      </c>
      <c r="E1104" t="s">
        <v>42</v>
      </c>
      <c r="F1104" t="s">
        <v>23</v>
      </c>
      <c r="G1104" t="s">
        <v>31</v>
      </c>
      <c r="H1104" t="s">
        <v>25</v>
      </c>
      <c r="I1104">
        <v>2</v>
      </c>
      <c r="J1104" s="3">
        <v>46171</v>
      </c>
      <c r="K1104" s="4">
        <v>0</v>
      </c>
      <c r="L1104" s="3">
        <v>92342</v>
      </c>
      <c r="M1104" s="3">
        <v>0</v>
      </c>
      <c r="N1104" s="3">
        <v>92342</v>
      </c>
      <c r="O1104" s="3">
        <v>55337.26</v>
      </c>
      <c r="P1104" s="3">
        <v>37004.74</v>
      </c>
      <c r="Q1104" t="s">
        <v>364</v>
      </c>
      <c r="R1104">
        <v>2026</v>
      </c>
      <c r="S1104">
        <v>10</v>
      </c>
    </row>
    <row r="1105" spans="1:19" x14ac:dyDescent="0.3">
      <c r="A1105" t="s">
        <v>1164</v>
      </c>
      <c r="B1105" s="2">
        <v>46304</v>
      </c>
      <c r="C1105" t="s">
        <v>46</v>
      </c>
      <c r="D1105" t="s">
        <v>21</v>
      </c>
      <c r="E1105" t="s">
        <v>56</v>
      </c>
      <c r="F1105" t="s">
        <v>37</v>
      </c>
      <c r="G1105" t="s">
        <v>24</v>
      </c>
      <c r="H1105" t="s">
        <v>25</v>
      </c>
      <c r="I1105">
        <v>3</v>
      </c>
      <c r="J1105" s="3">
        <v>11281</v>
      </c>
      <c r="K1105" s="4">
        <v>0</v>
      </c>
      <c r="L1105" s="3">
        <v>33843</v>
      </c>
      <c r="M1105" s="3">
        <v>0</v>
      </c>
      <c r="N1105" s="3">
        <v>33843</v>
      </c>
      <c r="O1105" s="3">
        <v>16975.95</v>
      </c>
      <c r="P1105" s="3">
        <v>16867.05</v>
      </c>
      <c r="Q1105" t="s">
        <v>364</v>
      </c>
      <c r="R1105">
        <v>2026</v>
      </c>
      <c r="S1105">
        <v>10</v>
      </c>
    </row>
    <row r="1106" spans="1:19" x14ac:dyDescent="0.3">
      <c r="A1106" t="s">
        <v>1165</v>
      </c>
      <c r="B1106" s="2">
        <v>46305</v>
      </c>
      <c r="C1106" t="s">
        <v>71</v>
      </c>
      <c r="D1106" t="s">
        <v>34</v>
      </c>
      <c r="E1106" t="s">
        <v>44</v>
      </c>
      <c r="F1106" t="s">
        <v>40</v>
      </c>
      <c r="G1106" t="s">
        <v>31</v>
      </c>
      <c r="H1106" t="s">
        <v>25</v>
      </c>
      <c r="I1106">
        <v>1</v>
      </c>
      <c r="J1106" s="3">
        <v>52843</v>
      </c>
      <c r="K1106" s="4">
        <v>0</v>
      </c>
      <c r="L1106" s="3">
        <v>52843</v>
      </c>
      <c r="M1106" s="3">
        <v>0</v>
      </c>
      <c r="N1106" s="3">
        <v>0</v>
      </c>
      <c r="O1106" s="3">
        <v>26168.91</v>
      </c>
      <c r="P1106" s="3">
        <v>0</v>
      </c>
      <c r="Q1106" t="s">
        <v>364</v>
      </c>
      <c r="R1106">
        <v>2026</v>
      </c>
      <c r="S1106">
        <v>10</v>
      </c>
    </row>
    <row r="1107" spans="1:19" x14ac:dyDescent="0.3">
      <c r="A1107" t="s">
        <v>1166</v>
      </c>
      <c r="B1107" s="2">
        <v>46306</v>
      </c>
      <c r="C1107" t="s">
        <v>46</v>
      </c>
      <c r="D1107" t="s">
        <v>21</v>
      </c>
      <c r="E1107" t="s">
        <v>56</v>
      </c>
      <c r="F1107" t="s">
        <v>30</v>
      </c>
      <c r="G1107" t="s">
        <v>24</v>
      </c>
      <c r="H1107" t="s">
        <v>25</v>
      </c>
      <c r="I1107">
        <v>1</v>
      </c>
      <c r="J1107" s="3">
        <v>12539</v>
      </c>
      <c r="K1107" s="4">
        <v>0</v>
      </c>
      <c r="L1107" s="3">
        <v>12539</v>
      </c>
      <c r="M1107" s="3">
        <v>0</v>
      </c>
      <c r="N1107" s="3">
        <v>12539</v>
      </c>
      <c r="O1107" s="3">
        <v>6450.29</v>
      </c>
      <c r="P1107" s="3">
        <v>6088.71</v>
      </c>
      <c r="Q1107" t="s">
        <v>364</v>
      </c>
      <c r="R1107">
        <v>2026</v>
      </c>
      <c r="S1107">
        <v>10</v>
      </c>
    </row>
    <row r="1108" spans="1:19" x14ac:dyDescent="0.3">
      <c r="A1108" t="s">
        <v>1167</v>
      </c>
      <c r="B1108" s="2">
        <v>46307</v>
      </c>
      <c r="C1108" t="s">
        <v>46</v>
      </c>
      <c r="D1108" t="s">
        <v>21</v>
      </c>
      <c r="E1108" t="s">
        <v>22</v>
      </c>
      <c r="F1108" t="s">
        <v>35</v>
      </c>
      <c r="G1108" t="s">
        <v>31</v>
      </c>
      <c r="H1108" t="s">
        <v>25</v>
      </c>
      <c r="I1108">
        <v>2</v>
      </c>
      <c r="J1108" s="3">
        <v>12428</v>
      </c>
      <c r="K1108" s="4">
        <v>15</v>
      </c>
      <c r="L1108" s="3">
        <v>24856</v>
      </c>
      <c r="M1108" s="3">
        <v>3728.4</v>
      </c>
      <c r="N1108" s="3">
        <v>21127.599999999999</v>
      </c>
      <c r="O1108" s="3">
        <v>15484.79</v>
      </c>
      <c r="P1108" s="3">
        <v>5642.81</v>
      </c>
      <c r="Q1108" t="s">
        <v>364</v>
      </c>
      <c r="R1108">
        <v>2026</v>
      </c>
      <c r="S1108">
        <v>10</v>
      </c>
    </row>
    <row r="1109" spans="1:19" x14ac:dyDescent="0.3">
      <c r="A1109" t="s">
        <v>1168</v>
      </c>
      <c r="B1109" s="2">
        <v>46307</v>
      </c>
      <c r="C1109" t="s">
        <v>64</v>
      </c>
      <c r="D1109" t="s">
        <v>29</v>
      </c>
      <c r="E1109" t="s">
        <v>42</v>
      </c>
      <c r="F1109" t="s">
        <v>40</v>
      </c>
      <c r="G1109" t="s">
        <v>31</v>
      </c>
      <c r="H1109" t="s">
        <v>25</v>
      </c>
      <c r="I1109">
        <v>5</v>
      </c>
      <c r="J1109" s="3">
        <v>31376</v>
      </c>
      <c r="K1109" s="4">
        <v>0</v>
      </c>
      <c r="L1109" s="3">
        <v>156880</v>
      </c>
      <c r="M1109" s="3">
        <v>0</v>
      </c>
      <c r="N1109" s="3">
        <v>156880</v>
      </c>
      <c r="O1109" s="3">
        <v>84717.3</v>
      </c>
      <c r="P1109" s="3">
        <v>72162.7</v>
      </c>
      <c r="Q1109" t="s">
        <v>364</v>
      </c>
      <c r="R1109">
        <v>2026</v>
      </c>
      <c r="S1109">
        <v>10</v>
      </c>
    </row>
    <row r="1110" spans="1:19" x14ac:dyDescent="0.3">
      <c r="A1110" t="s">
        <v>1169</v>
      </c>
      <c r="B1110" s="2">
        <v>46308</v>
      </c>
      <c r="C1110" t="s">
        <v>48</v>
      </c>
      <c r="D1110" t="s">
        <v>34</v>
      </c>
      <c r="E1110" t="s">
        <v>42</v>
      </c>
      <c r="F1110" t="s">
        <v>35</v>
      </c>
      <c r="G1110" t="s">
        <v>31</v>
      </c>
      <c r="H1110" t="s">
        <v>25</v>
      </c>
      <c r="I1110">
        <v>1</v>
      </c>
      <c r="J1110" s="3">
        <v>23828</v>
      </c>
      <c r="K1110" s="4">
        <v>0</v>
      </c>
      <c r="L1110" s="3">
        <v>23828</v>
      </c>
      <c r="M1110" s="3">
        <v>0</v>
      </c>
      <c r="N1110" s="3">
        <v>23828</v>
      </c>
      <c r="O1110" s="3">
        <v>11766.3</v>
      </c>
      <c r="P1110" s="3">
        <v>12061.7</v>
      </c>
      <c r="Q1110" t="s">
        <v>364</v>
      </c>
      <c r="R1110">
        <v>2026</v>
      </c>
      <c r="S1110">
        <v>10</v>
      </c>
    </row>
    <row r="1111" spans="1:19" x14ac:dyDescent="0.3">
      <c r="A1111" t="s">
        <v>1170</v>
      </c>
      <c r="B1111" s="2">
        <v>46308</v>
      </c>
      <c r="C1111" t="s">
        <v>71</v>
      </c>
      <c r="D1111" t="s">
        <v>34</v>
      </c>
      <c r="E1111" t="s">
        <v>42</v>
      </c>
      <c r="F1111" t="s">
        <v>37</v>
      </c>
      <c r="G1111" t="s">
        <v>24</v>
      </c>
      <c r="H1111" t="s">
        <v>25</v>
      </c>
      <c r="I1111">
        <v>2</v>
      </c>
      <c r="J1111" s="3">
        <v>49442</v>
      </c>
      <c r="K1111" s="4">
        <v>0</v>
      </c>
      <c r="L1111" s="3">
        <v>98884</v>
      </c>
      <c r="M1111" s="3">
        <v>0</v>
      </c>
      <c r="N1111" s="3">
        <v>98884</v>
      </c>
      <c r="O1111" s="3">
        <v>48940.26</v>
      </c>
      <c r="P1111" s="3">
        <v>49943.74</v>
      </c>
      <c r="Q1111" t="s">
        <v>364</v>
      </c>
      <c r="R1111">
        <v>2026</v>
      </c>
      <c r="S1111">
        <v>10</v>
      </c>
    </row>
    <row r="1112" spans="1:19" x14ac:dyDescent="0.3">
      <c r="A1112" t="s">
        <v>1171</v>
      </c>
      <c r="B1112" s="2">
        <v>46309</v>
      </c>
      <c r="C1112" t="s">
        <v>33</v>
      </c>
      <c r="D1112" t="s">
        <v>34</v>
      </c>
      <c r="E1112" t="s">
        <v>42</v>
      </c>
      <c r="F1112" t="s">
        <v>23</v>
      </c>
      <c r="G1112" t="s">
        <v>31</v>
      </c>
      <c r="H1112" t="s">
        <v>25</v>
      </c>
      <c r="I1112">
        <v>1</v>
      </c>
      <c r="J1112" s="3">
        <v>43652</v>
      </c>
      <c r="K1112" s="4">
        <v>5</v>
      </c>
      <c r="L1112" s="3">
        <v>43652</v>
      </c>
      <c r="M1112" s="3">
        <v>2182.6</v>
      </c>
      <c r="N1112" s="3">
        <v>41469.4</v>
      </c>
      <c r="O1112" s="3">
        <v>22784.959999999999</v>
      </c>
      <c r="P1112" s="3">
        <v>18684.439999999999</v>
      </c>
      <c r="Q1112" t="s">
        <v>364</v>
      </c>
      <c r="R1112">
        <v>2026</v>
      </c>
      <c r="S1112">
        <v>10</v>
      </c>
    </row>
    <row r="1113" spans="1:19" x14ac:dyDescent="0.3">
      <c r="A1113" t="s">
        <v>1172</v>
      </c>
      <c r="B1113" s="2">
        <v>46311</v>
      </c>
      <c r="C1113" t="s">
        <v>71</v>
      </c>
      <c r="D1113" t="s">
        <v>34</v>
      </c>
      <c r="E1113" t="s">
        <v>56</v>
      </c>
      <c r="F1113" t="s">
        <v>35</v>
      </c>
      <c r="G1113" t="s">
        <v>31</v>
      </c>
      <c r="H1113" t="s">
        <v>25</v>
      </c>
      <c r="I1113">
        <v>2</v>
      </c>
      <c r="J1113" s="3">
        <v>50798</v>
      </c>
      <c r="K1113" s="4">
        <v>0</v>
      </c>
      <c r="L1113" s="3">
        <v>101596</v>
      </c>
      <c r="M1113" s="3">
        <v>0</v>
      </c>
      <c r="N1113" s="3">
        <v>101596</v>
      </c>
      <c r="O1113" s="3">
        <v>66416.14</v>
      </c>
      <c r="P1113" s="3">
        <v>35179.86</v>
      </c>
      <c r="Q1113" t="s">
        <v>364</v>
      </c>
      <c r="R1113">
        <v>2026</v>
      </c>
      <c r="S1113">
        <v>10</v>
      </c>
    </row>
    <row r="1114" spans="1:19" x14ac:dyDescent="0.3">
      <c r="A1114" t="s">
        <v>1173</v>
      </c>
      <c r="B1114" s="2">
        <v>46311</v>
      </c>
      <c r="C1114" t="s">
        <v>75</v>
      </c>
      <c r="D1114" t="s">
        <v>34</v>
      </c>
      <c r="E1114" t="s">
        <v>42</v>
      </c>
      <c r="F1114" t="s">
        <v>23</v>
      </c>
      <c r="G1114" t="s">
        <v>31</v>
      </c>
      <c r="H1114" t="s">
        <v>25</v>
      </c>
      <c r="I1114">
        <v>2</v>
      </c>
      <c r="J1114" s="3">
        <v>36022</v>
      </c>
      <c r="K1114" s="4">
        <v>15</v>
      </c>
      <c r="L1114" s="3">
        <v>72044</v>
      </c>
      <c r="M1114" s="3">
        <v>10806.6</v>
      </c>
      <c r="N1114" s="3">
        <v>61237.4</v>
      </c>
      <c r="O1114" s="3">
        <v>38348.92</v>
      </c>
      <c r="P1114" s="3">
        <v>22888.48</v>
      </c>
      <c r="Q1114" t="s">
        <v>364</v>
      </c>
      <c r="R1114">
        <v>2026</v>
      </c>
      <c r="S1114">
        <v>10</v>
      </c>
    </row>
    <row r="1115" spans="1:19" x14ac:dyDescent="0.3">
      <c r="A1115" t="s">
        <v>1174</v>
      </c>
      <c r="B1115" s="2">
        <v>46311</v>
      </c>
      <c r="C1115" t="s">
        <v>28</v>
      </c>
      <c r="D1115" t="s">
        <v>29</v>
      </c>
      <c r="E1115" t="s">
        <v>44</v>
      </c>
      <c r="F1115" t="s">
        <v>35</v>
      </c>
      <c r="G1115" t="s">
        <v>31</v>
      </c>
      <c r="H1115" t="s">
        <v>25</v>
      </c>
      <c r="I1115">
        <v>2</v>
      </c>
      <c r="J1115" s="3">
        <v>67462</v>
      </c>
      <c r="K1115" s="4">
        <v>0</v>
      </c>
      <c r="L1115" s="3">
        <v>134924</v>
      </c>
      <c r="M1115" s="3">
        <v>0</v>
      </c>
      <c r="N1115" s="3">
        <v>134924</v>
      </c>
      <c r="O1115" s="3">
        <v>91459.04</v>
      </c>
      <c r="P1115" s="3">
        <v>43464.959999999999</v>
      </c>
      <c r="Q1115" t="s">
        <v>364</v>
      </c>
      <c r="R1115">
        <v>2026</v>
      </c>
      <c r="S1115">
        <v>10</v>
      </c>
    </row>
    <row r="1116" spans="1:19" x14ac:dyDescent="0.3">
      <c r="A1116" t="s">
        <v>1175</v>
      </c>
      <c r="B1116" s="2">
        <v>46312</v>
      </c>
      <c r="C1116" t="s">
        <v>82</v>
      </c>
      <c r="D1116" t="s">
        <v>21</v>
      </c>
      <c r="E1116" t="s">
        <v>22</v>
      </c>
      <c r="F1116" t="s">
        <v>37</v>
      </c>
      <c r="G1116" t="s">
        <v>31</v>
      </c>
      <c r="H1116" t="s">
        <v>25</v>
      </c>
      <c r="I1116">
        <v>3</v>
      </c>
      <c r="J1116" s="3">
        <v>45959</v>
      </c>
      <c r="K1116" s="4">
        <v>0</v>
      </c>
      <c r="L1116" s="3">
        <v>137877</v>
      </c>
      <c r="M1116" s="3">
        <v>0</v>
      </c>
      <c r="N1116" s="3">
        <v>137877</v>
      </c>
      <c r="O1116" s="3">
        <v>80826.52</v>
      </c>
      <c r="P1116" s="3">
        <v>57050.48</v>
      </c>
      <c r="Q1116" t="s">
        <v>364</v>
      </c>
      <c r="R1116">
        <v>2026</v>
      </c>
      <c r="S1116">
        <v>10</v>
      </c>
    </row>
    <row r="1117" spans="1:19" x14ac:dyDescent="0.3">
      <c r="A1117" t="s">
        <v>1176</v>
      </c>
      <c r="B1117" s="2">
        <v>46312</v>
      </c>
      <c r="C1117" t="s">
        <v>20</v>
      </c>
      <c r="D1117" t="s">
        <v>21</v>
      </c>
      <c r="E1117" t="s">
        <v>56</v>
      </c>
      <c r="F1117" t="s">
        <v>40</v>
      </c>
      <c r="G1117" t="s">
        <v>31</v>
      </c>
      <c r="H1117" t="s">
        <v>25</v>
      </c>
      <c r="I1117">
        <v>3</v>
      </c>
      <c r="J1117" s="3">
        <v>14890</v>
      </c>
      <c r="K1117" s="4">
        <v>0</v>
      </c>
      <c r="L1117" s="3">
        <v>44670</v>
      </c>
      <c r="M1117" s="3">
        <v>0</v>
      </c>
      <c r="N1117" s="3">
        <v>44670</v>
      </c>
      <c r="O1117" s="3">
        <v>30215.48</v>
      </c>
      <c r="P1117" s="3">
        <v>14454.52</v>
      </c>
      <c r="Q1117" t="s">
        <v>364</v>
      </c>
      <c r="R1117">
        <v>2026</v>
      </c>
      <c r="S1117">
        <v>10</v>
      </c>
    </row>
    <row r="1118" spans="1:19" x14ac:dyDescent="0.3">
      <c r="A1118" t="s">
        <v>1177</v>
      </c>
      <c r="B1118" s="2">
        <v>46312</v>
      </c>
      <c r="C1118" t="s">
        <v>50</v>
      </c>
      <c r="D1118" t="s">
        <v>34</v>
      </c>
      <c r="E1118" t="s">
        <v>56</v>
      </c>
      <c r="F1118" t="s">
        <v>40</v>
      </c>
      <c r="G1118" t="s">
        <v>24</v>
      </c>
      <c r="H1118" t="s">
        <v>25</v>
      </c>
      <c r="I1118">
        <v>1</v>
      </c>
      <c r="J1118" s="3">
        <v>18700</v>
      </c>
      <c r="K1118" s="4">
        <v>0</v>
      </c>
      <c r="L1118" s="3">
        <v>18700</v>
      </c>
      <c r="M1118" s="3">
        <v>0</v>
      </c>
      <c r="N1118" s="3">
        <v>18700</v>
      </c>
      <c r="O1118" s="3">
        <v>12352.83</v>
      </c>
      <c r="P1118" s="3">
        <v>6347.17</v>
      </c>
      <c r="Q1118" t="s">
        <v>364</v>
      </c>
      <c r="R1118">
        <v>2026</v>
      </c>
      <c r="S1118">
        <v>10</v>
      </c>
    </row>
    <row r="1119" spans="1:19" x14ac:dyDescent="0.3">
      <c r="A1119" t="s">
        <v>1178</v>
      </c>
      <c r="B1119" s="2">
        <v>46313</v>
      </c>
      <c r="C1119" t="s">
        <v>46</v>
      </c>
      <c r="D1119" t="s">
        <v>21</v>
      </c>
      <c r="E1119" t="s">
        <v>22</v>
      </c>
      <c r="F1119" t="s">
        <v>37</v>
      </c>
      <c r="G1119" t="s">
        <v>24</v>
      </c>
      <c r="H1119" t="s">
        <v>25</v>
      </c>
      <c r="I1119">
        <v>2</v>
      </c>
      <c r="J1119" s="3">
        <v>11560</v>
      </c>
      <c r="K1119" s="4">
        <v>5</v>
      </c>
      <c r="L1119" s="3">
        <v>23120</v>
      </c>
      <c r="M1119" s="3">
        <v>1156</v>
      </c>
      <c r="N1119" s="3">
        <v>21964</v>
      </c>
      <c r="O1119" s="3">
        <v>14242.53</v>
      </c>
      <c r="P1119" s="3">
        <v>7721.47</v>
      </c>
      <c r="Q1119" t="s">
        <v>364</v>
      </c>
      <c r="R1119">
        <v>2026</v>
      </c>
      <c r="S1119">
        <v>10</v>
      </c>
    </row>
    <row r="1120" spans="1:19" x14ac:dyDescent="0.3">
      <c r="A1120" t="s">
        <v>1179</v>
      </c>
      <c r="B1120" s="2">
        <v>46313</v>
      </c>
      <c r="C1120" t="s">
        <v>33</v>
      </c>
      <c r="D1120" t="s">
        <v>34</v>
      </c>
      <c r="E1120" t="s">
        <v>56</v>
      </c>
      <c r="F1120" t="s">
        <v>37</v>
      </c>
      <c r="G1120" t="s">
        <v>24</v>
      </c>
      <c r="H1120" t="s">
        <v>25</v>
      </c>
      <c r="I1120">
        <v>3</v>
      </c>
      <c r="J1120" s="3">
        <v>42248</v>
      </c>
      <c r="K1120" s="4">
        <v>0</v>
      </c>
      <c r="L1120" s="3">
        <v>126744</v>
      </c>
      <c r="M1120" s="3">
        <v>0</v>
      </c>
      <c r="N1120" s="3">
        <v>126744</v>
      </c>
      <c r="O1120" s="3">
        <v>69438.55</v>
      </c>
      <c r="P1120" s="3">
        <v>57305.45</v>
      </c>
      <c r="Q1120" t="s">
        <v>364</v>
      </c>
      <c r="R1120">
        <v>2026</v>
      </c>
      <c r="S1120">
        <v>10</v>
      </c>
    </row>
    <row r="1121" spans="1:19" x14ac:dyDescent="0.3">
      <c r="A1121" t="s">
        <v>1180</v>
      </c>
      <c r="B1121" s="2">
        <v>46314</v>
      </c>
      <c r="C1121" t="s">
        <v>33</v>
      </c>
      <c r="D1121" t="s">
        <v>34</v>
      </c>
      <c r="E1121" t="s">
        <v>22</v>
      </c>
      <c r="F1121" t="s">
        <v>35</v>
      </c>
      <c r="G1121" t="s">
        <v>24</v>
      </c>
      <c r="H1121" t="s">
        <v>25</v>
      </c>
      <c r="I1121">
        <v>1</v>
      </c>
      <c r="J1121" s="3">
        <v>40485</v>
      </c>
      <c r="K1121" s="4">
        <v>0</v>
      </c>
      <c r="L1121" s="3">
        <v>40485</v>
      </c>
      <c r="M1121" s="3">
        <v>0</v>
      </c>
      <c r="N1121" s="3">
        <v>40485</v>
      </c>
      <c r="O1121" s="3">
        <v>21165.62</v>
      </c>
      <c r="P1121" s="3">
        <v>19319.38</v>
      </c>
      <c r="Q1121" t="s">
        <v>364</v>
      </c>
      <c r="R1121">
        <v>2026</v>
      </c>
      <c r="S1121">
        <v>10</v>
      </c>
    </row>
    <row r="1122" spans="1:19" x14ac:dyDescent="0.3">
      <c r="A1122" t="s">
        <v>1181</v>
      </c>
      <c r="B1122" s="2">
        <v>46316</v>
      </c>
      <c r="C1122" t="s">
        <v>33</v>
      </c>
      <c r="D1122" t="s">
        <v>34</v>
      </c>
      <c r="E1122" t="s">
        <v>42</v>
      </c>
      <c r="F1122" t="s">
        <v>40</v>
      </c>
      <c r="G1122" t="s">
        <v>31</v>
      </c>
      <c r="H1122" t="s">
        <v>25</v>
      </c>
      <c r="I1122">
        <v>2</v>
      </c>
      <c r="J1122" s="3">
        <v>44407</v>
      </c>
      <c r="K1122" s="4">
        <v>0</v>
      </c>
      <c r="L1122" s="3">
        <v>88814</v>
      </c>
      <c r="M1122" s="3">
        <v>0</v>
      </c>
      <c r="N1122" s="3">
        <v>88814</v>
      </c>
      <c r="O1122" s="3">
        <v>56561.57</v>
      </c>
      <c r="P1122" s="3">
        <v>32252.43</v>
      </c>
      <c r="Q1122" t="s">
        <v>364</v>
      </c>
      <c r="R1122">
        <v>2026</v>
      </c>
      <c r="S1122">
        <v>10</v>
      </c>
    </row>
    <row r="1123" spans="1:19" x14ac:dyDescent="0.3">
      <c r="A1123" t="s">
        <v>1182</v>
      </c>
      <c r="B1123" s="2">
        <v>46316</v>
      </c>
      <c r="C1123" t="s">
        <v>64</v>
      </c>
      <c r="D1123" t="s">
        <v>29</v>
      </c>
      <c r="E1123" t="s">
        <v>22</v>
      </c>
      <c r="F1123" t="s">
        <v>35</v>
      </c>
      <c r="G1123" t="s">
        <v>31</v>
      </c>
      <c r="H1123" t="s">
        <v>25</v>
      </c>
      <c r="I1123">
        <v>4</v>
      </c>
      <c r="J1123" s="3">
        <v>29761</v>
      </c>
      <c r="K1123" s="4">
        <v>0</v>
      </c>
      <c r="L1123" s="3">
        <v>119044</v>
      </c>
      <c r="M1123" s="3">
        <v>0</v>
      </c>
      <c r="N1123" s="3">
        <v>119044</v>
      </c>
      <c r="O1123" s="3">
        <v>64466.02</v>
      </c>
      <c r="P1123" s="3">
        <v>54577.98</v>
      </c>
      <c r="Q1123" t="s">
        <v>364</v>
      </c>
      <c r="R1123">
        <v>2026</v>
      </c>
      <c r="S1123">
        <v>10</v>
      </c>
    </row>
    <row r="1124" spans="1:19" x14ac:dyDescent="0.3">
      <c r="A1124" t="s">
        <v>1183</v>
      </c>
      <c r="B1124" s="2">
        <v>46317</v>
      </c>
      <c r="C1124" t="s">
        <v>64</v>
      </c>
      <c r="D1124" t="s">
        <v>29</v>
      </c>
      <c r="E1124" t="s">
        <v>22</v>
      </c>
      <c r="F1124" t="s">
        <v>40</v>
      </c>
      <c r="G1124" t="s">
        <v>31</v>
      </c>
      <c r="H1124" t="s">
        <v>25</v>
      </c>
      <c r="I1124">
        <v>1</v>
      </c>
      <c r="J1124" s="3">
        <v>28520</v>
      </c>
      <c r="K1124" s="4">
        <v>0</v>
      </c>
      <c r="L1124" s="3">
        <v>28520</v>
      </c>
      <c r="M1124" s="3">
        <v>0</v>
      </c>
      <c r="N1124" s="3">
        <v>28520</v>
      </c>
      <c r="O1124" s="3">
        <v>14982.45</v>
      </c>
      <c r="P1124" s="3">
        <v>13537.55</v>
      </c>
      <c r="Q1124" t="s">
        <v>364</v>
      </c>
      <c r="R1124">
        <v>2026</v>
      </c>
      <c r="S1124">
        <v>10</v>
      </c>
    </row>
    <row r="1125" spans="1:19" x14ac:dyDescent="0.3">
      <c r="A1125" t="s">
        <v>1184</v>
      </c>
      <c r="B1125" s="2">
        <v>46318</v>
      </c>
      <c r="C1125" t="s">
        <v>50</v>
      </c>
      <c r="D1125" t="s">
        <v>34</v>
      </c>
      <c r="E1125" t="s">
        <v>56</v>
      </c>
      <c r="F1125" t="s">
        <v>23</v>
      </c>
      <c r="G1125" t="s">
        <v>24</v>
      </c>
      <c r="H1125" t="s">
        <v>25</v>
      </c>
      <c r="I1125">
        <v>2</v>
      </c>
      <c r="J1125" s="3">
        <v>18915</v>
      </c>
      <c r="K1125" s="4">
        <v>0</v>
      </c>
      <c r="L1125" s="3">
        <v>37830</v>
      </c>
      <c r="M1125" s="3">
        <v>0</v>
      </c>
      <c r="N1125" s="3">
        <v>0</v>
      </c>
      <c r="O1125" s="3">
        <v>24746.85</v>
      </c>
      <c r="P1125" s="3">
        <v>0</v>
      </c>
      <c r="Q1125" t="s">
        <v>364</v>
      </c>
      <c r="R1125">
        <v>2026</v>
      </c>
      <c r="S1125">
        <v>10</v>
      </c>
    </row>
    <row r="1126" spans="1:19" x14ac:dyDescent="0.3">
      <c r="A1126" t="s">
        <v>1185</v>
      </c>
      <c r="B1126" s="2">
        <v>46320</v>
      </c>
      <c r="C1126" t="s">
        <v>48</v>
      </c>
      <c r="D1126" t="s">
        <v>34</v>
      </c>
      <c r="E1126" t="s">
        <v>56</v>
      </c>
      <c r="F1126" t="s">
        <v>23</v>
      </c>
      <c r="G1126" t="s">
        <v>24</v>
      </c>
      <c r="H1126" t="s">
        <v>25</v>
      </c>
      <c r="I1126">
        <v>1</v>
      </c>
      <c r="J1126" s="3">
        <v>23562</v>
      </c>
      <c r="K1126" s="4">
        <v>0</v>
      </c>
      <c r="L1126" s="3">
        <v>23562</v>
      </c>
      <c r="M1126" s="3">
        <v>0</v>
      </c>
      <c r="N1126" s="3">
        <v>23562</v>
      </c>
      <c r="O1126" s="3">
        <v>12177.9</v>
      </c>
      <c r="P1126" s="3">
        <v>11384.1</v>
      </c>
      <c r="Q1126" t="s">
        <v>364</v>
      </c>
      <c r="R1126">
        <v>2026</v>
      </c>
      <c r="S1126">
        <v>10</v>
      </c>
    </row>
    <row r="1127" spans="1:19" x14ac:dyDescent="0.3">
      <c r="A1127" t="s">
        <v>1186</v>
      </c>
      <c r="B1127" s="2">
        <v>46320</v>
      </c>
      <c r="C1127" t="s">
        <v>46</v>
      </c>
      <c r="D1127" t="s">
        <v>21</v>
      </c>
      <c r="E1127" t="s">
        <v>56</v>
      </c>
      <c r="F1127" t="s">
        <v>40</v>
      </c>
      <c r="G1127" t="s">
        <v>31</v>
      </c>
      <c r="H1127" t="s">
        <v>25</v>
      </c>
      <c r="I1127">
        <v>4</v>
      </c>
      <c r="J1127" s="3">
        <v>11910</v>
      </c>
      <c r="K1127" s="4">
        <v>0</v>
      </c>
      <c r="L1127" s="3">
        <v>47640</v>
      </c>
      <c r="M1127" s="3">
        <v>0</v>
      </c>
      <c r="N1127" s="3">
        <v>0</v>
      </c>
      <c r="O1127" s="3">
        <v>29809.65</v>
      </c>
      <c r="P1127" s="3">
        <v>0</v>
      </c>
      <c r="Q1127" t="s">
        <v>364</v>
      </c>
      <c r="R1127">
        <v>2026</v>
      </c>
      <c r="S1127">
        <v>10</v>
      </c>
    </row>
    <row r="1128" spans="1:19" x14ac:dyDescent="0.3">
      <c r="A1128" t="s">
        <v>1187</v>
      </c>
      <c r="B1128" s="2">
        <v>46320</v>
      </c>
      <c r="C1128" t="s">
        <v>33</v>
      </c>
      <c r="D1128" t="s">
        <v>34</v>
      </c>
      <c r="E1128" t="s">
        <v>56</v>
      </c>
      <c r="F1128" t="s">
        <v>40</v>
      </c>
      <c r="G1128" t="s">
        <v>24</v>
      </c>
      <c r="H1128" t="s">
        <v>25</v>
      </c>
      <c r="I1128">
        <v>2</v>
      </c>
      <c r="J1128" s="3">
        <v>42827</v>
      </c>
      <c r="K1128" s="4">
        <v>15</v>
      </c>
      <c r="L1128" s="3">
        <v>85654</v>
      </c>
      <c r="M1128" s="3">
        <v>12848.1</v>
      </c>
      <c r="N1128" s="3">
        <v>72805.899999999994</v>
      </c>
      <c r="O1128" s="3">
        <v>49742.559999999998</v>
      </c>
      <c r="P1128" s="3">
        <v>23063.34</v>
      </c>
      <c r="Q1128" t="s">
        <v>364</v>
      </c>
      <c r="R1128">
        <v>2026</v>
      </c>
      <c r="S1128">
        <v>10</v>
      </c>
    </row>
    <row r="1129" spans="1:19" x14ac:dyDescent="0.3">
      <c r="A1129" t="s">
        <v>1188</v>
      </c>
      <c r="B1129" s="2">
        <v>46322</v>
      </c>
      <c r="C1129" t="s">
        <v>82</v>
      </c>
      <c r="D1129" t="s">
        <v>21</v>
      </c>
      <c r="E1129" t="s">
        <v>22</v>
      </c>
      <c r="F1129" t="s">
        <v>37</v>
      </c>
      <c r="G1129" t="s">
        <v>31</v>
      </c>
      <c r="H1129" t="s">
        <v>25</v>
      </c>
      <c r="I1129">
        <v>1</v>
      </c>
      <c r="J1129" s="3">
        <v>44044</v>
      </c>
      <c r="K1129" s="4">
        <v>0</v>
      </c>
      <c r="L1129" s="3">
        <v>44044</v>
      </c>
      <c r="M1129" s="3">
        <v>0</v>
      </c>
      <c r="N1129" s="3">
        <v>44044</v>
      </c>
      <c r="O1129" s="3">
        <v>24385.360000000001</v>
      </c>
      <c r="P1129" s="3">
        <v>19658.64</v>
      </c>
      <c r="Q1129" t="s">
        <v>364</v>
      </c>
      <c r="R1129">
        <v>2026</v>
      </c>
      <c r="S1129">
        <v>10</v>
      </c>
    </row>
    <row r="1130" spans="1:19" x14ac:dyDescent="0.3">
      <c r="A1130" t="s">
        <v>1189</v>
      </c>
      <c r="B1130" s="2">
        <v>46323</v>
      </c>
      <c r="C1130" t="s">
        <v>46</v>
      </c>
      <c r="D1130" t="s">
        <v>21</v>
      </c>
      <c r="E1130" t="s">
        <v>42</v>
      </c>
      <c r="F1130" t="s">
        <v>40</v>
      </c>
      <c r="G1130" t="s">
        <v>24</v>
      </c>
      <c r="H1130" t="s">
        <v>25</v>
      </c>
      <c r="I1130">
        <v>1</v>
      </c>
      <c r="J1130" s="3">
        <v>11624</v>
      </c>
      <c r="K1130" s="4">
        <v>0</v>
      </c>
      <c r="L1130" s="3">
        <v>11624</v>
      </c>
      <c r="M1130" s="3">
        <v>0</v>
      </c>
      <c r="N1130" s="3">
        <v>11624</v>
      </c>
      <c r="O1130" s="3">
        <v>5627.13</v>
      </c>
      <c r="P1130" s="3">
        <v>5996.87</v>
      </c>
      <c r="Q1130" t="s">
        <v>364</v>
      </c>
      <c r="R1130">
        <v>2026</v>
      </c>
      <c r="S1130">
        <v>10</v>
      </c>
    </row>
    <row r="1131" spans="1:19" x14ac:dyDescent="0.3">
      <c r="A1131" t="s">
        <v>1190</v>
      </c>
      <c r="B1131" s="2">
        <v>46323</v>
      </c>
      <c r="C1131" t="s">
        <v>50</v>
      </c>
      <c r="D1131" t="s">
        <v>34</v>
      </c>
      <c r="E1131" t="s">
        <v>56</v>
      </c>
      <c r="F1131" t="s">
        <v>23</v>
      </c>
      <c r="G1131" t="s">
        <v>31</v>
      </c>
      <c r="H1131" t="s">
        <v>25</v>
      </c>
      <c r="I1131">
        <v>3</v>
      </c>
      <c r="J1131" s="3">
        <v>17166</v>
      </c>
      <c r="K1131" s="4">
        <v>0</v>
      </c>
      <c r="L1131" s="3">
        <v>51498</v>
      </c>
      <c r="M1131" s="3">
        <v>0</v>
      </c>
      <c r="N1131" s="3">
        <v>51498</v>
      </c>
      <c r="O1131" s="3">
        <v>31187.5</v>
      </c>
      <c r="P1131" s="3">
        <v>20310.5</v>
      </c>
      <c r="Q1131" t="s">
        <v>364</v>
      </c>
      <c r="R1131">
        <v>2026</v>
      </c>
      <c r="S1131">
        <v>10</v>
      </c>
    </row>
    <row r="1132" spans="1:19" x14ac:dyDescent="0.3">
      <c r="A1132" t="s">
        <v>1191</v>
      </c>
      <c r="B1132" s="2">
        <v>46324</v>
      </c>
      <c r="C1132" t="s">
        <v>82</v>
      </c>
      <c r="D1132" t="s">
        <v>21</v>
      </c>
      <c r="E1132" t="s">
        <v>42</v>
      </c>
      <c r="F1132" t="s">
        <v>37</v>
      </c>
      <c r="G1132" t="s">
        <v>24</v>
      </c>
      <c r="H1132" t="s">
        <v>25</v>
      </c>
      <c r="I1132">
        <v>1</v>
      </c>
      <c r="J1132" s="3">
        <v>43735</v>
      </c>
      <c r="K1132" s="4">
        <v>0</v>
      </c>
      <c r="L1132" s="3">
        <v>43735</v>
      </c>
      <c r="M1132" s="3">
        <v>0</v>
      </c>
      <c r="N1132" s="3">
        <v>43735</v>
      </c>
      <c r="O1132" s="3">
        <v>28197.23</v>
      </c>
      <c r="P1132" s="3">
        <v>15537.77</v>
      </c>
      <c r="Q1132" t="s">
        <v>364</v>
      </c>
      <c r="R1132">
        <v>2026</v>
      </c>
      <c r="S1132">
        <v>10</v>
      </c>
    </row>
    <row r="1133" spans="1:19" x14ac:dyDescent="0.3">
      <c r="A1133" t="s">
        <v>1192</v>
      </c>
      <c r="B1133" s="2">
        <v>46327</v>
      </c>
      <c r="C1133" t="s">
        <v>46</v>
      </c>
      <c r="D1133" t="s">
        <v>21</v>
      </c>
      <c r="E1133" t="s">
        <v>44</v>
      </c>
      <c r="F1133" t="s">
        <v>40</v>
      </c>
      <c r="G1133" t="s">
        <v>31</v>
      </c>
      <c r="H1133" t="s">
        <v>388</v>
      </c>
      <c r="I1133">
        <v>1</v>
      </c>
      <c r="J1133" s="3">
        <v>12518</v>
      </c>
      <c r="K1133" s="4">
        <v>5</v>
      </c>
      <c r="L1133" s="3">
        <v>12518</v>
      </c>
      <c r="M1133" s="3">
        <v>625.9</v>
      </c>
      <c r="N1133" s="3">
        <v>11892.1</v>
      </c>
      <c r="O1133" s="3">
        <v>8483.42</v>
      </c>
      <c r="P1133" s="3">
        <v>3408.68</v>
      </c>
      <c r="Q1133" t="s">
        <v>389</v>
      </c>
      <c r="R1133">
        <v>2026</v>
      </c>
      <c r="S1133">
        <v>11</v>
      </c>
    </row>
    <row r="1134" spans="1:19" x14ac:dyDescent="0.3">
      <c r="A1134" t="s">
        <v>1193</v>
      </c>
      <c r="B1134" s="2">
        <v>46330</v>
      </c>
      <c r="C1134" t="s">
        <v>71</v>
      </c>
      <c r="D1134" t="s">
        <v>34</v>
      </c>
      <c r="E1134" t="s">
        <v>22</v>
      </c>
      <c r="F1134" t="s">
        <v>40</v>
      </c>
      <c r="G1134" t="s">
        <v>31</v>
      </c>
      <c r="H1134" t="s">
        <v>388</v>
      </c>
      <c r="I1134">
        <v>1</v>
      </c>
      <c r="J1134" s="3">
        <v>53506</v>
      </c>
      <c r="K1134" s="4">
        <v>15</v>
      </c>
      <c r="L1134" s="3">
        <v>53506</v>
      </c>
      <c r="M1134" s="3">
        <v>8025.9</v>
      </c>
      <c r="N1134" s="3">
        <v>45480.1</v>
      </c>
      <c r="O1134" s="3">
        <v>33880.69</v>
      </c>
      <c r="P1134" s="3">
        <v>11599.41</v>
      </c>
      <c r="Q1134" t="s">
        <v>389</v>
      </c>
      <c r="R1134">
        <v>2026</v>
      </c>
      <c r="S1134">
        <v>11</v>
      </c>
    </row>
    <row r="1135" spans="1:19" x14ac:dyDescent="0.3">
      <c r="A1135" t="s">
        <v>1194</v>
      </c>
      <c r="B1135" s="2">
        <v>46330</v>
      </c>
      <c r="C1135" t="s">
        <v>82</v>
      </c>
      <c r="D1135" t="s">
        <v>21</v>
      </c>
      <c r="E1135" t="s">
        <v>42</v>
      </c>
      <c r="F1135" t="s">
        <v>23</v>
      </c>
      <c r="G1135" t="s">
        <v>24</v>
      </c>
      <c r="H1135" t="s">
        <v>388</v>
      </c>
      <c r="I1135">
        <v>2</v>
      </c>
      <c r="J1135" s="3">
        <v>41832</v>
      </c>
      <c r="K1135" s="4">
        <v>10</v>
      </c>
      <c r="L1135" s="3">
        <v>83664</v>
      </c>
      <c r="M1135" s="3">
        <v>8366.4</v>
      </c>
      <c r="N1135" s="3">
        <v>75297.600000000006</v>
      </c>
      <c r="O1135" s="3">
        <v>42563.02</v>
      </c>
      <c r="P1135" s="3">
        <v>32734.58</v>
      </c>
      <c r="Q1135" t="s">
        <v>389</v>
      </c>
      <c r="R1135">
        <v>2026</v>
      </c>
      <c r="S1135">
        <v>11</v>
      </c>
    </row>
    <row r="1136" spans="1:19" x14ac:dyDescent="0.3">
      <c r="A1136" t="s">
        <v>1195</v>
      </c>
      <c r="B1136" s="2">
        <v>46330</v>
      </c>
      <c r="C1136" t="s">
        <v>46</v>
      </c>
      <c r="D1136" t="s">
        <v>21</v>
      </c>
      <c r="E1136" t="s">
        <v>42</v>
      </c>
      <c r="F1136" t="s">
        <v>40</v>
      </c>
      <c r="G1136" t="s">
        <v>31</v>
      </c>
      <c r="H1136" t="s">
        <v>388</v>
      </c>
      <c r="I1136">
        <v>3</v>
      </c>
      <c r="J1136" s="3">
        <v>12216</v>
      </c>
      <c r="K1136" s="4">
        <v>10</v>
      </c>
      <c r="L1136" s="3">
        <v>36648</v>
      </c>
      <c r="M1136" s="3">
        <v>3664.8</v>
      </c>
      <c r="N1136" s="3">
        <v>32983.199999999997</v>
      </c>
      <c r="O1136" s="3">
        <v>21604.85</v>
      </c>
      <c r="P1136" s="3">
        <v>11378.35</v>
      </c>
      <c r="Q1136" t="s">
        <v>389</v>
      </c>
      <c r="R1136">
        <v>2026</v>
      </c>
      <c r="S1136">
        <v>11</v>
      </c>
    </row>
    <row r="1137" spans="1:19" x14ac:dyDescent="0.3">
      <c r="A1137" t="s">
        <v>1196</v>
      </c>
      <c r="B1137" s="2">
        <v>46331</v>
      </c>
      <c r="C1137" t="s">
        <v>33</v>
      </c>
      <c r="D1137" t="s">
        <v>34</v>
      </c>
      <c r="E1137" t="s">
        <v>22</v>
      </c>
      <c r="F1137" t="s">
        <v>35</v>
      </c>
      <c r="G1137" t="s">
        <v>24</v>
      </c>
      <c r="H1137" t="s">
        <v>25</v>
      </c>
      <c r="I1137">
        <v>4</v>
      </c>
      <c r="J1137" s="3">
        <v>38767</v>
      </c>
      <c r="K1137" s="4">
        <v>0</v>
      </c>
      <c r="L1137" s="3">
        <v>155068</v>
      </c>
      <c r="M1137" s="3">
        <v>0</v>
      </c>
      <c r="N1137" s="3">
        <v>155068</v>
      </c>
      <c r="O1137" s="3">
        <v>80895.86</v>
      </c>
      <c r="P1137" s="3">
        <v>74172.14</v>
      </c>
      <c r="Q1137" t="s">
        <v>389</v>
      </c>
      <c r="R1137">
        <v>2026</v>
      </c>
      <c r="S1137">
        <v>11</v>
      </c>
    </row>
    <row r="1138" spans="1:19" x14ac:dyDescent="0.3">
      <c r="A1138" t="s">
        <v>1197</v>
      </c>
      <c r="B1138" s="2">
        <v>46331</v>
      </c>
      <c r="C1138" t="s">
        <v>82</v>
      </c>
      <c r="D1138" t="s">
        <v>21</v>
      </c>
      <c r="E1138" t="s">
        <v>44</v>
      </c>
      <c r="F1138" t="s">
        <v>37</v>
      </c>
      <c r="G1138" t="s">
        <v>31</v>
      </c>
      <c r="H1138" t="s">
        <v>388</v>
      </c>
      <c r="I1138">
        <v>3</v>
      </c>
      <c r="J1138" s="3">
        <v>42461</v>
      </c>
      <c r="K1138" s="4">
        <v>5</v>
      </c>
      <c r="L1138" s="3">
        <v>127383</v>
      </c>
      <c r="M1138" s="3">
        <v>6369.15</v>
      </c>
      <c r="N1138" s="3">
        <v>121013.85</v>
      </c>
      <c r="O1138" s="3">
        <v>83884.27</v>
      </c>
      <c r="P1138" s="3">
        <v>37129.58</v>
      </c>
      <c r="Q1138" t="s">
        <v>389</v>
      </c>
      <c r="R1138">
        <v>2026</v>
      </c>
      <c r="S1138">
        <v>11</v>
      </c>
    </row>
    <row r="1139" spans="1:19" x14ac:dyDescent="0.3">
      <c r="A1139" t="s">
        <v>1198</v>
      </c>
      <c r="B1139" s="2">
        <v>46332</v>
      </c>
      <c r="C1139" t="s">
        <v>64</v>
      </c>
      <c r="D1139" t="s">
        <v>29</v>
      </c>
      <c r="E1139" t="s">
        <v>22</v>
      </c>
      <c r="F1139" t="s">
        <v>30</v>
      </c>
      <c r="G1139" t="s">
        <v>31</v>
      </c>
      <c r="H1139" t="s">
        <v>388</v>
      </c>
      <c r="I1139">
        <v>1</v>
      </c>
      <c r="J1139" s="3">
        <v>28274</v>
      </c>
      <c r="K1139" s="4">
        <v>10</v>
      </c>
      <c r="L1139" s="3">
        <v>28274</v>
      </c>
      <c r="M1139" s="3">
        <v>2827.4</v>
      </c>
      <c r="N1139" s="3">
        <v>25446.6</v>
      </c>
      <c r="O1139" s="3">
        <v>17393.55</v>
      </c>
      <c r="P1139" s="3">
        <v>8053.05</v>
      </c>
      <c r="Q1139" t="s">
        <v>389</v>
      </c>
      <c r="R1139">
        <v>2026</v>
      </c>
      <c r="S1139">
        <v>11</v>
      </c>
    </row>
    <row r="1140" spans="1:19" x14ac:dyDescent="0.3">
      <c r="A1140" t="s">
        <v>1199</v>
      </c>
      <c r="B1140" s="2">
        <v>46332</v>
      </c>
      <c r="C1140" t="s">
        <v>20</v>
      </c>
      <c r="D1140" t="s">
        <v>21</v>
      </c>
      <c r="E1140" t="s">
        <v>42</v>
      </c>
      <c r="F1140" t="s">
        <v>40</v>
      </c>
      <c r="G1140" t="s">
        <v>31</v>
      </c>
      <c r="H1140" t="s">
        <v>388</v>
      </c>
      <c r="I1140">
        <v>3</v>
      </c>
      <c r="J1140" s="3">
        <v>14240</v>
      </c>
      <c r="K1140" s="4">
        <v>10</v>
      </c>
      <c r="L1140" s="3">
        <v>42720</v>
      </c>
      <c r="M1140" s="3">
        <v>4272</v>
      </c>
      <c r="N1140" s="3">
        <v>38448</v>
      </c>
      <c r="O1140" s="3">
        <v>28147.21</v>
      </c>
      <c r="P1140" s="3">
        <v>10300.790000000001</v>
      </c>
      <c r="Q1140" t="s">
        <v>389</v>
      </c>
      <c r="R1140">
        <v>2026</v>
      </c>
      <c r="S1140">
        <v>11</v>
      </c>
    </row>
    <row r="1141" spans="1:19" x14ac:dyDescent="0.3">
      <c r="A1141" t="s">
        <v>1200</v>
      </c>
      <c r="B1141" s="2">
        <v>46332</v>
      </c>
      <c r="C1141" t="s">
        <v>75</v>
      </c>
      <c r="D1141" t="s">
        <v>34</v>
      </c>
      <c r="E1141" t="s">
        <v>22</v>
      </c>
      <c r="F1141" t="s">
        <v>37</v>
      </c>
      <c r="G1141" t="s">
        <v>31</v>
      </c>
      <c r="H1141" t="s">
        <v>388</v>
      </c>
      <c r="I1141">
        <v>1</v>
      </c>
      <c r="J1141" s="3">
        <v>35249</v>
      </c>
      <c r="K1141" s="4">
        <v>15</v>
      </c>
      <c r="L1141" s="3">
        <v>35249</v>
      </c>
      <c r="M1141" s="3">
        <v>5287.35</v>
      </c>
      <c r="N1141" s="3">
        <v>29961.65</v>
      </c>
      <c r="O1141" s="3">
        <v>17426.23</v>
      </c>
      <c r="P1141" s="3">
        <v>12535.42</v>
      </c>
      <c r="Q1141" t="s">
        <v>389</v>
      </c>
      <c r="R1141">
        <v>2026</v>
      </c>
      <c r="S1141">
        <v>11</v>
      </c>
    </row>
    <row r="1142" spans="1:19" x14ac:dyDescent="0.3">
      <c r="A1142" t="s">
        <v>1201</v>
      </c>
      <c r="B1142" s="2">
        <v>46334</v>
      </c>
      <c r="C1142" t="s">
        <v>33</v>
      </c>
      <c r="D1142" t="s">
        <v>34</v>
      </c>
      <c r="E1142" t="s">
        <v>22</v>
      </c>
      <c r="F1142" t="s">
        <v>40</v>
      </c>
      <c r="G1142" t="s">
        <v>31</v>
      </c>
      <c r="H1142" t="s">
        <v>388</v>
      </c>
      <c r="I1142">
        <v>1</v>
      </c>
      <c r="J1142" s="3">
        <v>43532</v>
      </c>
      <c r="K1142" s="4">
        <v>5</v>
      </c>
      <c r="L1142" s="3">
        <v>43532</v>
      </c>
      <c r="M1142" s="3">
        <v>2176.6</v>
      </c>
      <c r="N1142" s="3">
        <v>41355.4</v>
      </c>
      <c r="O1142" s="3">
        <v>23137.07</v>
      </c>
      <c r="P1142" s="3">
        <v>18218.330000000002</v>
      </c>
      <c r="Q1142" t="s">
        <v>389</v>
      </c>
      <c r="R1142">
        <v>2026</v>
      </c>
      <c r="S1142">
        <v>11</v>
      </c>
    </row>
    <row r="1143" spans="1:19" x14ac:dyDescent="0.3">
      <c r="A1143" t="s">
        <v>1202</v>
      </c>
      <c r="B1143" s="2">
        <v>46334</v>
      </c>
      <c r="C1143" t="s">
        <v>46</v>
      </c>
      <c r="D1143" t="s">
        <v>21</v>
      </c>
      <c r="E1143" t="s">
        <v>44</v>
      </c>
      <c r="F1143" t="s">
        <v>35</v>
      </c>
      <c r="G1143" t="s">
        <v>31</v>
      </c>
      <c r="H1143" t="s">
        <v>388</v>
      </c>
      <c r="I1143">
        <v>2</v>
      </c>
      <c r="J1143" s="3">
        <v>12655</v>
      </c>
      <c r="K1143" s="4">
        <v>20</v>
      </c>
      <c r="L1143" s="3">
        <v>25310</v>
      </c>
      <c r="M1143" s="3">
        <v>5062</v>
      </c>
      <c r="N1143" s="3">
        <v>20248</v>
      </c>
      <c r="O1143" s="3">
        <v>13877.51</v>
      </c>
      <c r="P1143" s="3">
        <v>6370.49</v>
      </c>
      <c r="Q1143" t="s">
        <v>389</v>
      </c>
      <c r="R1143">
        <v>2026</v>
      </c>
      <c r="S1143">
        <v>11</v>
      </c>
    </row>
    <row r="1144" spans="1:19" x14ac:dyDescent="0.3">
      <c r="A1144" t="s">
        <v>1203</v>
      </c>
      <c r="B1144" s="2">
        <v>46335</v>
      </c>
      <c r="C1144" t="s">
        <v>64</v>
      </c>
      <c r="D1144" t="s">
        <v>29</v>
      </c>
      <c r="E1144" t="s">
        <v>22</v>
      </c>
      <c r="F1144" t="s">
        <v>37</v>
      </c>
      <c r="G1144" t="s">
        <v>31</v>
      </c>
      <c r="H1144" t="s">
        <v>388</v>
      </c>
      <c r="I1144">
        <v>4</v>
      </c>
      <c r="J1144" s="3">
        <v>32342</v>
      </c>
      <c r="K1144" s="4">
        <v>5</v>
      </c>
      <c r="L1144" s="3">
        <v>129368</v>
      </c>
      <c r="M1144" s="3">
        <v>6468.4</v>
      </c>
      <c r="N1144" s="3">
        <v>122899.6</v>
      </c>
      <c r="O1144" s="3">
        <v>79720.12</v>
      </c>
      <c r="P1144" s="3">
        <v>43179.48</v>
      </c>
      <c r="Q1144" t="s">
        <v>389</v>
      </c>
      <c r="R1144">
        <v>2026</v>
      </c>
      <c r="S1144">
        <v>11</v>
      </c>
    </row>
    <row r="1145" spans="1:19" x14ac:dyDescent="0.3">
      <c r="A1145" t="s">
        <v>1204</v>
      </c>
      <c r="B1145" s="2">
        <v>46336</v>
      </c>
      <c r="C1145" t="s">
        <v>64</v>
      </c>
      <c r="D1145" t="s">
        <v>29</v>
      </c>
      <c r="E1145" t="s">
        <v>42</v>
      </c>
      <c r="F1145" t="s">
        <v>30</v>
      </c>
      <c r="G1145" t="s">
        <v>24</v>
      </c>
      <c r="H1145" t="s">
        <v>388</v>
      </c>
      <c r="I1145">
        <v>4</v>
      </c>
      <c r="J1145" s="3">
        <v>31535</v>
      </c>
      <c r="K1145" s="4">
        <v>5</v>
      </c>
      <c r="L1145" s="3">
        <v>126140</v>
      </c>
      <c r="M1145" s="3">
        <v>6307</v>
      </c>
      <c r="N1145" s="3">
        <v>119833</v>
      </c>
      <c r="O1145" s="3">
        <v>83471.92</v>
      </c>
      <c r="P1145" s="3">
        <v>36361.08</v>
      </c>
      <c r="Q1145" t="s">
        <v>389</v>
      </c>
      <c r="R1145">
        <v>2026</v>
      </c>
      <c r="S1145">
        <v>11</v>
      </c>
    </row>
    <row r="1146" spans="1:19" x14ac:dyDescent="0.3">
      <c r="A1146" t="s">
        <v>1205</v>
      </c>
      <c r="B1146" s="2">
        <v>46337</v>
      </c>
      <c r="C1146" t="s">
        <v>50</v>
      </c>
      <c r="D1146" t="s">
        <v>34</v>
      </c>
      <c r="E1146" t="s">
        <v>56</v>
      </c>
      <c r="F1146" t="s">
        <v>23</v>
      </c>
      <c r="G1146" t="s">
        <v>24</v>
      </c>
      <c r="H1146" t="s">
        <v>388</v>
      </c>
      <c r="I1146">
        <v>2</v>
      </c>
      <c r="J1146" s="3">
        <v>16901</v>
      </c>
      <c r="K1146" s="4">
        <v>10</v>
      </c>
      <c r="L1146" s="3">
        <v>33802</v>
      </c>
      <c r="M1146" s="3">
        <v>3380.2</v>
      </c>
      <c r="N1146" s="3">
        <v>30421.8</v>
      </c>
      <c r="O1146" s="3">
        <v>18327.46</v>
      </c>
      <c r="P1146" s="3">
        <v>12094.34</v>
      </c>
      <c r="Q1146" t="s">
        <v>389</v>
      </c>
      <c r="R1146">
        <v>2026</v>
      </c>
      <c r="S1146">
        <v>11</v>
      </c>
    </row>
    <row r="1147" spans="1:19" x14ac:dyDescent="0.3">
      <c r="A1147" t="s">
        <v>1206</v>
      </c>
      <c r="B1147" s="2">
        <v>46338</v>
      </c>
      <c r="C1147" t="s">
        <v>28</v>
      </c>
      <c r="D1147" t="s">
        <v>29</v>
      </c>
      <c r="E1147" t="s">
        <v>22</v>
      </c>
      <c r="F1147" t="s">
        <v>30</v>
      </c>
      <c r="G1147" t="s">
        <v>31</v>
      </c>
      <c r="H1147" t="s">
        <v>388</v>
      </c>
      <c r="I1147">
        <v>3</v>
      </c>
      <c r="J1147" s="3">
        <v>63168</v>
      </c>
      <c r="K1147" s="4">
        <v>10</v>
      </c>
      <c r="L1147" s="3">
        <v>189504</v>
      </c>
      <c r="M1147" s="3">
        <v>18950.400000000001</v>
      </c>
      <c r="N1147" s="3">
        <v>170553.60000000001</v>
      </c>
      <c r="O1147" s="3">
        <v>124601.27</v>
      </c>
      <c r="P1147" s="3">
        <v>45952.33</v>
      </c>
      <c r="Q1147" t="s">
        <v>389</v>
      </c>
      <c r="R1147">
        <v>2026</v>
      </c>
      <c r="S1147">
        <v>11</v>
      </c>
    </row>
    <row r="1148" spans="1:19" x14ac:dyDescent="0.3">
      <c r="A1148" t="s">
        <v>1207</v>
      </c>
      <c r="B1148" s="2">
        <v>46338</v>
      </c>
      <c r="C1148" t="s">
        <v>50</v>
      </c>
      <c r="D1148" t="s">
        <v>34</v>
      </c>
      <c r="E1148" t="s">
        <v>44</v>
      </c>
      <c r="F1148" t="s">
        <v>37</v>
      </c>
      <c r="G1148" t="s">
        <v>24</v>
      </c>
      <c r="H1148" t="s">
        <v>388</v>
      </c>
      <c r="I1148">
        <v>1</v>
      </c>
      <c r="J1148" s="3">
        <v>18178</v>
      </c>
      <c r="K1148" s="4">
        <v>5</v>
      </c>
      <c r="L1148" s="3">
        <v>18178</v>
      </c>
      <c r="M1148" s="3">
        <v>908.9</v>
      </c>
      <c r="N1148" s="3">
        <v>17269.099999999999</v>
      </c>
      <c r="O1148" s="3">
        <v>9032.18</v>
      </c>
      <c r="P1148" s="3">
        <v>8236.92</v>
      </c>
      <c r="Q1148" t="s">
        <v>389</v>
      </c>
      <c r="R1148">
        <v>2026</v>
      </c>
      <c r="S1148">
        <v>11</v>
      </c>
    </row>
    <row r="1149" spans="1:19" x14ac:dyDescent="0.3">
      <c r="A1149" t="s">
        <v>1208</v>
      </c>
      <c r="B1149" s="2">
        <v>46340</v>
      </c>
      <c r="C1149" t="s">
        <v>71</v>
      </c>
      <c r="D1149" t="s">
        <v>34</v>
      </c>
      <c r="E1149" t="s">
        <v>44</v>
      </c>
      <c r="F1149" t="s">
        <v>30</v>
      </c>
      <c r="G1149" t="s">
        <v>31</v>
      </c>
      <c r="H1149" t="s">
        <v>388</v>
      </c>
      <c r="I1149">
        <v>4</v>
      </c>
      <c r="J1149" s="3">
        <v>52636</v>
      </c>
      <c r="K1149" s="4">
        <v>10</v>
      </c>
      <c r="L1149" s="3">
        <v>210544</v>
      </c>
      <c r="M1149" s="3">
        <v>21054.400000000001</v>
      </c>
      <c r="N1149" s="3">
        <v>189489.6</v>
      </c>
      <c r="O1149" s="3">
        <v>140449.46</v>
      </c>
      <c r="P1149" s="3">
        <v>49040.14</v>
      </c>
      <c r="Q1149" t="s">
        <v>389</v>
      </c>
      <c r="R1149">
        <v>2026</v>
      </c>
      <c r="S1149">
        <v>11</v>
      </c>
    </row>
    <row r="1150" spans="1:19" x14ac:dyDescent="0.3">
      <c r="A1150" t="s">
        <v>1209</v>
      </c>
      <c r="B1150" s="2">
        <v>46341</v>
      </c>
      <c r="C1150" t="s">
        <v>48</v>
      </c>
      <c r="D1150" t="s">
        <v>34</v>
      </c>
      <c r="E1150" t="s">
        <v>44</v>
      </c>
      <c r="F1150" t="s">
        <v>40</v>
      </c>
      <c r="G1150" t="s">
        <v>31</v>
      </c>
      <c r="H1150" t="s">
        <v>25</v>
      </c>
      <c r="I1150">
        <v>1</v>
      </c>
      <c r="J1150" s="3">
        <v>23982</v>
      </c>
      <c r="K1150" s="4">
        <v>0</v>
      </c>
      <c r="L1150" s="3">
        <v>23982</v>
      </c>
      <c r="M1150" s="3">
        <v>0</v>
      </c>
      <c r="N1150" s="3">
        <v>23982</v>
      </c>
      <c r="O1150" s="3">
        <v>15321.54</v>
      </c>
      <c r="P1150" s="3">
        <v>8660.4599999999991</v>
      </c>
      <c r="Q1150" t="s">
        <v>389</v>
      </c>
      <c r="R1150">
        <v>2026</v>
      </c>
      <c r="S1150">
        <v>11</v>
      </c>
    </row>
    <row r="1151" spans="1:19" x14ac:dyDescent="0.3">
      <c r="A1151" t="s">
        <v>1210</v>
      </c>
      <c r="B1151" s="2">
        <v>46341</v>
      </c>
      <c r="C1151" t="s">
        <v>46</v>
      </c>
      <c r="D1151" t="s">
        <v>21</v>
      </c>
      <c r="E1151" t="s">
        <v>42</v>
      </c>
      <c r="F1151" t="s">
        <v>40</v>
      </c>
      <c r="G1151" t="s">
        <v>24</v>
      </c>
      <c r="H1151" t="s">
        <v>388</v>
      </c>
      <c r="I1151">
        <v>2</v>
      </c>
      <c r="J1151" s="3">
        <v>11584</v>
      </c>
      <c r="K1151" s="4">
        <v>10</v>
      </c>
      <c r="L1151" s="3">
        <v>23168</v>
      </c>
      <c r="M1151" s="3">
        <v>2316.8000000000002</v>
      </c>
      <c r="N1151" s="3">
        <v>20851.2</v>
      </c>
      <c r="O1151" s="3">
        <v>15024.28</v>
      </c>
      <c r="P1151" s="3">
        <v>5826.92</v>
      </c>
      <c r="Q1151" t="s">
        <v>389</v>
      </c>
      <c r="R1151">
        <v>2026</v>
      </c>
      <c r="S1151">
        <v>11</v>
      </c>
    </row>
    <row r="1152" spans="1:19" x14ac:dyDescent="0.3">
      <c r="A1152" t="s">
        <v>1211</v>
      </c>
      <c r="B1152" s="2">
        <v>46343</v>
      </c>
      <c r="C1152" t="s">
        <v>46</v>
      </c>
      <c r="D1152" t="s">
        <v>21</v>
      </c>
      <c r="E1152" t="s">
        <v>44</v>
      </c>
      <c r="F1152" t="s">
        <v>35</v>
      </c>
      <c r="G1152" t="s">
        <v>31</v>
      </c>
      <c r="H1152" t="s">
        <v>388</v>
      </c>
      <c r="I1152">
        <v>3</v>
      </c>
      <c r="J1152" s="3">
        <v>11827</v>
      </c>
      <c r="K1152" s="4">
        <v>5</v>
      </c>
      <c r="L1152" s="3">
        <v>35481</v>
      </c>
      <c r="M1152" s="3">
        <v>1774.05</v>
      </c>
      <c r="N1152" s="3">
        <v>33706.949999999997</v>
      </c>
      <c r="O1152" s="3">
        <v>19754.64</v>
      </c>
      <c r="P1152" s="3">
        <v>13952.31</v>
      </c>
      <c r="Q1152" t="s">
        <v>389</v>
      </c>
      <c r="R1152">
        <v>2026</v>
      </c>
      <c r="S1152">
        <v>11</v>
      </c>
    </row>
    <row r="1153" spans="1:19" x14ac:dyDescent="0.3">
      <c r="A1153" t="s">
        <v>1212</v>
      </c>
      <c r="B1153" s="2">
        <v>46343</v>
      </c>
      <c r="C1153" t="s">
        <v>20</v>
      </c>
      <c r="D1153" t="s">
        <v>21</v>
      </c>
      <c r="E1153" t="s">
        <v>44</v>
      </c>
      <c r="F1153" t="s">
        <v>35</v>
      </c>
      <c r="G1153" t="s">
        <v>31</v>
      </c>
      <c r="H1153" t="s">
        <v>388</v>
      </c>
      <c r="I1153">
        <v>1</v>
      </c>
      <c r="J1153" s="3">
        <v>15984</v>
      </c>
      <c r="K1153" s="4">
        <v>10</v>
      </c>
      <c r="L1153" s="3">
        <v>15984</v>
      </c>
      <c r="M1153" s="3">
        <v>1598.4</v>
      </c>
      <c r="N1153" s="3">
        <v>14385.6</v>
      </c>
      <c r="O1153" s="3">
        <v>8362.99</v>
      </c>
      <c r="P1153" s="3">
        <v>6022.61</v>
      </c>
      <c r="Q1153" t="s">
        <v>389</v>
      </c>
      <c r="R1153">
        <v>2026</v>
      </c>
      <c r="S1153">
        <v>11</v>
      </c>
    </row>
    <row r="1154" spans="1:19" x14ac:dyDescent="0.3">
      <c r="A1154" t="s">
        <v>1213</v>
      </c>
      <c r="B1154" s="2">
        <v>46344</v>
      </c>
      <c r="C1154" t="s">
        <v>48</v>
      </c>
      <c r="D1154" t="s">
        <v>34</v>
      </c>
      <c r="E1154" t="s">
        <v>56</v>
      </c>
      <c r="F1154" t="s">
        <v>30</v>
      </c>
      <c r="G1154" t="s">
        <v>31</v>
      </c>
      <c r="H1154" t="s">
        <v>388</v>
      </c>
      <c r="I1154">
        <v>5</v>
      </c>
      <c r="J1154" s="3">
        <v>24879</v>
      </c>
      <c r="K1154" s="4">
        <v>15</v>
      </c>
      <c r="L1154" s="3">
        <v>124395</v>
      </c>
      <c r="M1154" s="3">
        <v>18659.25</v>
      </c>
      <c r="N1154" s="3">
        <v>105735.75</v>
      </c>
      <c r="O1154" s="3">
        <v>80687.02</v>
      </c>
      <c r="P1154" s="3">
        <v>25048.73</v>
      </c>
      <c r="Q1154" t="s">
        <v>389</v>
      </c>
      <c r="R1154">
        <v>2026</v>
      </c>
      <c r="S1154">
        <v>11</v>
      </c>
    </row>
    <row r="1155" spans="1:19" x14ac:dyDescent="0.3">
      <c r="A1155" t="s">
        <v>1214</v>
      </c>
      <c r="B1155" s="2">
        <v>46348</v>
      </c>
      <c r="C1155" t="s">
        <v>28</v>
      </c>
      <c r="D1155" t="s">
        <v>29</v>
      </c>
      <c r="E1155" t="s">
        <v>22</v>
      </c>
      <c r="F1155" t="s">
        <v>23</v>
      </c>
      <c r="G1155" t="s">
        <v>24</v>
      </c>
      <c r="H1155" t="s">
        <v>388</v>
      </c>
      <c r="I1155">
        <v>3</v>
      </c>
      <c r="J1155" s="3">
        <v>69415</v>
      </c>
      <c r="K1155" s="4">
        <v>5</v>
      </c>
      <c r="L1155" s="3">
        <v>208245</v>
      </c>
      <c r="M1155" s="3">
        <v>10412.25</v>
      </c>
      <c r="N1155" s="3">
        <v>197832.75</v>
      </c>
      <c r="O1155" s="3">
        <v>123005.33</v>
      </c>
      <c r="P1155" s="3">
        <v>74827.42</v>
      </c>
      <c r="Q1155" t="s">
        <v>389</v>
      </c>
      <c r="R1155">
        <v>2026</v>
      </c>
      <c r="S1155">
        <v>11</v>
      </c>
    </row>
    <row r="1156" spans="1:19" x14ac:dyDescent="0.3">
      <c r="A1156" t="s">
        <v>1215</v>
      </c>
      <c r="B1156" s="2">
        <v>46348</v>
      </c>
      <c r="C1156" t="s">
        <v>20</v>
      </c>
      <c r="D1156" t="s">
        <v>21</v>
      </c>
      <c r="E1156" t="s">
        <v>44</v>
      </c>
      <c r="F1156" t="s">
        <v>40</v>
      </c>
      <c r="G1156" t="s">
        <v>31</v>
      </c>
      <c r="H1156" t="s">
        <v>25</v>
      </c>
      <c r="I1156">
        <v>1</v>
      </c>
      <c r="J1156" s="3">
        <v>15847</v>
      </c>
      <c r="K1156" s="4">
        <v>0</v>
      </c>
      <c r="L1156" s="3">
        <v>15847</v>
      </c>
      <c r="M1156" s="3">
        <v>0</v>
      </c>
      <c r="N1156" s="3">
        <v>15847</v>
      </c>
      <c r="O1156" s="3">
        <v>9570.64</v>
      </c>
      <c r="P1156" s="3">
        <v>6276.36</v>
      </c>
      <c r="Q1156" t="s">
        <v>389</v>
      </c>
      <c r="R1156">
        <v>2026</v>
      </c>
      <c r="S1156">
        <v>11</v>
      </c>
    </row>
    <row r="1157" spans="1:19" x14ac:dyDescent="0.3">
      <c r="A1157" t="s">
        <v>1216</v>
      </c>
      <c r="B1157" s="2">
        <v>46351</v>
      </c>
      <c r="C1157" t="s">
        <v>46</v>
      </c>
      <c r="D1157" t="s">
        <v>21</v>
      </c>
      <c r="E1157" t="s">
        <v>42</v>
      </c>
      <c r="F1157" t="s">
        <v>40</v>
      </c>
      <c r="G1157" t="s">
        <v>24</v>
      </c>
      <c r="H1157" t="s">
        <v>25</v>
      </c>
      <c r="I1157">
        <v>1</v>
      </c>
      <c r="J1157" s="3">
        <v>11904</v>
      </c>
      <c r="K1157" s="4">
        <v>0</v>
      </c>
      <c r="L1157" s="3">
        <v>11904</v>
      </c>
      <c r="M1157" s="3">
        <v>0</v>
      </c>
      <c r="N1157" s="3">
        <v>11904</v>
      </c>
      <c r="O1157" s="3">
        <v>7196.01</v>
      </c>
      <c r="P1157" s="3">
        <v>4707.99</v>
      </c>
      <c r="Q1157" t="s">
        <v>389</v>
      </c>
      <c r="R1157">
        <v>2026</v>
      </c>
      <c r="S1157">
        <v>11</v>
      </c>
    </row>
    <row r="1158" spans="1:19" x14ac:dyDescent="0.3">
      <c r="A1158" t="s">
        <v>1217</v>
      </c>
      <c r="B1158" s="2">
        <v>46352</v>
      </c>
      <c r="C1158" t="s">
        <v>20</v>
      </c>
      <c r="D1158" t="s">
        <v>21</v>
      </c>
      <c r="E1158" t="s">
        <v>22</v>
      </c>
      <c r="F1158" t="s">
        <v>40</v>
      </c>
      <c r="G1158" t="s">
        <v>31</v>
      </c>
      <c r="H1158" t="s">
        <v>388</v>
      </c>
      <c r="I1158">
        <v>1</v>
      </c>
      <c r="J1158" s="3">
        <v>15201</v>
      </c>
      <c r="K1158" s="4">
        <v>15</v>
      </c>
      <c r="L1158" s="3">
        <v>15201</v>
      </c>
      <c r="M1158" s="3">
        <v>2280.15</v>
      </c>
      <c r="N1158" s="3">
        <v>12920.85</v>
      </c>
      <c r="O1158" s="3">
        <v>7425.45</v>
      </c>
      <c r="P1158" s="3">
        <v>5495.4</v>
      </c>
      <c r="Q1158" t="s">
        <v>389</v>
      </c>
      <c r="R1158">
        <v>2026</v>
      </c>
      <c r="S1158">
        <v>11</v>
      </c>
    </row>
    <row r="1159" spans="1:19" x14ac:dyDescent="0.3">
      <c r="A1159" t="s">
        <v>1218</v>
      </c>
      <c r="B1159" s="2">
        <v>46352</v>
      </c>
      <c r="C1159" t="s">
        <v>71</v>
      </c>
      <c r="D1159" t="s">
        <v>34</v>
      </c>
      <c r="E1159" t="s">
        <v>22</v>
      </c>
      <c r="F1159" t="s">
        <v>35</v>
      </c>
      <c r="G1159" t="s">
        <v>31</v>
      </c>
      <c r="H1159" t="s">
        <v>388</v>
      </c>
      <c r="I1159">
        <v>2</v>
      </c>
      <c r="J1159" s="3">
        <v>48984</v>
      </c>
      <c r="K1159" s="4">
        <v>15</v>
      </c>
      <c r="L1159" s="3">
        <v>97968</v>
      </c>
      <c r="M1159" s="3">
        <v>14695.2</v>
      </c>
      <c r="N1159" s="3">
        <v>83272.800000000003</v>
      </c>
      <c r="O1159" s="3">
        <v>50303.77</v>
      </c>
      <c r="P1159" s="3">
        <v>32969.03</v>
      </c>
      <c r="Q1159" t="s">
        <v>389</v>
      </c>
      <c r="R1159">
        <v>2026</v>
      </c>
      <c r="S1159">
        <v>11</v>
      </c>
    </row>
    <row r="1160" spans="1:19" x14ac:dyDescent="0.3">
      <c r="A1160" t="s">
        <v>1219</v>
      </c>
      <c r="B1160" s="2">
        <v>46354</v>
      </c>
      <c r="C1160" t="s">
        <v>50</v>
      </c>
      <c r="D1160" t="s">
        <v>34</v>
      </c>
      <c r="E1160" t="s">
        <v>22</v>
      </c>
      <c r="F1160" t="s">
        <v>40</v>
      </c>
      <c r="G1160" t="s">
        <v>31</v>
      </c>
      <c r="H1160" t="s">
        <v>25</v>
      </c>
      <c r="I1160">
        <v>1</v>
      </c>
      <c r="J1160" s="3">
        <v>17566</v>
      </c>
      <c r="K1160" s="4">
        <v>0</v>
      </c>
      <c r="L1160" s="3">
        <v>17566</v>
      </c>
      <c r="M1160" s="3">
        <v>0</v>
      </c>
      <c r="N1160" s="3">
        <v>17566</v>
      </c>
      <c r="O1160" s="3">
        <v>9810.92</v>
      </c>
      <c r="P1160" s="3">
        <v>7755.08</v>
      </c>
      <c r="Q1160" t="s">
        <v>389</v>
      </c>
      <c r="R1160">
        <v>2026</v>
      </c>
      <c r="S1160">
        <v>11</v>
      </c>
    </row>
    <row r="1161" spans="1:19" x14ac:dyDescent="0.3">
      <c r="A1161" t="s">
        <v>1220</v>
      </c>
      <c r="B1161" s="2">
        <v>46354</v>
      </c>
      <c r="C1161" t="s">
        <v>28</v>
      </c>
      <c r="D1161" t="s">
        <v>29</v>
      </c>
      <c r="E1161" t="s">
        <v>42</v>
      </c>
      <c r="F1161" t="s">
        <v>23</v>
      </c>
      <c r="G1161" t="s">
        <v>24</v>
      </c>
      <c r="H1161" t="s">
        <v>25</v>
      </c>
      <c r="I1161">
        <v>2</v>
      </c>
      <c r="J1161" s="3">
        <v>68117</v>
      </c>
      <c r="K1161" s="4">
        <v>0</v>
      </c>
      <c r="L1161" s="3">
        <v>136234</v>
      </c>
      <c r="M1161" s="3">
        <v>0</v>
      </c>
      <c r="N1161" s="3">
        <v>136234</v>
      </c>
      <c r="O1161" s="3">
        <v>72465.88</v>
      </c>
      <c r="P1161" s="3">
        <v>63768.12</v>
      </c>
      <c r="Q1161" t="s">
        <v>389</v>
      </c>
      <c r="R1161">
        <v>2026</v>
      </c>
      <c r="S1161">
        <v>11</v>
      </c>
    </row>
    <row r="1162" spans="1:19" x14ac:dyDescent="0.3">
      <c r="A1162" t="s">
        <v>1221</v>
      </c>
      <c r="B1162" s="2">
        <v>46354</v>
      </c>
      <c r="C1162" t="s">
        <v>48</v>
      </c>
      <c r="D1162" t="s">
        <v>34</v>
      </c>
      <c r="E1162" t="s">
        <v>42</v>
      </c>
      <c r="F1162" t="s">
        <v>40</v>
      </c>
      <c r="G1162" t="s">
        <v>31</v>
      </c>
      <c r="H1162" t="s">
        <v>25</v>
      </c>
      <c r="I1162">
        <v>4</v>
      </c>
      <c r="J1162" s="3">
        <v>26689</v>
      </c>
      <c r="K1162" s="4">
        <v>0</v>
      </c>
      <c r="L1162" s="3">
        <v>106756</v>
      </c>
      <c r="M1162" s="3">
        <v>0</v>
      </c>
      <c r="N1162" s="3">
        <v>106756</v>
      </c>
      <c r="O1162" s="3">
        <v>64283.57</v>
      </c>
      <c r="P1162" s="3">
        <v>42472.43</v>
      </c>
      <c r="Q1162" t="s">
        <v>389</v>
      </c>
      <c r="R1162">
        <v>2026</v>
      </c>
      <c r="S1162">
        <v>11</v>
      </c>
    </row>
    <row r="1163" spans="1:19" x14ac:dyDescent="0.3">
      <c r="A1163" t="s">
        <v>1222</v>
      </c>
      <c r="B1163" s="2">
        <v>46354</v>
      </c>
      <c r="C1163" t="s">
        <v>46</v>
      </c>
      <c r="D1163" t="s">
        <v>21</v>
      </c>
      <c r="E1163" t="s">
        <v>42</v>
      </c>
      <c r="F1163" t="s">
        <v>23</v>
      </c>
      <c r="G1163" t="s">
        <v>31</v>
      </c>
      <c r="H1163" t="s">
        <v>388</v>
      </c>
      <c r="I1163">
        <v>3</v>
      </c>
      <c r="J1163" s="3">
        <v>11588</v>
      </c>
      <c r="K1163" s="4">
        <v>5</v>
      </c>
      <c r="L1163" s="3">
        <v>34764</v>
      </c>
      <c r="M1163" s="3">
        <v>1738.2</v>
      </c>
      <c r="N1163" s="3">
        <v>33025.800000000003</v>
      </c>
      <c r="O1163" s="3">
        <v>22840.78</v>
      </c>
      <c r="P1163" s="3">
        <v>10185.02</v>
      </c>
      <c r="Q1163" t="s">
        <v>389</v>
      </c>
      <c r="R1163">
        <v>2026</v>
      </c>
      <c r="S1163">
        <v>11</v>
      </c>
    </row>
    <row r="1164" spans="1:19" x14ac:dyDescent="0.3">
      <c r="A1164" t="s">
        <v>1223</v>
      </c>
      <c r="B1164" s="2">
        <v>46354</v>
      </c>
      <c r="C1164" t="s">
        <v>28</v>
      </c>
      <c r="D1164" t="s">
        <v>29</v>
      </c>
      <c r="E1164" t="s">
        <v>56</v>
      </c>
      <c r="F1164" t="s">
        <v>37</v>
      </c>
      <c r="G1164" t="s">
        <v>31</v>
      </c>
      <c r="H1164" t="s">
        <v>388</v>
      </c>
      <c r="I1164">
        <v>1</v>
      </c>
      <c r="J1164" s="3">
        <v>68143</v>
      </c>
      <c r="K1164" s="4">
        <v>15</v>
      </c>
      <c r="L1164" s="3">
        <v>68143</v>
      </c>
      <c r="M1164" s="3">
        <v>10221.450000000001</v>
      </c>
      <c r="N1164" s="3">
        <v>57921.55</v>
      </c>
      <c r="O1164" s="3">
        <v>37429.089999999997</v>
      </c>
      <c r="P1164" s="3">
        <v>20492.46</v>
      </c>
      <c r="Q1164" t="s">
        <v>389</v>
      </c>
      <c r="R1164">
        <v>2026</v>
      </c>
      <c r="S1164">
        <v>11</v>
      </c>
    </row>
    <row r="1165" spans="1:19" x14ac:dyDescent="0.3">
      <c r="A1165" t="s">
        <v>1224</v>
      </c>
      <c r="B1165" s="2">
        <v>46354</v>
      </c>
      <c r="C1165" t="s">
        <v>48</v>
      </c>
      <c r="D1165" t="s">
        <v>34</v>
      </c>
      <c r="E1165" t="s">
        <v>22</v>
      </c>
      <c r="F1165" t="s">
        <v>37</v>
      </c>
      <c r="G1165" t="s">
        <v>24</v>
      </c>
      <c r="H1165" t="s">
        <v>388</v>
      </c>
      <c r="I1165">
        <v>3</v>
      </c>
      <c r="J1165" s="3">
        <v>23233</v>
      </c>
      <c r="K1165" s="4">
        <v>10</v>
      </c>
      <c r="L1165" s="3">
        <v>69699</v>
      </c>
      <c r="M1165" s="3">
        <v>6969.9</v>
      </c>
      <c r="N1165" s="3">
        <v>62729.1</v>
      </c>
      <c r="O1165" s="3">
        <v>40067.29</v>
      </c>
      <c r="P1165" s="3">
        <v>22661.81</v>
      </c>
      <c r="Q1165" t="s">
        <v>389</v>
      </c>
      <c r="R1165">
        <v>2026</v>
      </c>
      <c r="S1165">
        <v>11</v>
      </c>
    </row>
    <row r="1166" spans="1:19" x14ac:dyDescent="0.3">
      <c r="A1166" t="s">
        <v>1225</v>
      </c>
      <c r="B1166" s="2">
        <v>46355</v>
      </c>
      <c r="C1166" t="s">
        <v>71</v>
      </c>
      <c r="D1166" t="s">
        <v>34</v>
      </c>
      <c r="E1166" t="s">
        <v>56</v>
      </c>
      <c r="F1166" t="s">
        <v>30</v>
      </c>
      <c r="G1166" t="s">
        <v>31</v>
      </c>
      <c r="H1166" t="s">
        <v>388</v>
      </c>
      <c r="I1166">
        <v>3</v>
      </c>
      <c r="J1166" s="3">
        <v>48630</v>
      </c>
      <c r="K1166" s="4">
        <v>15</v>
      </c>
      <c r="L1166" s="3">
        <v>145890</v>
      </c>
      <c r="M1166" s="3">
        <v>21883.5</v>
      </c>
      <c r="N1166" s="3">
        <v>124006.5</v>
      </c>
      <c r="O1166" s="3">
        <v>95448.960000000006</v>
      </c>
      <c r="P1166" s="3">
        <v>28557.54</v>
      </c>
      <c r="Q1166" t="s">
        <v>389</v>
      </c>
      <c r="R1166">
        <v>2026</v>
      </c>
      <c r="S1166">
        <v>11</v>
      </c>
    </row>
    <row r="1167" spans="1:19" x14ac:dyDescent="0.3">
      <c r="A1167" t="s">
        <v>1226</v>
      </c>
      <c r="B1167" s="2">
        <v>46356</v>
      </c>
      <c r="C1167" t="s">
        <v>71</v>
      </c>
      <c r="D1167" t="s">
        <v>34</v>
      </c>
      <c r="E1167" t="s">
        <v>56</v>
      </c>
      <c r="F1167" t="s">
        <v>30</v>
      </c>
      <c r="G1167" t="s">
        <v>31</v>
      </c>
      <c r="H1167" t="s">
        <v>388</v>
      </c>
      <c r="I1167">
        <v>2</v>
      </c>
      <c r="J1167" s="3">
        <v>49888</v>
      </c>
      <c r="K1167" s="4">
        <v>5</v>
      </c>
      <c r="L1167" s="3">
        <v>99776</v>
      </c>
      <c r="M1167" s="3">
        <v>4988.8</v>
      </c>
      <c r="N1167" s="3">
        <v>94787.199999999997</v>
      </c>
      <c r="O1167" s="3">
        <v>58284.51</v>
      </c>
      <c r="P1167" s="3">
        <v>36502.69</v>
      </c>
      <c r="Q1167" t="s">
        <v>389</v>
      </c>
      <c r="R1167">
        <v>2026</v>
      </c>
      <c r="S1167">
        <v>11</v>
      </c>
    </row>
    <row r="1168" spans="1:19" x14ac:dyDescent="0.3">
      <c r="A1168" t="s">
        <v>1227</v>
      </c>
      <c r="B1168" s="2">
        <v>46357</v>
      </c>
      <c r="C1168" t="s">
        <v>64</v>
      </c>
      <c r="D1168" t="s">
        <v>29</v>
      </c>
      <c r="E1168" t="s">
        <v>44</v>
      </c>
      <c r="F1168" t="s">
        <v>30</v>
      </c>
      <c r="G1168" t="s">
        <v>31</v>
      </c>
      <c r="H1168" t="s">
        <v>415</v>
      </c>
      <c r="I1168">
        <v>2</v>
      </c>
      <c r="J1168" s="3">
        <v>27673</v>
      </c>
      <c r="K1168" s="4">
        <v>10</v>
      </c>
      <c r="L1168" s="3">
        <v>55346</v>
      </c>
      <c r="M1168" s="3">
        <v>5534.6</v>
      </c>
      <c r="N1168" s="3">
        <v>49811.4</v>
      </c>
      <c r="O1168" s="3">
        <v>29686.9</v>
      </c>
      <c r="P1168" s="3">
        <v>20124.5</v>
      </c>
      <c r="Q1168" t="s">
        <v>416</v>
      </c>
      <c r="R1168">
        <v>2026</v>
      </c>
      <c r="S1168">
        <v>12</v>
      </c>
    </row>
    <row r="1169" spans="1:19" x14ac:dyDescent="0.3">
      <c r="A1169" t="s">
        <v>1228</v>
      </c>
      <c r="B1169" s="2">
        <v>46357</v>
      </c>
      <c r="C1169" t="s">
        <v>75</v>
      </c>
      <c r="D1169" t="s">
        <v>34</v>
      </c>
      <c r="E1169" t="s">
        <v>22</v>
      </c>
      <c r="F1169" t="s">
        <v>37</v>
      </c>
      <c r="G1169" t="s">
        <v>31</v>
      </c>
      <c r="H1169" t="s">
        <v>415</v>
      </c>
      <c r="I1169">
        <v>3</v>
      </c>
      <c r="J1169" s="3">
        <v>35193</v>
      </c>
      <c r="K1169" s="4">
        <v>15</v>
      </c>
      <c r="L1169" s="3">
        <v>105579</v>
      </c>
      <c r="M1169" s="3">
        <v>15836.85</v>
      </c>
      <c r="N1169" s="3">
        <v>89742.15</v>
      </c>
      <c r="O1169" s="3">
        <v>71350.960000000006</v>
      </c>
      <c r="P1169" s="3">
        <v>18391.189999999999</v>
      </c>
      <c r="Q1169" t="s">
        <v>416</v>
      </c>
      <c r="R1169">
        <v>2026</v>
      </c>
      <c r="S1169">
        <v>12</v>
      </c>
    </row>
    <row r="1170" spans="1:19" x14ac:dyDescent="0.3">
      <c r="A1170" t="s">
        <v>1229</v>
      </c>
      <c r="B1170" s="2">
        <v>46358</v>
      </c>
      <c r="C1170" t="s">
        <v>33</v>
      </c>
      <c r="D1170" t="s">
        <v>34</v>
      </c>
      <c r="E1170" t="s">
        <v>22</v>
      </c>
      <c r="F1170" t="s">
        <v>40</v>
      </c>
      <c r="G1170" t="s">
        <v>24</v>
      </c>
      <c r="H1170" t="s">
        <v>415</v>
      </c>
      <c r="I1170">
        <v>3</v>
      </c>
      <c r="J1170" s="3">
        <v>44548</v>
      </c>
      <c r="K1170" s="4">
        <v>10</v>
      </c>
      <c r="L1170" s="3">
        <v>133644</v>
      </c>
      <c r="M1170" s="3">
        <v>13364.4</v>
      </c>
      <c r="N1170" s="3">
        <v>120279.6</v>
      </c>
      <c r="O1170" s="3">
        <v>67158.53</v>
      </c>
      <c r="P1170" s="3">
        <v>53121.07</v>
      </c>
      <c r="Q1170" t="s">
        <v>416</v>
      </c>
      <c r="R1170">
        <v>2026</v>
      </c>
      <c r="S1170">
        <v>12</v>
      </c>
    </row>
    <row r="1171" spans="1:19" x14ac:dyDescent="0.3">
      <c r="A1171" t="s">
        <v>1230</v>
      </c>
      <c r="B1171" s="2">
        <v>46359</v>
      </c>
      <c r="C1171" t="s">
        <v>28</v>
      </c>
      <c r="D1171" t="s">
        <v>29</v>
      </c>
      <c r="E1171" t="s">
        <v>22</v>
      </c>
      <c r="F1171" t="s">
        <v>40</v>
      </c>
      <c r="G1171" t="s">
        <v>24</v>
      </c>
      <c r="H1171" t="s">
        <v>25</v>
      </c>
      <c r="I1171">
        <v>2</v>
      </c>
      <c r="J1171" s="3">
        <v>68653</v>
      </c>
      <c r="K1171" s="4">
        <v>0</v>
      </c>
      <c r="L1171" s="3">
        <v>137306</v>
      </c>
      <c r="M1171" s="3">
        <v>0</v>
      </c>
      <c r="N1171" s="3">
        <v>137306</v>
      </c>
      <c r="O1171" s="3">
        <v>73819.81</v>
      </c>
      <c r="P1171" s="3">
        <v>63486.19</v>
      </c>
      <c r="Q1171" t="s">
        <v>416</v>
      </c>
      <c r="R1171">
        <v>2026</v>
      </c>
      <c r="S1171">
        <v>12</v>
      </c>
    </row>
    <row r="1172" spans="1:19" x14ac:dyDescent="0.3">
      <c r="A1172" t="s">
        <v>1231</v>
      </c>
      <c r="B1172" s="2">
        <v>46361</v>
      </c>
      <c r="C1172" t="s">
        <v>28</v>
      </c>
      <c r="D1172" t="s">
        <v>29</v>
      </c>
      <c r="E1172" t="s">
        <v>42</v>
      </c>
      <c r="F1172" t="s">
        <v>40</v>
      </c>
      <c r="G1172" t="s">
        <v>24</v>
      </c>
      <c r="H1172" t="s">
        <v>415</v>
      </c>
      <c r="I1172">
        <v>3</v>
      </c>
      <c r="J1172" s="3">
        <v>68506</v>
      </c>
      <c r="K1172" s="4">
        <v>5</v>
      </c>
      <c r="L1172" s="3">
        <v>205518</v>
      </c>
      <c r="M1172" s="3">
        <v>10275.9</v>
      </c>
      <c r="N1172" s="3">
        <v>195242.1</v>
      </c>
      <c r="O1172" s="3">
        <v>121806.22</v>
      </c>
      <c r="P1172" s="3">
        <v>73435.88</v>
      </c>
      <c r="Q1172" t="s">
        <v>416</v>
      </c>
      <c r="R1172">
        <v>2026</v>
      </c>
      <c r="S1172">
        <v>12</v>
      </c>
    </row>
    <row r="1173" spans="1:19" x14ac:dyDescent="0.3">
      <c r="A1173" t="s">
        <v>1232</v>
      </c>
      <c r="B1173" s="2">
        <v>46361</v>
      </c>
      <c r="C1173" t="s">
        <v>33</v>
      </c>
      <c r="D1173" t="s">
        <v>34</v>
      </c>
      <c r="E1173" t="s">
        <v>22</v>
      </c>
      <c r="F1173" t="s">
        <v>37</v>
      </c>
      <c r="G1173" t="s">
        <v>31</v>
      </c>
      <c r="H1173" t="s">
        <v>415</v>
      </c>
      <c r="I1173">
        <v>3</v>
      </c>
      <c r="J1173" s="3">
        <v>42868</v>
      </c>
      <c r="K1173" s="4">
        <v>10</v>
      </c>
      <c r="L1173" s="3">
        <v>128604</v>
      </c>
      <c r="M1173" s="3">
        <v>12860.4</v>
      </c>
      <c r="N1173" s="3">
        <v>115743.6</v>
      </c>
      <c r="O1173" s="3">
        <v>80020.539999999994</v>
      </c>
      <c r="P1173" s="3">
        <v>35723.06</v>
      </c>
      <c r="Q1173" t="s">
        <v>416</v>
      </c>
      <c r="R1173">
        <v>2026</v>
      </c>
      <c r="S1173">
        <v>12</v>
      </c>
    </row>
    <row r="1174" spans="1:19" x14ac:dyDescent="0.3">
      <c r="A1174" t="s">
        <v>1233</v>
      </c>
      <c r="B1174" s="2">
        <v>46362</v>
      </c>
      <c r="C1174" t="s">
        <v>50</v>
      </c>
      <c r="D1174" t="s">
        <v>34</v>
      </c>
      <c r="E1174" t="s">
        <v>22</v>
      </c>
      <c r="F1174" t="s">
        <v>40</v>
      </c>
      <c r="G1174" t="s">
        <v>24</v>
      </c>
      <c r="H1174" t="s">
        <v>415</v>
      </c>
      <c r="I1174">
        <v>3</v>
      </c>
      <c r="J1174" s="3">
        <v>17865</v>
      </c>
      <c r="K1174" s="4">
        <v>10</v>
      </c>
      <c r="L1174" s="3">
        <v>53595</v>
      </c>
      <c r="M1174" s="3">
        <v>5359.5</v>
      </c>
      <c r="N1174" s="3">
        <v>48235.5</v>
      </c>
      <c r="O1174" s="3">
        <v>35989.33</v>
      </c>
      <c r="P1174" s="3">
        <v>12246.17</v>
      </c>
      <c r="Q1174" t="s">
        <v>416</v>
      </c>
      <c r="R1174">
        <v>2026</v>
      </c>
      <c r="S1174">
        <v>12</v>
      </c>
    </row>
    <row r="1175" spans="1:19" x14ac:dyDescent="0.3">
      <c r="A1175" t="s">
        <v>1234</v>
      </c>
      <c r="B1175" s="2">
        <v>46362</v>
      </c>
      <c r="C1175" t="s">
        <v>82</v>
      </c>
      <c r="D1175" t="s">
        <v>21</v>
      </c>
      <c r="E1175" t="s">
        <v>22</v>
      </c>
      <c r="F1175" t="s">
        <v>40</v>
      </c>
      <c r="G1175" t="s">
        <v>24</v>
      </c>
      <c r="H1175" t="s">
        <v>415</v>
      </c>
      <c r="I1175">
        <v>1</v>
      </c>
      <c r="J1175" s="3">
        <v>45751</v>
      </c>
      <c r="K1175" s="4">
        <v>5</v>
      </c>
      <c r="L1175" s="3">
        <v>45751</v>
      </c>
      <c r="M1175" s="3">
        <v>2287.5500000000002</v>
      </c>
      <c r="N1175" s="3">
        <v>43463.45</v>
      </c>
      <c r="O1175" s="3">
        <v>26749.71</v>
      </c>
      <c r="P1175" s="3">
        <v>16713.740000000002</v>
      </c>
      <c r="Q1175" t="s">
        <v>416</v>
      </c>
      <c r="R1175">
        <v>2026</v>
      </c>
      <c r="S1175">
        <v>12</v>
      </c>
    </row>
    <row r="1176" spans="1:19" x14ac:dyDescent="0.3">
      <c r="A1176" t="s">
        <v>1235</v>
      </c>
      <c r="B1176" s="2">
        <v>46363</v>
      </c>
      <c r="C1176" t="s">
        <v>46</v>
      </c>
      <c r="D1176" t="s">
        <v>21</v>
      </c>
      <c r="E1176" t="s">
        <v>56</v>
      </c>
      <c r="F1176" t="s">
        <v>40</v>
      </c>
      <c r="G1176" t="s">
        <v>24</v>
      </c>
      <c r="H1176" t="s">
        <v>415</v>
      </c>
      <c r="I1176">
        <v>1</v>
      </c>
      <c r="J1176" s="3">
        <v>12092</v>
      </c>
      <c r="K1176" s="4">
        <v>15</v>
      </c>
      <c r="L1176" s="3">
        <v>12092</v>
      </c>
      <c r="M1176" s="3">
        <v>1813.8</v>
      </c>
      <c r="N1176" s="3">
        <v>10278.200000000001</v>
      </c>
      <c r="O1176" s="3">
        <v>7937.52</v>
      </c>
      <c r="P1176" s="3">
        <v>2340.6799999999998</v>
      </c>
      <c r="Q1176" t="s">
        <v>416</v>
      </c>
      <c r="R1176">
        <v>2026</v>
      </c>
      <c r="S1176">
        <v>12</v>
      </c>
    </row>
    <row r="1177" spans="1:19" x14ac:dyDescent="0.3">
      <c r="A1177" t="s">
        <v>1236</v>
      </c>
      <c r="B1177" s="2">
        <v>46364</v>
      </c>
      <c r="C1177" t="s">
        <v>50</v>
      </c>
      <c r="D1177" t="s">
        <v>34</v>
      </c>
      <c r="E1177" t="s">
        <v>42</v>
      </c>
      <c r="F1177" t="s">
        <v>37</v>
      </c>
      <c r="G1177" t="s">
        <v>24</v>
      </c>
      <c r="H1177" t="s">
        <v>415</v>
      </c>
      <c r="I1177">
        <v>3</v>
      </c>
      <c r="J1177" s="3">
        <v>18549</v>
      </c>
      <c r="K1177" s="4">
        <v>5</v>
      </c>
      <c r="L1177" s="3">
        <v>55647</v>
      </c>
      <c r="M1177" s="3">
        <v>2782.35</v>
      </c>
      <c r="N1177" s="3">
        <v>52864.65</v>
      </c>
      <c r="O1177" s="3">
        <v>30930.39</v>
      </c>
      <c r="P1177" s="3">
        <v>21934.26</v>
      </c>
      <c r="Q1177" t="s">
        <v>416</v>
      </c>
      <c r="R1177">
        <v>2026</v>
      </c>
      <c r="S1177">
        <v>12</v>
      </c>
    </row>
    <row r="1178" spans="1:19" x14ac:dyDescent="0.3">
      <c r="A1178" t="s">
        <v>1237</v>
      </c>
      <c r="B1178" s="2">
        <v>46364</v>
      </c>
      <c r="C1178" t="s">
        <v>50</v>
      </c>
      <c r="D1178" t="s">
        <v>34</v>
      </c>
      <c r="E1178" t="s">
        <v>56</v>
      </c>
      <c r="F1178" t="s">
        <v>40</v>
      </c>
      <c r="G1178" t="s">
        <v>31</v>
      </c>
      <c r="H1178" t="s">
        <v>415</v>
      </c>
      <c r="I1178">
        <v>4</v>
      </c>
      <c r="J1178" s="3">
        <v>18165</v>
      </c>
      <c r="K1178" s="4">
        <v>10</v>
      </c>
      <c r="L1178" s="3">
        <v>72660</v>
      </c>
      <c r="M1178" s="3">
        <v>7266</v>
      </c>
      <c r="N1178" s="3">
        <v>0</v>
      </c>
      <c r="O1178" s="3">
        <v>44567.43</v>
      </c>
      <c r="P1178" s="3">
        <v>0</v>
      </c>
      <c r="Q1178" t="s">
        <v>416</v>
      </c>
      <c r="R1178">
        <v>2026</v>
      </c>
      <c r="S1178">
        <v>12</v>
      </c>
    </row>
    <row r="1179" spans="1:19" x14ac:dyDescent="0.3">
      <c r="A1179" t="s">
        <v>1238</v>
      </c>
      <c r="B1179" s="2">
        <v>46366</v>
      </c>
      <c r="C1179" t="s">
        <v>48</v>
      </c>
      <c r="D1179" t="s">
        <v>34</v>
      </c>
      <c r="E1179" t="s">
        <v>42</v>
      </c>
      <c r="F1179" t="s">
        <v>30</v>
      </c>
      <c r="G1179" t="s">
        <v>24</v>
      </c>
      <c r="H1179" t="s">
        <v>25</v>
      </c>
      <c r="I1179">
        <v>2</v>
      </c>
      <c r="J1179" s="3">
        <v>26114</v>
      </c>
      <c r="K1179" s="4">
        <v>0</v>
      </c>
      <c r="L1179" s="3">
        <v>52228</v>
      </c>
      <c r="M1179" s="3">
        <v>0</v>
      </c>
      <c r="N1179" s="3">
        <v>52228</v>
      </c>
      <c r="O1179" s="3">
        <v>31346.799999999999</v>
      </c>
      <c r="P1179" s="3">
        <v>20881.2</v>
      </c>
      <c r="Q1179" t="s">
        <v>416</v>
      </c>
      <c r="R1179">
        <v>2026</v>
      </c>
      <c r="S1179">
        <v>12</v>
      </c>
    </row>
    <row r="1180" spans="1:19" x14ac:dyDescent="0.3">
      <c r="A1180" t="s">
        <v>1239</v>
      </c>
      <c r="B1180" s="2">
        <v>46366</v>
      </c>
      <c r="C1180" t="s">
        <v>28</v>
      </c>
      <c r="D1180" t="s">
        <v>29</v>
      </c>
      <c r="E1180" t="s">
        <v>42</v>
      </c>
      <c r="F1180" t="s">
        <v>35</v>
      </c>
      <c r="G1180" t="s">
        <v>24</v>
      </c>
      <c r="H1180" t="s">
        <v>415</v>
      </c>
      <c r="I1180">
        <v>4</v>
      </c>
      <c r="J1180" s="3">
        <v>69507</v>
      </c>
      <c r="K1180" s="4">
        <v>15</v>
      </c>
      <c r="L1180" s="3">
        <v>278028</v>
      </c>
      <c r="M1180" s="3">
        <v>41704.199999999997</v>
      </c>
      <c r="N1180" s="3">
        <v>236323.8</v>
      </c>
      <c r="O1180" s="3">
        <v>185685.73</v>
      </c>
      <c r="P1180" s="3">
        <v>50638.07</v>
      </c>
      <c r="Q1180" t="s">
        <v>416</v>
      </c>
      <c r="R1180">
        <v>2026</v>
      </c>
      <c r="S1180">
        <v>12</v>
      </c>
    </row>
    <row r="1181" spans="1:19" x14ac:dyDescent="0.3">
      <c r="A1181" t="s">
        <v>1240</v>
      </c>
      <c r="B1181" s="2">
        <v>46368</v>
      </c>
      <c r="C1181" t="s">
        <v>28</v>
      </c>
      <c r="D1181" t="s">
        <v>29</v>
      </c>
      <c r="E1181" t="s">
        <v>44</v>
      </c>
      <c r="F1181" t="s">
        <v>40</v>
      </c>
      <c r="G1181" t="s">
        <v>31</v>
      </c>
      <c r="H1181" t="s">
        <v>415</v>
      </c>
      <c r="I1181">
        <v>1</v>
      </c>
      <c r="J1181" s="3">
        <v>64750</v>
      </c>
      <c r="K1181" s="4">
        <v>15</v>
      </c>
      <c r="L1181" s="3">
        <v>64750</v>
      </c>
      <c r="M1181" s="3">
        <v>9712.5</v>
      </c>
      <c r="N1181" s="3">
        <v>55037.5</v>
      </c>
      <c r="O1181" s="3">
        <v>36188.47</v>
      </c>
      <c r="P1181" s="3">
        <v>18849.03</v>
      </c>
      <c r="Q1181" t="s">
        <v>416</v>
      </c>
      <c r="R1181">
        <v>2026</v>
      </c>
      <c r="S1181">
        <v>12</v>
      </c>
    </row>
    <row r="1182" spans="1:19" x14ac:dyDescent="0.3">
      <c r="A1182" t="s">
        <v>1241</v>
      </c>
      <c r="B1182" s="2">
        <v>46368</v>
      </c>
      <c r="C1182" t="s">
        <v>75</v>
      </c>
      <c r="D1182" t="s">
        <v>34</v>
      </c>
      <c r="E1182" t="s">
        <v>56</v>
      </c>
      <c r="F1182" t="s">
        <v>40</v>
      </c>
      <c r="G1182" t="s">
        <v>24</v>
      </c>
      <c r="H1182" t="s">
        <v>415</v>
      </c>
      <c r="I1182">
        <v>1</v>
      </c>
      <c r="J1182" s="3">
        <v>35271</v>
      </c>
      <c r="K1182" s="4">
        <v>15</v>
      </c>
      <c r="L1182" s="3">
        <v>35271</v>
      </c>
      <c r="M1182" s="3">
        <v>5290.65</v>
      </c>
      <c r="N1182" s="3">
        <v>29980.35</v>
      </c>
      <c r="O1182" s="3">
        <v>20048.79</v>
      </c>
      <c r="P1182" s="3">
        <v>9931.56</v>
      </c>
      <c r="Q1182" t="s">
        <v>416</v>
      </c>
      <c r="R1182">
        <v>2026</v>
      </c>
      <c r="S1182">
        <v>12</v>
      </c>
    </row>
    <row r="1183" spans="1:19" x14ac:dyDescent="0.3">
      <c r="A1183" t="s">
        <v>1242</v>
      </c>
      <c r="B1183" s="2">
        <v>46368</v>
      </c>
      <c r="C1183" t="s">
        <v>46</v>
      </c>
      <c r="D1183" t="s">
        <v>21</v>
      </c>
      <c r="E1183" t="s">
        <v>44</v>
      </c>
      <c r="F1183" t="s">
        <v>40</v>
      </c>
      <c r="G1183" t="s">
        <v>31</v>
      </c>
      <c r="H1183" t="s">
        <v>25</v>
      </c>
      <c r="I1183">
        <v>2</v>
      </c>
      <c r="J1183" s="3">
        <v>11194</v>
      </c>
      <c r="K1183" s="4">
        <v>0</v>
      </c>
      <c r="L1183" s="3">
        <v>22388</v>
      </c>
      <c r="M1183" s="3">
        <v>0</v>
      </c>
      <c r="N1183" s="3">
        <v>22388</v>
      </c>
      <c r="O1183" s="3">
        <v>12639.18</v>
      </c>
      <c r="P1183" s="3">
        <v>9748.82</v>
      </c>
      <c r="Q1183" t="s">
        <v>416</v>
      </c>
      <c r="R1183">
        <v>2026</v>
      </c>
      <c r="S1183">
        <v>12</v>
      </c>
    </row>
    <row r="1184" spans="1:19" x14ac:dyDescent="0.3">
      <c r="A1184" t="s">
        <v>1243</v>
      </c>
      <c r="B1184" s="2">
        <v>46368</v>
      </c>
      <c r="C1184" t="s">
        <v>48</v>
      </c>
      <c r="D1184" t="s">
        <v>34</v>
      </c>
      <c r="E1184" t="s">
        <v>42</v>
      </c>
      <c r="F1184" t="s">
        <v>37</v>
      </c>
      <c r="G1184" t="s">
        <v>24</v>
      </c>
      <c r="H1184" t="s">
        <v>415</v>
      </c>
      <c r="I1184">
        <v>3</v>
      </c>
      <c r="J1184" s="3">
        <v>24224</v>
      </c>
      <c r="K1184" s="4">
        <v>5</v>
      </c>
      <c r="L1184" s="3">
        <v>72672</v>
      </c>
      <c r="M1184" s="3">
        <v>3633.6</v>
      </c>
      <c r="N1184" s="3">
        <v>69038.399999999994</v>
      </c>
      <c r="O1184" s="3">
        <v>44069.61</v>
      </c>
      <c r="P1184" s="3">
        <v>24968.79</v>
      </c>
      <c r="Q1184" t="s">
        <v>416</v>
      </c>
      <c r="R1184">
        <v>2026</v>
      </c>
      <c r="S1184">
        <v>12</v>
      </c>
    </row>
    <row r="1185" spans="1:19" x14ac:dyDescent="0.3">
      <c r="A1185" t="s">
        <v>1244</v>
      </c>
      <c r="B1185" s="2">
        <v>46369</v>
      </c>
      <c r="C1185" t="s">
        <v>33</v>
      </c>
      <c r="D1185" t="s">
        <v>34</v>
      </c>
      <c r="E1185" t="s">
        <v>44</v>
      </c>
      <c r="F1185" t="s">
        <v>37</v>
      </c>
      <c r="G1185" t="s">
        <v>31</v>
      </c>
      <c r="H1185" t="s">
        <v>25</v>
      </c>
      <c r="I1185">
        <v>3</v>
      </c>
      <c r="J1185" s="3">
        <v>42439</v>
      </c>
      <c r="K1185" s="4">
        <v>0</v>
      </c>
      <c r="L1185" s="3">
        <v>127317</v>
      </c>
      <c r="M1185" s="3">
        <v>0</v>
      </c>
      <c r="N1185" s="3">
        <v>127317</v>
      </c>
      <c r="O1185" s="3">
        <v>81411.86</v>
      </c>
      <c r="P1185" s="3">
        <v>45905.14</v>
      </c>
      <c r="Q1185" t="s">
        <v>416</v>
      </c>
      <c r="R1185">
        <v>2026</v>
      </c>
      <c r="S1185">
        <v>12</v>
      </c>
    </row>
    <row r="1186" spans="1:19" x14ac:dyDescent="0.3">
      <c r="A1186" t="s">
        <v>1245</v>
      </c>
      <c r="B1186" s="2">
        <v>46369</v>
      </c>
      <c r="C1186" t="s">
        <v>71</v>
      </c>
      <c r="D1186" t="s">
        <v>34</v>
      </c>
      <c r="E1186" t="s">
        <v>44</v>
      </c>
      <c r="F1186" t="s">
        <v>30</v>
      </c>
      <c r="G1186" t="s">
        <v>31</v>
      </c>
      <c r="H1186" t="s">
        <v>415</v>
      </c>
      <c r="I1186">
        <v>1</v>
      </c>
      <c r="J1186" s="3">
        <v>52641</v>
      </c>
      <c r="K1186" s="4">
        <v>10</v>
      </c>
      <c r="L1186" s="3">
        <v>52641</v>
      </c>
      <c r="M1186" s="3">
        <v>5264.1</v>
      </c>
      <c r="N1186" s="3">
        <v>47376.9</v>
      </c>
      <c r="O1186" s="3">
        <v>31945.22</v>
      </c>
      <c r="P1186" s="3">
        <v>15431.68</v>
      </c>
      <c r="Q1186" t="s">
        <v>416</v>
      </c>
      <c r="R1186">
        <v>2026</v>
      </c>
      <c r="S1186">
        <v>12</v>
      </c>
    </row>
    <row r="1187" spans="1:19" x14ac:dyDescent="0.3">
      <c r="A1187" t="s">
        <v>1246</v>
      </c>
      <c r="B1187" s="2">
        <v>46369</v>
      </c>
      <c r="C1187" t="s">
        <v>20</v>
      </c>
      <c r="D1187" t="s">
        <v>21</v>
      </c>
      <c r="E1187" t="s">
        <v>44</v>
      </c>
      <c r="F1187" t="s">
        <v>37</v>
      </c>
      <c r="G1187" t="s">
        <v>24</v>
      </c>
      <c r="H1187" t="s">
        <v>25</v>
      </c>
      <c r="I1187">
        <v>1</v>
      </c>
      <c r="J1187" s="3">
        <v>15883</v>
      </c>
      <c r="K1187" s="4">
        <v>15</v>
      </c>
      <c r="L1187" s="3">
        <v>15883</v>
      </c>
      <c r="M1187" s="3">
        <v>2382.4499999999998</v>
      </c>
      <c r="N1187" s="3">
        <v>13500.55</v>
      </c>
      <c r="O1187" s="3">
        <v>7818.7</v>
      </c>
      <c r="P1187" s="3">
        <v>5681.85</v>
      </c>
      <c r="Q1187" t="s">
        <v>416</v>
      </c>
      <c r="R1187">
        <v>2026</v>
      </c>
      <c r="S1187">
        <v>12</v>
      </c>
    </row>
    <row r="1188" spans="1:19" x14ac:dyDescent="0.3">
      <c r="A1188" t="s">
        <v>1247</v>
      </c>
      <c r="B1188" s="2">
        <v>46371</v>
      </c>
      <c r="C1188" t="s">
        <v>71</v>
      </c>
      <c r="D1188" t="s">
        <v>34</v>
      </c>
      <c r="E1188" t="s">
        <v>44</v>
      </c>
      <c r="F1188" t="s">
        <v>30</v>
      </c>
      <c r="G1188" t="s">
        <v>24</v>
      </c>
      <c r="H1188" t="s">
        <v>415</v>
      </c>
      <c r="I1188">
        <v>4</v>
      </c>
      <c r="J1188" s="3">
        <v>46074</v>
      </c>
      <c r="K1188" s="4">
        <v>10</v>
      </c>
      <c r="L1188" s="3">
        <v>184296</v>
      </c>
      <c r="M1188" s="3">
        <v>18429.599999999999</v>
      </c>
      <c r="N1188" s="3">
        <v>165866.4</v>
      </c>
      <c r="O1188" s="3">
        <v>90160.15</v>
      </c>
      <c r="P1188" s="3">
        <v>75706.25</v>
      </c>
      <c r="Q1188" t="s">
        <v>416</v>
      </c>
      <c r="R1188">
        <v>2026</v>
      </c>
      <c r="S1188">
        <v>12</v>
      </c>
    </row>
    <row r="1189" spans="1:19" x14ac:dyDescent="0.3">
      <c r="A1189" t="s">
        <v>1248</v>
      </c>
      <c r="B1189" s="2">
        <v>46373</v>
      </c>
      <c r="C1189" t="s">
        <v>71</v>
      </c>
      <c r="D1189" t="s">
        <v>34</v>
      </c>
      <c r="E1189" t="s">
        <v>42</v>
      </c>
      <c r="F1189" t="s">
        <v>37</v>
      </c>
      <c r="G1189" t="s">
        <v>24</v>
      </c>
      <c r="H1189" t="s">
        <v>415</v>
      </c>
      <c r="I1189">
        <v>1</v>
      </c>
      <c r="J1189" s="3">
        <v>49908</v>
      </c>
      <c r="K1189" s="4">
        <v>10</v>
      </c>
      <c r="L1189" s="3">
        <v>49908</v>
      </c>
      <c r="M1189" s="3">
        <v>4990.8</v>
      </c>
      <c r="N1189" s="3">
        <v>44917.2</v>
      </c>
      <c r="O1189" s="3">
        <v>30612.92</v>
      </c>
      <c r="P1189" s="3">
        <v>14304.28</v>
      </c>
      <c r="Q1189" t="s">
        <v>416</v>
      </c>
      <c r="R1189">
        <v>2026</v>
      </c>
      <c r="S1189">
        <v>12</v>
      </c>
    </row>
    <row r="1190" spans="1:19" x14ac:dyDescent="0.3">
      <c r="A1190" t="s">
        <v>1249</v>
      </c>
      <c r="B1190" s="2">
        <v>46373</v>
      </c>
      <c r="C1190" t="s">
        <v>82</v>
      </c>
      <c r="D1190" t="s">
        <v>21</v>
      </c>
      <c r="E1190" t="s">
        <v>44</v>
      </c>
      <c r="F1190" t="s">
        <v>30</v>
      </c>
      <c r="G1190" t="s">
        <v>24</v>
      </c>
      <c r="H1190" t="s">
        <v>25</v>
      </c>
      <c r="I1190">
        <v>2</v>
      </c>
      <c r="J1190" s="3">
        <v>44165</v>
      </c>
      <c r="K1190" s="4">
        <v>0</v>
      </c>
      <c r="L1190" s="3">
        <v>88330</v>
      </c>
      <c r="M1190" s="3">
        <v>0</v>
      </c>
      <c r="N1190" s="3">
        <v>88330</v>
      </c>
      <c r="O1190" s="3">
        <v>59867.17</v>
      </c>
      <c r="P1190" s="3">
        <v>28462.83</v>
      </c>
      <c r="Q1190" t="s">
        <v>416</v>
      </c>
      <c r="R1190">
        <v>2026</v>
      </c>
      <c r="S1190">
        <v>12</v>
      </c>
    </row>
    <row r="1191" spans="1:19" x14ac:dyDescent="0.3">
      <c r="A1191" t="s">
        <v>1250</v>
      </c>
      <c r="B1191" s="2">
        <v>46373</v>
      </c>
      <c r="C1191" t="s">
        <v>71</v>
      </c>
      <c r="D1191" t="s">
        <v>34</v>
      </c>
      <c r="E1191" t="s">
        <v>56</v>
      </c>
      <c r="F1191" t="s">
        <v>40</v>
      </c>
      <c r="G1191" t="s">
        <v>24</v>
      </c>
      <c r="H1191" t="s">
        <v>415</v>
      </c>
      <c r="I1191">
        <v>3</v>
      </c>
      <c r="J1191" s="3">
        <v>49793</v>
      </c>
      <c r="K1191" s="4">
        <v>20</v>
      </c>
      <c r="L1191" s="3">
        <v>149379</v>
      </c>
      <c r="M1191" s="3">
        <v>29875.8</v>
      </c>
      <c r="N1191" s="3">
        <v>119503.2</v>
      </c>
      <c r="O1191" s="3">
        <v>73138.720000000001</v>
      </c>
      <c r="P1191" s="3">
        <v>46364.480000000003</v>
      </c>
      <c r="Q1191" t="s">
        <v>416</v>
      </c>
      <c r="R1191">
        <v>2026</v>
      </c>
      <c r="S1191">
        <v>12</v>
      </c>
    </row>
    <row r="1192" spans="1:19" x14ac:dyDescent="0.3">
      <c r="A1192" t="s">
        <v>1251</v>
      </c>
      <c r="B1192" s="2">
        <v>46374</v>
      </c>
      <c r="C1192" t="s">
        <v>33</v>
      </c>
      <c r="D1192" t="s">
        <v>34</v>
      </c>
      <c r="E1192" t="s">
        <v>42</v>
      </c>
      <c r="F1192" t="s">
        <v>37</v>
      </c>
      <c r="G1192" t="s">
        <v>31</v>
      </c>
      <c r="H1192" t="s">
        <v>415</v>
      </c>
      <c r="I1192">
        <v>1</v>
      </c>
      <c r="J1192" s="3">
        <v>39810</v>
      </c>
      <c r="K1192" s="4">
        <v>15</v>
      </c>
      <c r="L1192" s="3">
        <v>39810</v>
      </c>
      <c r="M1192" s="3">
        <v>5971.5</v>
      </c>
      <c r="N1192" s="3">
        <v>33838.5</v>
      </c>
      <c r="O1192" s="3">
        <v>22420.25</v>
      </c>
      <c r="P1192" s="3">
        <v>11418.25</v>
      </c>
      <c r="Q1192" t="s">
        <v>416</v>
      </c>
      <c r="R1192">
        <v>2026</v>
      </c>
      <c r="S1192">
        <v>12</v>
      </c>
    </row>
    <row r="1193" spans="1:19" x14ac:dyDescent="0.3">
      <c r="A1193" t="s">
        <v>1252</v>
      </c>
      <c r="B1193" s="2">
        <v>46377</v>
      </c>
      <c r="C1193" t="s">
        <v>46</v>
      </c>
      <c r="D1193" t="s">
        <v>21</v>
      </c>
      <c r="E1193" t="s">
        <v>42</v>
      </c>
      <c r="F1193" t="s">
        <v>40</v>
      </c>
      <c r="G1193" t="s">
        <v>31</v>
      </c>
      <c r="H1193" t="s">
        <v>25</v>
      </c>
      <c r="I1193">
        <v>4</v>
      </c>
      <c r="J1193" s="3">
        <v>12394</v>
      </c>
      <c r="K1193" s="4">
        <v>0</v>
      </c>
      <c r="L1193" s="3">
        <v>49576</v>
      </c>
      <c r="M1193" s="3">
        <v>0</v>
      </c>
      <c r="N1193" s="3">
        <v>49576</v>
      </c>
      <c r="O1193" s="3">
        <v>31793.71</v>
      </c>
      <c r="P1193" s="3">
        <v>17782.29</v>
      </c>
      <c r="Q1193" t="s">
        <v>416</v>
      </c>
      <c r="R1193">
        <v>2026</v>
      </c>
      <c r="S1193">
        <v>12</v>
      </c>
    </row>
    <row r="1194" spans="1:19" x14ac:dyDescent="0.3">
      <c r="A1194" t="s">
        <v>1253</v>
      </c>
      <c r="B1194" s="2">
        <v>46378</v>
      </c>
      <c r="C1194" t="s">
        <v>33</v>
      </c>
      <c r="D1194" t="s">
        <v>34</v>
      </c>
      <c r="E1194" t="s">
        <v>42</v>
      </c>
      <c r="F1194" t="s">
        <v>40</v>
      </c>
      <c r="G1194" t="s">
        <v>31</v>
      </c>
      <c r="H1194" t="s">
        <v>25</v>
      </c>
      <c r="I1194">
        <v>3</v>
      </c>
      <c r="J1194" s="3">
        <v>39351</v>
      </c>
      <c r="K1194" s="4">
        <v>0</v>
      </c>
      <c r="L1194" s="3">
        <v>118053</v>
      </c>
      <c r="M1194" s="3">
        <v>0</v>
      </c>
      <c r="N1194" s="3">
        <v>118053</v>
      </c>
      <c r="O1194" s="3">
        <v>58879.1</v>
      </c>
      <c r="P1194" s="3">
        <v>59173.9</v>
      </c>
      <c r="Q1194" t="s">
        <v>416</v>
      </c>
      <c r="R1194">
        <v>2026</v>
      </c>
      <c r="S1194">
        <v>12</v>
      </c>
    </row>
    <row r="1195" spans="1:19" x14ac:dyDescent="0.3">
      <c r="A1195" t="s">
        <v>1254</v>
      </c>
      <c r="B1195" s="2">
        <v>46378</v>
      </c>
      <c r="C1195" t="s">
        <v>46</v>
      </c>
      <c r="D1195" t="s">
        <v>21</v>
      </c>
      <c r="E1195" t="s">
        <v>22</v>
      </c>
      <c r="F1195" t="s">
        <v>37</v>
      </c>
      <c r="G1195" t="s">
        <v>31</v>
      </c>
      <c r="H1195" t="s">
        <v>415</v>
      </c>
      <c r="I1195">
        <v>4</v>
      </c>
      <c r="J1195" s="3">
        <v>11780</v>
      </c>
      <c r="K1195" s="4">
        <v>5</v>
      </c>
      <c r="L1195" s="3">
        <v>47120</v>
      </c>
      <c r="M1195" s="3">
        <v>2356</v>
      </c>
      <c r="N1195" s="3">
        <v>44764</v>
      </c>
      <c r="O1195" s="3">
        <v>29170.62</v>
      </c>
      <c r="P1195" s="3">
        <v>15593.38</v>
      </c>
      <c r="Q1195" t="s">
        <v>416</v>
      </c>
      <c r="R1195">
        <v>2026</v>
      </c>
      <c r="S1195">
        <v>12</v>
      </c>
    </row>
    <row r="1196" spans="1:19" x14ac:dyDescent="0.3">
      <c r="A1196" t="s">
        <v>1255</v>
      </c>
      <c r="B1196" s="2">
        <v>46380</v>
      </c>
      <c r="C1196" t="s">
        <v>71</v>
      </c>
      <c r="D1196" t="s">
        <v>34</v>
      </c>
      <c r="E1196" t="s">
        <v>22</v>
      </c>
      <c r="F1196" t="s">
        <v>37</v>
      </c>
      <c r="G1196" t="s">
        <v>24</v>
      </c>
      <c r="H1196" t="s">
        <v>25</v>
      </c>
      <c r="I1196">
        <v>1</v>
      </c>
      <c r="J1196" s="3">
        <v>46761</v>
      </c>
      <c r="K1196" s="4">
        <v>0</v>
      </c>
      <c r="L1196" s="3">
        <v>46761</v>
      </c>
      <c r="M1196" s="3">
        <v>0</v>
      </c>
      <c r="N1196" s="3">
        <v>0</v>
      </c>
      <c r="O1196" s="3">
        <v>26220.07</v>
      </c>
      <c r="P1196" s="3">
        <v>0</v>
      </c>
      <c r="Q1196" t="s">
        <v>416</v>
      </c>
      <c r="R1196">
        <v>2026</v>
      </c>
      <c r="S1196">
        <v>12</v>
      </c>
    </row>
    <row r="1197" spans="1:19" x14ac:dyDescent="0.3">
      <c r="A1197" t="s">
        <v>1256</v>
      </c>
      <c r="B1197" s="2">
        <v>46384</v>
      </c>
      <c r="C1197" t="s">
        <v>75</v>
      </c>
      <c r="D1197" t="s">
        <v>34</v>
      </c>
      <c r="E1197" t="s">
        <v>56</v>
      </c>
      <c r="F1197" t="s">
        <v>23</v>
      </c>
      <c r="G1197" t="s">
        <v>31</v>
      </c>
      <c r="H1197" t="s">
        <v>25</v>
      </c>
      <c r="I1197">
        <v>2</v>
      </c>
      <c r="J1197" s="3">
        <v>38599</v>
      </c>
      <c r="K1197" s="4">
        <v>0</v>
      </c>
      <c r="L1197" s="3">
        <v>77198</v>
      </c>
      <c r="M1197" s="3">
        <v>0</v>
      </c>
      <c r="N1197" s="3">
        <v>77198</v>
      </c>
      <c r="O1197" s="3">
        <v>51845.34</v>
      </c>
      <c r="P1197" s="3">
        <v>25352.66</v>
      </c>
      <c r="Q1197" t="s">
        <v>416</v>
      </c>
      <c r="R1197">
        <v>2026</v>
      </c>
      <c r="S1197">
        <v>12</v>
      </c>
    </row>
    <row r="1198" spans="1:19" x14ac:dyDescent="0.3">
      <c r="A1198" t="s">
        <v>1257</v>
      </c>
      <c r="B1198" s="2">
        <v>46384</v>
      </c>
      <c r="C1198" t="s">
        <v>75</v>
      </c>
      <c r="D1198" t="s">
        <v>34</v>
      </c>
      <c r="E1198" t="s">
        <v>22</v>
      </c>
      <c r="F1198" t="s">
        <v>37</v>
      </c>
      <c r="G1198" t="s">
        <v>31</v>
      </c>
      <c r="H1198" t="s">
        <v>415</v>
      </c>
      <c r="I1198">
        <v>1</v>
      </c>
      <c r="J1198" s="3">
        <v>37808</v>
      </c>
      <c r="K1198" s="4">
        <v>10</v>
      </c>
      <c r="L1198" s="3">
        <v>37808</v>
      </c>
      <c r="M1198" s="3">
        <v>3780.8</v>
      </c>
      <c r="N1198" s="3">
        <v>34027.199999999997</v>
      </c>
      <c r="O1198" s="3">
        <v>25593.4</v>
      </c>
      <c r="P1198" s="3">
        <v>8433.7999999999993</v>
      </c>
      <c r="Q1198" t="s">
        <v>416</v>
      </c>
      <c r="R1198">
        <v>2026</v>
      </c>
      <c r="S1198">
        <v>12</v>
      </c>
    </row>
    <row r="1199" spans="1:19" x14ac:dyDescent="0.3">
      <c r="A1199" t="s">
        <v>1258</v>
      </c>
      <c r="B1199" s="2">
        <v>46385</v>
      </c>
      <c r="C1199" t="s">
        <v>33</v>
      </c>
      <c r="D1199" t="s">
        <v>34</v>
      </c>
      <c r="E1199" t="s">
        <v>42</v>
      </c>
      <c r="F1199" t="s">
        <v>23</v>
      </c>
      <c r="G1199" t="s">
        <v>31</v>
      </c>
      <c r="H1199" t="s">
        <v>25</v>
      </c>
      <c r="I1199">
        <v>2</v>
      </c>
      <c r="J1199" s="3">
        <v>39538</v>
      </c>
      <c r="K1199" s="4">
        <v>0</v>
      </c>
      <c r="L1199" s="3">
        <v>79076</v>
      </c>
      <c r="M1199" s="3">
        <v>0</v>
      </c>
      <c r="N1199" s="3">
        <v>79076</v>
      </c>
      <c r="O1199" s="3">
        <v>39105.699999999997</v>
      </c>
      <c r="P1199" s="3">
        <v>39970.300000000003</v>
      </c>
      <c r="Q1199" t="s">
        <v>416</v>
      </c>
      <c r="R1199">
        <v>2026</v>
      </c>
      <c r="S1199">
        <v>12</v>
      </c>
    </row>
    <row r="1200" spans="1:19" x14ac:dyDescent="0.3">
      <c r="A1200" t="s">
        <v>1259</v>
      </c>
      <c r="B1200" s="2">
        <v>46387</v>
      </c>
      <c r="C1200" t="s">
        <v>82</v>
      </c>
      <c r="D1200" t="s">
        <v>21</v>
      </c>
      <c r="E1200" t="s">
        <v>44</v>
      </c>
      <c r="F1200" t="s">
        <v>40</v>
      </c>
      <c r="G1200" t="s">
        <v>24</v>
      </c>
      <c r="H1200" t="s">
        <v>415</v>
      </c>
      <c r="I1200">
        <v>1</v>
      </c>
      <c r="J1200" s="3">
        <v>43309</v>
      </c>
      <c r="K1200" s="4">
        <v>10</v>
      </c>
      <c r="L1200" s="3">
        <v>43309</v>
      </c>
      <c r="M1200" s="3">
        <v>4330.8999999999996</v>
      </c>
      <c r="N1200" s="3">
        <v>38978.1</v>
      </c>
      <c r="O1200" s="3">
        <v>29006.55</v>
      </c>
      <c r="P1200" s="3">
        <v>9971.5499999999993</v>
      </c>
      <c r="Q1200" t="s">
        <v>416</v>
      </c>
      <c r="R1200">
        <v>2026</v>
      </c>
      <c r="S1200">
        <v>12</v>
      </c>
    </row>
    <row r="1201" spans="1:19" x14ac:dyDescent="0.3">
      <c r="A1201" t="s">
        <v>1260</v>
      </c>
      <c r="B1201" s="2">
        <v>46387</v>
      </c>
      <c r="C1201" t="s">
        <v>50</v>
      </c>
      <c r="D1201" t="s">
        <v>34</v>
      </c>
      <c r="E1201" t="s">
        <v>44</v>
      </c>
      <c r="F1201" t="s">
        <v>23</v>
      </c>
      <c r="G1201" t="s">
        <v>24</v>
      </c>
      <c r="H1201" t="s">
        <v>25</v>
      </c>
      <c r="I1201">
        <v>4</v>
      </c>
      <c r="J1201" s="3">
        <v>18970</v>
      </c>
      <c r="K1201" s="4">
        <v>0</v>
      </c>
      <c r="L1201" s="3">
        <v>75880</v>
      </c>
      <c r="M1201" s="3">
        <v>0</v>
      </c>
      <c r="N1201" s="3">
        <v>75880</v>
      </c>
      <c r="O1201" s="3">
        <v>46744.22</v>
      </c>
      <c r="P1201" s="3">
        <v>29135.78</v>
      </c>
      <c r="Q1201" t="s">
        <v>416</v>
      </c>
      <c r="R1201">
        <v>2026</v>
      </c>
      <c r="S1201">
        <v>12</v>
      </c>
    </row>
  </sheetData>
  <autoFilter ref="A1:S12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4194-DC52-4316-BC4E-4B103AF6B338}">
  <dimension ref="A1:S1202"/>
  <sheetViews>
    <sheetView zoomScale="90" zoomScaleNormal="90" workbookViewId="0">
      <pane ySplit="2" topLeftCell="A3" activePane="bottomLeft" state="frozen"/>
      <selection pane="bottomLeft" sqref="A1:S1"/>
    </sheetView>
  </sheetViews>
  <sheetFormatPr defaultRowHeight="14.4" x14ac:dyDescent="0.3"/>
  <cols>
    <col min="1" max="1" width="12" customWidth="1"/>
    <col min="2" max="2" width="21" customWidth="1"/>
    <col min="3" max="3" width="12" customWidth="1"/>
    <col min="4" max="4" width="13" customWidth="1"/>
    <col min="5" max="5" width="16" customWidth="1"/>
    <col min="6" max="6" width="12" customWidth="1"/>
    <col min="7" max="7" width="16.109375" customWidth="1"/>
    <col min="8" max="8" width="17" customWidth="1"/>
    <col min="9" max="9" width="12" customWidth="1"/>
    <col min="10" max="10" width="17.77734375" style="5" customWidth="1"/>
    <col min="11" max="11" width="18.88671875" style="5" customWidth="1"/>
    <col min="12" max="12" width="24.33203125" style="5" customWidth="1"/>
    <col min="13" max="13" width="13.88671875" style="12" customWidth="1"/>
    <col min="14" max="14" width="16" customWidth="1"/>
    <col min="15" max="15" width="22.109375" style="5" customWidth="1"/>
    <col min="16" max="16" width="23.109375" style="5" customWidth="1"/>
    <col min="17" max="18" width="12" customWidth="1"/>
    <col min="19" max="19" width="16.5546875" customWidth="1"/>
  </cols>
  <sheetData>
    <row r="1" spans="1:19" ht="41.4" customHeight="1" x14ac:dyDescent="0.3">
      <c r="A1" s="25"/>
      <c r="B1" s="25"/>
      <c r="C1" s="25"/>
      <c r="D1" s="25"/>
      <c r="E1" s="25"/>
      <c r="F1" s="25"/>
      <c r="G1" s="25"/>
      <c r="H1" s="25"/>
      <c r="I1" s="25"/>
      <c r="J1" s="25"/>
      <c r="K1" s="25"/>
      <c r="L1" s="25"/>
      <c r="M1" s="25"/>
      <c r="N1" s="25"/>
      <c r="O1" s="25"/>
      <c r="P1" s="25"/>
      <c r="Q1" s="25"/>
      <c r="R1" s="25"/>
      <c r="S1" s="25"/>
    </row>
    <row r="2" spans="1:19" x14ac:dyDescent="0.3">
      <c r="A2" s="8" t="s">
        <v>0</v>
      </c>
      <c r="B2" s="8" t="s">
        <v>1</v>
      </c>
      <c r="C2" s="8" t="s">
        <v>2</v>
      </c>
      <c r="D2" s="8" t="s">
        <v>3</v>
      </c>
      <c r="E2" s="8" t="s">
        <v>4</v>
      </c>
      <c r="F2" s="8" t="s">
        <v>5</v>
      </c>
      <c r="G2" s="8" t="s">
        <v>6</v>
      </c>
      <c r="H2" s="8" t="s">
        <v>7</v>
      </c>
      <c r="I2" s="8" t="s">
        <v>8</v>
      </c>
      <c r="J2" s="9" t="s">
        <v>9</v>
      </c>
      <c r="K2" s="9" t="s">
        <v>11</v>
      </c>
      <c r="L2" s="9" t="s">
        <v>12</v>
      </c>
      <c r="M2" s="13" t="s">
        <v>10</v>
      </c>
      <c r="N2" s="8" t="s">
        <v>13</v>
      </c>
      <c r="O2" s="9" t="s">
        <v>14</v>
      </c>
      <c r="P2" s="9" t="s">
        <v>15</v>
      </c>
      <c r="Q2" s="8" t="s">
        <v>16</v>
      </c>
      <c r="R2" s="8" t="s">
        <v>17</v>
      </c>
      <c r="S2" s="10" t="s">
        <v>18</v>
      </c>
    </row>
    <row r="3" spans="1:19" x14ac:dyDescent="0.3">
      <c r="A3" s="16" t="s">
        <v>19</v>
      </c>
      <c r="B3" s="17">
        <v>45292</v>
      </c>
      <c r="C3" s="16" t="s">
        <v>20</v>
      </c>
      <c r="D3" s="16" t="s">
        <v>21</v>
      </c>
      <c r="E3" s="16" t="s">
        <v>22</v>
      </c>
      <c r="F3" s="16" t="s">
        <v>23</v>
      </c>
      <c r="G3" s="16" t="s">
        <v>24</v>
      </c>
      <c r="H3" s="16" t="s">
        <v>25</v>
      </c>
      <c r="I3" s="16">
        <v>1</v>
      </c>
      <c r="J3" s="18">
        <v>15989</v>
      </c>
      <c r="K3" s="18">
        <v>15989</v>
      </c>
      <c r="L3" s="18">
        <v>0</v>
      </c>
      <c r="M3" s="14">
        <v>0</v>
      </c>
      <c r="N3" s="18">
        <f t="shared" ref="N3:N66" si="0">K3-L3</f>
        <v>15989</v>
      </c>
      <c r="O3" s="18">
        <v>7800.77</v>
      </c>
      <c r="P3" s="18">
        <f>N3-O3</f>
        <v>8188.23</v>
      </c>
      <c r="Q3" s="16" t="s">
        <v>26</v>
      </c>
      <c r="R3" s="16">
        <v>2024</v>
      </c>
      <c r="S3" s="16">
        <v>1</v>
      </c>
    </row>
    <row r="4" spans="1:19" x14ac:dyDescent="0.3">
      <c r="A4" t="s">
        <v>27</v>
      </c>
      <c r="B4" s="2">
        <v>45292</v>
      </c>
      <c r="C4" t="s">
        <v>28</v>
      </c>
      <c r="D4" t="s">
        <v>29</v>
      </c>
      <c r="E4" t="s">
        <v>22</v>
      </c>
      <c r="F4" t="s">
        <v>30</v>
      </c>
      <c r="G4" t="s">
        <v>31</v>
      </c>
      <c r="H4" t="s">
        <v>25</v>
      </c>
      <c r="I4">
        <v>1</v>
      </c>
      <c r="J4" s="5">
        <v>69509</v>
      </c>
      <c r="K4" s="5">
        <v>69509</v>
      </c>
      <c r="L4" s="5">
        <v>10426.35</v>
      </c>
      <c r="M4" s="12">
        <v>0.15</v>
      </c>
      <c r="N4" s="5">
        <f t="shared" si="0"/>
        <v>59082.65</v>
      </c>
      <c r="O4" s="5">
        <v>36611.910000000003</v>
      </c>
      <c r="P4" s="5">
        <f t="shared" ref="P4:P67" si="1">N4-O4</f>
        <v>22470.739999999998</v>
      </c>
      <c r="Q4" t="s">
        <v>26</v>
      </c>
      <c r="R4">
        <v>2024</v>
      </c>
      <c r="S4">
        <v>1</v>
      </c>
    </row>
    <row r="5" spans="1:19" x14ac:dyDescent="0.3">
      <c r="A5" s="19" t="s">
        <v>32</v>
      </c>
      <c r="B5" s="20">
        <v>45293</v>
      </c>
      <c r="C5" s="19" t="s">
        <v>33</v>
      </c>
      <c r="D5" s="19" t="s">
        <v>34</v>
      </c>
      <c r="E5" s="19" t="s">
        <v>22</v>
      </c>
      <c r="F5" s="19" t="s">
        <v>35</v>
      </c>
      <c r="G5" s="19" t="s">
        <v>24</v>
      </c>
      <c r="H5" s="19" t="s">
        <v>25</v>
      </c>
      <c r="I5" s="19">
        <v>2</v>
      </c>
      <c r="J5" s="21">
        <v>39039</v>
      </c>
      <c r="K5" s="21">
        <v>78078</v>
      </c>
      <c r="L5" s="21">
        <v>0</v>
      </c>
      <c r="M5" s="15">
        <v>0</v>
      </c>
      <c r="N5" s="21">
        <f t="shared" si="0"/>
        <v>78078</v>
      </c>
      <c r="O5" s="21">
        <v>47474.52</v>
      </c>
      <c r="P5" s="21">
        <f t="shared" si="1"/>
        <v>30603.480000000003</v>
      </c>
      <c r="Q5" s="19" t="s">
        <v>26</v>
      </c>
      <c r="R5" s="19">
        <v>2024</v>
      </c>
      <c r="S5" s="19">
        <v>1</v>
      </c>
    </row>
    <row r="6" spans="1:19" x14ac:dyDescent="0.3">
      <c r="A6" t="s">
        <v>36</v>
      </c>
      <c r="B6" s="2">
        <v>45293</v>
      </c>
      <c r="C6" t="s">
        <v>33</v>
      </c>
      <c r="D6" t="s">
        <v>34</v>
      </c>
      <c r="E6" t="s">
        <v>22</v>
      </c>
      <c r="F6" t="s">
        <v>37</v>
      </c>
      <c r="G6" t="s">
        <v>31</v>
      </c>
      <c r="H6" t="s">
        <v>25</v>
      </c>
      <c r="I6">
        <v>1</v>
      </c>
      <c r="J6" s="5">
        <v>41273</v>
      </c>
      <c r="K6" s="5">
        <v>41273</v>
      </c>
      <c r="L6" s="5">
        <v>0</v>
      </c>
      <c r="M6" s="12">
        <v>0</v>
      </c>
      <c r="N6" s="5">
        <f t="shared" si="0"/>
        <v>41273</v>
      </c>
      <c r="O6" s="5">
        <v>24202.67</v>
      </c>
      <c r="P6" s="5">
        <f t="shared" si="1"/>
        <v>17070.330000000002</v>
      </c>
      <c r="Q6" t="s">
        <v>26</v>
      </c>
      <c r="R6">
        <v>2024</v>
      </c>
      <c r="S6">
        <v>1</v>
      </c>
    </row>
    <row r="7" spans="1:19" x14ac:dyDescent="0.3">
      <c r="A7" s="19" t="s">
        <v>38</v>
      </c>
      <c r="B7" s="20">
        <v>45294</v>
      </c>
      <c r="C7" s="19" t="s">
        <v>20</v>
      </c>
      <c r="D7" s="19" t="s">
        <v>21</v>
      </c>
      <c r="E7" s="19" t="s">
        <v>22</v>
      </c>
      <c r="F7" s="19" t="s">
        <v>37</v>
      </c>
      <c r="G7" s="19" t="s">
        <v>31</v>
      </c>
      <c r="H7" s="19" t="s">
        <v>25</v>
      </c>
      <c r="I7" s="19">
        <v>1</v>
      </c>
      <c r="J7" s="21">
        <v>14451</v>
      </c>
      <c r="K7" s="21">
        <v>14451</v>
      </c>
      <c r="L7" s="21">
        <v>0</v>
      </c>
      <c r="M7" s="15">
        <v>0</v>
      </c>
      <c r="N7" s="21">
        <f t="shared" si="0"/>
        <v>14451</v>
      </c>
      <c r="O7" s="21">
        <v>9760.75</v>
      </c>
      <c r="P7" s="21">
        <f t="shared" si="1"/>
        <v>4690.25</v>
      </c>
      <c r="Q7" s="19" t="s">
        <v>26</v>
      </c>
      <c r="R7" s="19">
        <v>2024</v>
      </c>
      <c r="S7" s="19">
        <v>1</v>
      </c>
    </row>
    <row r="8" spans="1:19" x14ac:dyDescent="0.3">
      <c r="A8" t="s">
        <v>39</v>
      </c>
      <c r="B8" s="2">
        <v>45294</v>
      </c>
      <c r="C8" t="s">
        <v>20</v>
      </c>
      <c r="D8" t="s">
        <v>21</v>
      </c>
      <c r="E8" t="s">
        <v>22</v>
      </c>
      <c r="F8" t="s">
        <v>40</v>
      </c>
      <c r="G8" t="s">
        <v>24</v>
      </c>
      <c r="H8" t="s">
        <v>25</v>
      </c>
      <c r="I8">
        <v>4</v>
      </c>
      <c r="J8" s="5">
        <v>14676</v>
      </c>
      <c r="K8" s="5">
        <v>58704</v>
      </c>
      <c r="L8" s="5">
        <v>0</v>
      </c>
      <c r="M8" s="12">
        <v>0</v>
      </c>
      <c r="N8" s="5">
        <f t="shared" si="0"/>
        <v>58704</v>
      </c>
      <c r="O8" s="5">
        <v>39380.18</v>
      </c>
      <c r="P8" s="5">
        <f t="shared" si="1"/>
        <v>19323.82</v>
      </c>
      <c r="Q8" t="s">
        <v>26</v>
      </c>
      <c r="R8">
        <v>2024</v>
      </c>
      <c r="S8">
        <v>1</v>
      </c>
    </row>
    <row r="9" spans="1:19" x14ac:dyDescent="0.3">
      <c r="A9" s="19" t="s">
        <v>41</v>
      </c>
      <c r="B9" s="20">
        <v>45295</v>
      </c>
      <c r="C9" s="19" t="s">
        <v>20</v>
      </c>
      <c r="D9" s="19" t="s">
        <v>21</v>
      </c>
      <c r="E9" s="19" t="s">
        <v>42</v>
      </c>
      <c r="F9" s="19" t="s">
        <v>37</v>
      </c>
      <c r="G9" s="19" t="s">
        <v>31</v>
      </c>
      <c r="H9" s="19" t="s">
        <v>25</v>
      </c>
      <c r="I9" s="19">
        <v>1</v>
      </c>
      <c r="J9" s="21">
        <v>15933</v>
      </c>
      <c r="K9" s="21">
        <v>15933</v>
      </c>
      <c r="L9" s="21">
        <v>0</v>
      </c>
      <c r="M9" s="15">
        <v>0</v>
      </c>
      <c r="N9" s="21">
        <f t="shared" si="0"/>
        <v>15933</v>
      </c>
      <c r="O9" s="21">
        <v>9442.7099999999991</v>
      </c>
      <c r="P9" s="21">
        <f t="shared" si="1"/>
        <v>6490.2900000000009</v>
      </c>
      <c r="Q9" s="19" t="s">
        <v>26</v>
      </c>
      <c r="R9" s="19">
        <v>2024</v>
      </c>
      <c r="S9" s="19">
        <v>1</v>
      </c>
    </row>
    <row r="10" spans="1:19" x14ac:dyDescent="0.3">
      <c r="A10" t="s">
        <v>43</v>
      </c>
      <c r="B10" s="2">
        <v>45295</v>
      </c>
      <c r="C10" t="s">
        <v>33</v>
      </c>
      <c r="D10" t="s">
        <v>34</v>
      </c>
      <c r="E10" t="s">
        <v>44</v>
      </c>
      <c r="F10" t="s">
        <v>30</v>
      </c>
      <c r="G10" t="s">
        <v>24</v>
      </c>
      <c r="H10" t="s">
        <v>25</v>
      </c>
      <c r="I10">
        <v>2</v>
      </c>
      <c r="J10" s="5">
        <v>41128</v>
      </c>
      <c r="K10" s="5">
        <v>82256</v>
      </c>
      <c r="L10" s="5">
        <v>0</v>
      </c>
      <c r="M10" s="12">
        <v>0</v>
      </c>
      <c r="N10" s="5">
        <f t="shared" si="0"/>
        <v>82256</v>
      </c>
      <c r="O10" s="5">
        <v>48103.199999999997</v>
      </c>
      <c r="P10" s="5">
        <f t="shared" si="1"/>
        <v>34152.800000000003</v>
      </c>
      <c r="Q10" t="s">
        <v>26</v>
      </c>
      <c r="R10">
        <v>2024</v>
      </c>
      <c r="S10">
        <v>1</v>
      </c>
    </row>
    <row r="11" spans="1:19" x14ac:dyDescent="0.3">
      <c r="A11" s="19" t="s">
        <v>45</v>
      </c>
      <c r="B11" s="20">
        <v>45296</v>
      </c>
      <c r="C11" s="19" t="s">
        <v>46</v>
      </c>
      <c r="D11" s="19" t="s">
        <v>21</v>
      </c>
      <c r="E11" s="19" t="s">
        <v>42</v>
      </c>
      <c r="F11" s="19" t="s">
        <v>40</v>
      </c>
      <c r="G11" s="19" t="s">
        <v>31</v>
      </c>
      <c r="H11" s="19" t="s">
        <v>25</v>
      </c>
      <c r="I11" s="19">
        <v>2</v>
      </c>
      <c r="J11" s="21">
        <v>11792</v>
      </c>
      <c r="K11" s="21">
        <v>23584</v>
      </c>
      <c r="L11" s="21">
        <v>2358.4</v>
      </c>
      <c r="M11" s="15">
        <v>0.1</v>
      </c>
      <c r="N11" s="21">
        <f t="shared" si="0"/>
        <v>21225.599999999999</v>
      </c>
      <c r="O11" s="21">
        <v>12232.72</v>
      </c>
      <c r="P11" s="21">
        <f t="shared" si="1"/>
        <v>8992.8799999999992</v>
      </c>
      <c r="Q11" s="19" t="s">
        <v>26</v>
      </c>
      <c r="R11" s="19">
        <v>2024</v>
      </c>
      <c r="S11" s="19">
        <v>1</v>
      </c>
    </row>
    <row r="12" spans="1:19" x14ac:dyDescent="0.3">
      <c r="A12" t="s">
        <v>47</v>
      </c>
      <c r="B12" s="2">
        <v>45296</v>
      </c>
      <c r="C12" t="s">
        <v>48</v>
      </c>
      <c r="D12" t="s">
        <v>34</v>
      </c>
      <c r="E12" t="s">
        <v>22</v>
      </c>
      <c r="F12" t="s">
        <v>40</v>
      </c>
      <c r="G12" t="s">
        <v>31</v>
      </c>
      <c r="H12" t="s">
        <v>25</v>
      </c>
      <c r="I12">
        <v>5</v>
      </c>
      <c r="J12" s="5">
        <v>24808</v>
      </c>
      <c r="K12" s="5">
        <v>124040</v>
      </c>
      <c r="L12" s="5">
        <v>0</v>
      </c>
      <c r="M12" s="12">
        <v>0</v>
      </c>
      <c r="N12" s="5">
        <f t="shared" si="0"/>
        <v>124040</v>
      </c>
      <c r="O12" s="5">
        <v>60728.94</v>
      </c>
      <c r="P12" s="5">
        <f t="shared" si="1"/>
        <v>63311.06</v>
      </c>
      <c r="Q12" t="s">
        <v>26</v>
      </c>
      <c r="R12">
        <v>2024</v>
      </c>
      <c r="S12">
        <v>1</v>
      </c>
    </row>
    <row r="13" spans="1:19" x14ac:dyDescent="0.3">
      <c r="A13" s="19" t="s">
        <v>49</v>
      </c>
      <c r="B13" s="20">
        <v>45297</v>
      </c>
      <c r="C13" s="19" t="s">
        <v>50</v>
      </c>
      <c r="D13" s="19" t="s">
        <v>34</v>
      </c>
      <c r="E13" s="19" t="s">
        <v>44</v>
      </c>
      <c r="F13" s="19" t="s">
        <v>40</v>
      </c>
      <c r="G13" s="19" t="s">
        <v>24</v>
      </c>
      <c r="H13" s="19" t="s">
        <v>25</v>
      </c>
      <c r="I13" s="19">
        <v>2</v>
      </c>
      <c r="J13" s="21">
        <v>19096</v>
      </c>
      <c r="K13" s="21">
        <v>38192</v>
      </c>
      <c r="L13" s="21">
        <v>0</v>
      </c>
      <c r="M13" s="15">
        <v>0</v>
      </c>
      <c r="N13" s="21">
        <f t="shared" si="0"/>
        <v>38192</v>
      </c>
      <c r="O13" s="21">
        <v>22437.75</v>
      </c>
      <c r="P13" s="21">
        <f t="shared" si="1"/>
        <v>15754.25</v>
      </c>
      <c r="Q13" s="19" t="s">
        <v>26</v>
      </c>
      <c r="R13" s="19">
        <v>2024</v>
      </c>
      <c r="S13" s="19">
        <v>1</v>
      </c>
    </row>
    <row r="14" spans="1:19" x14ac:dyDescent="0.3">
      <c r="A14" t="s">
        <v>51</v>
      </c>
      <c r="B14" s="2">
        <v>45298</v>
      </c>
      <c r="C14" t="s">
        <v>48</v>
      </c>
      <c r="D14" t="s">
        <v>34</v>
      </c>
      <c r="E14" t="s">
        <v>42</v>
      </c>
      <c r="F14" t="s">
        <v>30</v>
      </c>
      <c r="G14" t="s">
        <v>24</v>
      </c>
      <c r="H14" t="s">
        <v>25</v>
      </c>
      <c r="I14">
        <v>1</v>
      </c>
      <c r="J14" s="5">
        <v>24972</v>
      </c>
      <c r="K14" s="5">
        <v>24972</v>
      </c>
      <c r="L14" s="5">
        <v>0</v>
      </c>
      <c r="M14" s="12">
        <v>0</v>
      </c>
      <c r="N14" s="5">
        <f t="shared" si="0"/>
        <v>24972</v>
      </c>
      <c r="O14" s="5">
        <v>14986.89</v>
      </c>
      <c r="P14" s="5">
        <f t="shared" si="1"/>
        <v>9985.11</v>
      </c>
      <c r="Q14" t="s">
        <v>26</v>
      </c>
      <c r="R14">
        <v>2024</v>
      </c>
      <c r="S14">
        <v>1</v>
      </c>
    </row>
    <row r="15" spans="1:19" x14ac:dyDescent="0.3">
      <c r="A15" s="19" t="s">
        <v>52</v>
      </c>
      <c r="B15" s="20">
        <v>45299</v>
      </c>
      <c r="C15" s="19" t="s">
        <v>46</v>
      </c>
      <c r="D15" s="19" t="s">
        <v>21</v>
      </c>
      <c r="E15" s="19" t="s">
        <v>42</v>
      </c>
      <c r="F15" s="19" t="s">
        <v>37</v>
      </c>
      <c r="G15" s="19" t="s">
        <v>31</v>
      </c>
      <c r="H15" s="19" t="s">
        <v>25</v>
      </c>
      <c r="I15" s="19">
        <v>4</v>
      </c>
      <c r="J15" s="21">
        <v>12639</v>
      </c>
      <c r="K15" s="21">
        <v>50556</v>
      </c>
      <c r="L15" s="21">
        <v>5055.6000000000004</v>
      </c>
      <c r="M15" s="15">
        <v>0.1</v>
      </c>
      <c r="N15" s="21">
        <f t="shared" si="0"/>
        <v>45500.4</v>
      </c>
      <c r="O15" s="21">
        <v>32247.56</v>
      </c>
      <c r="P15" s="21">
        <f t="shared" si="1"/>
        <v>13252.84</v>
      </c>
      <c r="Q15" s="19" t="s">
        <v>26</v>
      </c>
      <c r="R15" s="19">
        <v>2024</v>
      </c>
      <c r="S15" s="19">
        <v>1</v>
      </c>
    </row>
    <row r="16" spans="1:19" x14ac:dyDescent="0.3">
      <c r="A16" t="s">
        <v>53</v>
      </c>
      <c r="B16" s="2">
        <v>45300</v>
      </c>
      <c r="C16" t="s">
        <v>50</v>
      </c>
      <c r="D16" t="s">
        <v>34</v>
      </c>
      <c r="E16" t="s">
        <v>44</v>
      </c>
      <c r="F16" t="s">
        <v>23</v>
      </c>
      <c r="G16" t="s">
        <v>24</v>
      </c>
      <c r="H16" t="s">
        <v>25</v>
      </c>
      <c r="I16">
        <v>3</v>
      </c>
      <c r="J16" s="5">
        <v>19212</v>
      </c>
      <c r="K16" s="5">
        <v>57636</v>
      </c>
      <c r="L16" s="5">
        <v>0</v>
      </c>
      <c r="M16" s="12">
        <v>0</v>
      </c>
      <c r="N16" s="5">
        <f t="shared" si="0"/>
        <v>57636</v>
      </c>
      <c r="O16" s="5">
        <v>36068.39</v>
      </c>
      <c r="P16" s="5">
        <f t="shared" si="1"/>
        <v>21567.61</v>
      </c>
      <c r="Q16" t="s">
        <v>26</v>
      </c>
      <c r="R16">
        <v>2024</v>
      </c>
      <c r="S16">
        <v>1</v>
      </c>
    </row>
    <row r="17" spans="1:19" x14ac:dyDescent="0.3">
      <c r="A17" s="19" t="s">
        <v>54</v>
      </c>
      <c r="B17" s="20">
        <v>45301</v>
      </c>
      <c r="C17" s="19" t="s">
        <v>50</v>
      </c>
      <c r="D17" s="19" t="s">
        <v>34</v>
      </c>
      <c r="E17" s="19" t="s">
        <v>42</v>
      </c>
      <c r="F17" s="19" t="s">
        <v>40</v>
      </c>
      <c r="G17" s="19" t="s">
        <v>31</v>
      </c>
      <c r="H17" s="19" t="s">
        <v>25</v>
      </c>
      <c r="I17" s="19">
        <v>2</v>
      </c>
      <c r="J17" s="21">
        <v>17848</v>
      </c>
      <c r="K17" s="21">
        <v>35696</v>
      </c>
      <c r="L17" s="21">
        <v>0</v>
      </c>
      <c r="M17" s="15">
        <v>0</v>
      </c>
      <c r="N17" s="21">
        <f t="shared" si="0"/>
        <v>35696</v>
      </c>
      <c r="O17" s="21">
        <v>19828.05</v>
      </c>
      <c r="P17" s="21">
        <f t="shared" si="1"/>
        <v>15867.95</v>
      </c>
      <c r="Q17" s="19" t="s">
        <v>26</v>
      </c>
      <c r="R17" s="19">
        <v>2024</v>
      </c>
      <c r="S17" s="19">
        <v>1</v>
      </c>
    </row>
    <row r="18" spans="1:19" x14ac:dyDescent="0.3">
      <c r="A18" t="s">
        <v>55</v>
      </c>
      <c r="B18" s="2">
        <v>45301</v>
      </c>
      <c r="C18" t="s">
        <v>46</v>
      </c>
      <c r="D18" t="s">
        <v>21</v>
      </c>
      <c r="E18" t="s">
        <v>56</v>
      </c>
      <c r="F18" t="s">
        <v>40</v>
      </c>
      <c r="G18" t="s">
        <v>31</v>
      </c>
      <c r="H18" t="s">
        <v>25</v>
      </c>
      <c r="I18">
        <v>3</v>
      </c>
      <c r="J18" s="5">
        <v>11744</v>
      </c>
      <c r="K18" s="5">
        <v>35232</v>
      </c>
      <c r="L18" s="5">
        <v>1761.6</v>
      </c>
      <c r="M18" s="12">
        <v>0.05</v>
      </c>
      <c r="N18" s="5">
        <f t="shared" si="0"/>
        <v>33470.400000000001</v>
      </c>
      <c r="O18" s="5">
        <v>21763.83</v>
      </c>
      <c r="P18" s="5">
        <f t="shared" si="1"/>
        <v>11706.57</v>
      </c>
      <c r="Q18" t="s">
        <v>26</v>
      </c>
      <c r="R18">
        <v>2024</v>
      </c>
      <c r="S18">
        <v>1</v>
      </c>
    </row>
    <row r="19" spans="1:19" x14ac:dyDescent="0.3">
      <c r="A19" s="19" t="s">
        <v>57</v>
      </c>
      <c r="B19" s="20">
        <v>45302</v>
      </c>
      <c r="C19" s="19" t="s">
        <v>20</v>
      </c>
      <c r="D19" s="19" t="s">
        <v>21</v>
      </c>
      <c r="E19" s="19" t="s">
        <v>42</v>
      </c>
      <c r="F19" s="19" t="s">
        <v>40</v>
      </c>
      <c r="G19" s="19" t="s">
        <v>24</v>
      </c>
      <c r="H19" s="19" t="s">
        <v>25</v>
      </c>
      <c r="I19" s="19">
        <v>5</v>
      </c>
      <c r="J19" s="21">
        <v>14467</v>
      </c>
      <c r="K19" s="21">
        <v>72335</v>
      </c>
      <c r="L19" s="21">
        <v>0</v>
      </c>
      <c r="M19" s="15">
        <v>0</v>
      </c>
      <c r="N19" s="21">
        <f t="shared" si="0"/>
        <v>72335</v>
      </c>
      <c r="O19" s="21">
        <v>37182.080000000002</v>
      </c>
      <c r="P19" s="21">
        <f t="shared" si="1"/>
        <v>35152.92</v>
      </c>
      <c r="Q19" s="19" t="s">
        <v>26</v>
      </c>
      <c r="R19" s="19">
        <v>2024</v>
      </c>
      <c r="S19" s="19">
        <v>1</v>
      </c>
    </row>
    <row r="20" spans="1:19" x14ac:dyDescent="0.3">
      <c r="A20" t="s">
        <v>58</v>
      </c>
      <c r="B20" s="2">
        <v>45302</v>
      </c>
      <c r="C20" t="s">
        <v>46</v>
      </c>
      <c r="D20" t="s">
        <v>21</v>
      </c>
      <c r="E20" t="s">
        <v>56</v>
      </c>
      <c r="F20" t="s">
        <v>23</v>
      </c>
      <c r="G20" t="s">
        <v>31</v>
      </c>
      <c r="H20" t="s">
        <v>25</v>
      </c>
      <c r="I20">
        <v>5</v>
      </c>
      <c r="J20" s="5">
        <v>11671</v>
      </c>
      <c r="K20" s="5">
        <v>58355</v>
      </c>
      <c r="L20" s="5">
        <v>0</v>
      </c>
      <c r="M20" s="12">
        <v>0</v>
      </c>
      <c r="N20" s="5">
        <f t="shared" si="0"/>
        <v>58355</v>
      </c>
      <c r="O20" s="5">
        <v>37902.870000000003</v>
      </c>
      <c r="P20" s="5">
        <f t="shared" si="1"/>
        <v>20452.129999999997</v>
      </c>
      <c r="Q20" t="s">
        <v>26</v>
      </c>
      <c r="R20">
        <v>2024</v>
      </c>
      <c r="S20">
        <v>1</v>
      </c>
    </row>
    <row r="21" spans="1:19" x14ac:dyDescent="0.3">
      <c r="A21" s="19" t="s">
        <v>59</v>
      </c>
      <c r="B21" s="20">
        <v>45302</v>
      </c>
      <c r="C21" s="19" t="s">
        <v>50</v>
      </c>
      <c r="D21" s="19" t="s">
        <v>34</v>
      </c>
      <c r="E21" s="19" t="s">
        <v>22</v>
      </c>
      <c r="F21" s="19" t="s">
        <v>37</v>
      </c>
      <c r="G21" s="19" t="s">
        <v>31</v>
      </c>
      <c r="H21" s="19" t="s">
        <v>25</v>
      </c>
      <c r="I21" s="19">
        <v>4</v>
      </c>
      <c r="J21" s="21">
        <v>18454</v>
      </c>
      <c r="K21" s="21">
        <v>73816</v>
      </c>
      <c r="L21" s="21">
        <v>0</v>
      </c>
      <c r="M21" s="15">
        <v>0</v>
      </c>
      <c r="N21" s="21">
        <f t="shared" si="0"/>
        <v>73816</v>
      </c>
      <c r="O21" s="21">
        <v>37882.29</v>
      </c>
      <c r="P21" s="21">
        <f t="shared" si="1"/>
        <v>35933.71</v>
      </c>
      <c r="Q21" s="19" t="s">
        <v>26</v>
      </c>
      <c r="R21" s="19">
        <v>2024</v>
      </c>
      <c r="S21" s="19">
        <v>1</v>
      </c>
    </row>
    <row r="22" spans="1:19" x14ac:dyDescent="0.3">
      <c r="A22" t="s">
        <v>60</v>
      </c>
      <c r="B22" s="2">
        <v>45303</v>
      </c>
      <c r="C22" t="s">
        <v>46</v>
      </c>
      <c r="D22" t="s">
        <v>21</v>
      </c>
      <c r="E22" t="s">
        <v>42</v>
      </c>
      <c r="F22" t="s">
        <v>40</v>
      </c>
      <c r="G22" t="s">
        <v>31</v>
      </c>
      <c r="H22" t="s">
        <v>25</v>
      </c>
      <c r="I22">
        <v>1</v>
      </c>
      <c r="J22" s="5">
        <v>11838</v>
      </c>
      <c r="K22" s="5">
        <v>11838</v>
      </c>
      <c r="L22" s="5">
        <v>0</v>
      </c>
      <c r="M22" s="12">
        <v>0</v>
      </c>
      <c r="N22" s="5">
        <f t="shared" si="0"/>
        <v>11838</v>
      </c>
      <c r="O22" s="5">
        <v>6621.6</v>
      </c>
      <c r="P22" s="5">
        <f t="shared" si="1"/>
        <v>5216.3999999999996</v>
      </c>
      <c r="Q22" t="s">
        <v>26</v>
      </c>
      <c r="R22">
        <v>2024</v>
      </c>
      <c r="S22">
        <v>1</v>
      </c>
    </row>
    <row r="23" spans="1:19" x14ac:dyDescent="0.3">
      <c r="A23" s="19" t="s">
        <v>61</v>
      </c>
      <c r="B23" s="20">
        <v>45303</v>
      </c>
      <c r="C23" s="19" t="s">
        <v>50</v>
      </c>
      <c r="D23" s="19" t="s">
        <v>34</v>
      </c>
      <c r="E23" s="19" t="s">
        <v>22</v>
      </c>
      <c r="F23" s="19" t="s">
        <v>30</v>
      </c>
      <c r="G23" s="19" t="s">
        <v>24</v>
      </c>
      <c r="H23" s="19" t="s">
        <v>25</v>
      </c>
      <c r="I23" s="19">
        <v>4</v>
      </c>
      <c r="J23" s="21">
        <v>18288</v>
      </c>
      <c r="K23" s="21">
        <v>73152</v>
      </c>
      <c r="L23" s="21">
        <v>0</v>
      </c>
      <c r="M23" s="15">
        <v>0</v>
      </c>
      <c r="N23" s="21">
        <f t="shared" si="0"/>
        <v>73152</v>
      </c>
      <c r="O23" s="21">
        <v>44507.57</v>
      </c>
      <c r="P23" s="21">
        <f t="shared" si="1"/>
        <v>28644.43</v>
      </c>
      <c r="Q23" s="19" t="s">
        <v>26</v>
      </c>
      <c r="R23" s="19">
        <v>2024</v>
      </c>
      <c r="S23" s="19">
        <v>1</v>
      </c>
    </row>
    <row r="24" spans="1:19" x14ac:dyDescent="0.3">
      <c r="A24" t="s">
        <v>62</v>
      </c>
      <c r="B24" s="2">
        <v>45304</v>
      </c>
      <c r="C24" t="s">
        <v>33</v>
      </c>
      <c r="D24" t="s">
        <v>34</v>
      </c>
      <c r="E24" t="s">
        <v>22</v>
      </c>
      <c r="F24" t="s">
        <v>30</v>
      </c>
      <c r="G24" t="s">
        <v>24</v>
      </c>
      <c r="H24" t="s">
        <v>25</v>
      </c>
      <c r="I24">
        <v>1</v>
      </c>
      <c r="J24" s="5">
        <v>41414</v>
      </c>
      <c r="K24" s="5">
        <v>41414</v>
      </c>
      <c r="L24" s="5">
        <v>0</v>
      </c>
      <c r="M24" s="12">
        <v>0</v>
      </c>
      <c r="N24" s="5">
        <f t="shared" si="0"/>
        <v>41414</v>
      </c>
      <c r="O24" s="5">
        <v>21964.45</v>
      </c>
      <c r="P24" s="5">
        <f t="shared" si="1"/>
        <v>19449.55</v>
      </c>
      <c r="Q24" t="s">
        <v>26</v>
      </c>
      <c r="R24">
        <v>2024</v>
      </c>
      <c r="S24">
        <v>1</v>
      </c>
    </row>
    <row r="25" spans="1:19" x14ac:dyDescent="0.3">
      <c r="A25" s="19" t="s">
        <v>63</v>
      </c>
      <c r="B25" s="20">
        <v>45305</v>
      </c>
      <c r="C25" s="19" t="s">
        <v>64</v>
      </c>
      <c r="D25" s="19" t="s">
        <v>29</v>
      </c>
      <c r="E25" s="19" t="s">
        <v>42</v>
      </c>
      <c r="F25" s="19" t="s">
        <v>35</v>
      </c>
      <c r="G25" s="19" t="s">
        <v>24</v>
      </c>
      <c r="H25" s="19" t="s">
        <v>25</v>
      </c>
      <c r="I25" s="19">
        <v>2</v>
      </c>
      <c r="J25" s="21">
        <v>29422</v>
      </c>
      <c r="K25" s="21">
        <v>58844</v>
      </c>
      <c r="L25" s="21">
        <v>0</v>
      </c>
      <c r="M25" s="15">
        <v>0</v>
      </c>
      <c r="N25" s="21">
        <f t="shared" si="0"/>
        <v>58844</v>
      </c>
      <c r="O25" s="21">
        <v>34354.089999999997</v>
      </c>
      <c r="P25" s="21">
        <f t="shared" si="1"/>
        <v>24489.910000000003</v>
      </c>
      <c r="Q25" s="19" t="s">
        <v>26</v>
      </c>
      <c r="R25" s="19">
        <v>2024</v>
      </c>
      <c r="S25" s="19">
        <v>1</v>
      </c>
    </row>
    <row r="26" spans="1:19" x14ac:dyDescent="0.3">
      <c r="A26" t="s">
        <v>65</v>
      </c>
      <c r="B26" s="2">
        <v>45306</v>
      </c>
      <c r="C26" t="s">
        <v>28</v>
      </c>
      <c r="D26" t="s">
        <v>29</v>
      </c>
      <c r="E26" t="s">
        <v>44</v>
      </c>
      <c r="F26" t="s">
        <v>35</v>
      </c>
      <c r="G26" t="s">
        <v>31</v>
      </c>
      <c r="H26" t="s">
        <v>25</v>
      </c>
      <c r="I26">
        <v>1</v>
      </c>
      <c r="J26" s="5">
        <v>64691</v>
      </c>
      <c r="K26" s="5">
        <v>64691</v>
      </c>
      <c r="L26" s="5">
        <v>0</v>
      </c>
      <c r="M26" s="12">
        <v>0</v>
      </c>
      <c r="N26" s="5">
        <f t="shared" si="0"/>
        <v>64691</v>
      </c>
      <c r="O26" s="5">
        <v>39976.720000000001</v>
      </c>
      <c r="P26" s="5">
        <f t="shared" si="1"/>
        <v>24714.28</v>
      </c>
      <c r="Q26" t="s">
        <v>26</v>
      </c>
      <c r="R26">
        <v>2024</v>
      </c>
      <c r="S26">
        <v>1</v>
      </c>
    </row>
    <row r="27" spans="1:19" x14ac:dyDescent="0.3">
      <c r="A27" s="19" t="s">
        <v>66</v>
      </c>
      <c r="B27" s="20">
        <v>45306</v>
      </c>
      <c r="C27" s="19" t="s">
        <v>48</v>
      </c>
      <c r="D27" s="19" t="s">
        <v>34</v>
      </c>
      <c r="E27" s="19" t="s">
        <v>42</v>
      </c>
      <c r="F27" s="19" t="s">
        <v>40</v>
      </c>
      <c r="G27" s="19" t="s">
        <v>24</v>
      </c>
      <c r="H27" s="19" t="s">
        <v>25</v>
      </c>
      <c r="I27" s="19">
        <v>1</v>
      </c>
      <c r="J27" s="21">
        <v>24728</v>
      </c>
      <c r="K27" s="21">
        <v>24728</v>
      </c>
      <c r="L27" s="21">
        <v>0</v>
      </c>
      <c r="M27" s="15">
        <v>0</v>
      </c>
      <c r="N27" s="21">
        <f t="shared" si="0"/>
        <v>24728</v>
      </c>
      <c r="O27" s="21">
        <v>14900.79</v>
      </c>
      <c r="P27" s="21">
        <f t="shared" si="1"/>
        <v>9827.2099999999991</v>
      </c>
      <c r="Q27" s="19" t="s">
        <v>26</v>
      </c>
      <c r="R27" s="19">
        <v>2024</v>
      </c>
      <c r="S27" s="19">
        <v>1</v>
      </c>
    </row>
    <row r="28" spans="1:19" x14ac:dyDescent="0.3">
      <c r="A28" t="s">
        <v>67</v>
      </c>
      <c r="B28" s="2">
        <v>45307</v>
      </c>
      <c r="C28" t="s">
        <v>46</v>
      </c>
      <c r="D28" t="s">
        <v>21</v>
      </c>
      <c r="E28" t="s">
        <v>44</v>
      </c>
      <c r="F28" t="s">
        <v>23</v>
      </c>
      <c r="G28" t="s">
        <v>31</v>
      </c>
      <c r="H28" t="s">
        <v>25</v>
      </c>
      <c r="I28">
        <v>3</v>
      </c>
      <c r="J28" s="5">
        <v>11360</v>
      </c>
      <c r="K28" s="5">
        <v>34080</v>
      </c>
      <c r="L28" s="5">
        <v>0</v>
      </c>
      <c r="M28" s="12">
        <v>0</v>
      </c>
      <c r="N28" s="5">
        <f t="shared" si="0"/>
        <v>34080</v>
      </c>
      <c r="O28" s="5">
        <v>18987.45</v>
      </c>
      <c r="P28" s="5">
        <f t="shared" si="1"/>
        <v>15092.55</v>
      </c>
      <c r="Q28" t="s">
        <v>26</v>
      </c>
      <c r="R28">
        <v>2024</v>
      </c>
      <c r="S28">
        <v>1</v>
      </c>
    </row>
    <row r="29" spans="1:19" x14ac:dyDescent="0.3">
      <c r="A29" s="19" t="s">
        <v>68</v>
      </c>
      <c r="B29" s="20">
        <v>45308</v>
      </c>
      <c r="C29" s="19" t="s">
        <v>64</v>
      </c>
      <c r="D29" s="19" t="s">
        <v>29</v>
      </c>
      <c r="E29" s="19" t="s">
        <v>56</v>
      </c>
      <c r="F29" s="19" t="s">
        <v>40</v>
      </c>
      <c r="G29" s="19" t="s">
        <v>31</v>
      </c>
      <c r="H29" s="19" t="s">
        <v>25</v>
      </c>
      <c r="I29" s="19">
        <v>3</v>
      </c>
      <c r="J29" s="21">
        <v>30800</v>
      </c>
      <c r="K29" s="21">
        <v>92400</v>
      </c>
      <c r="L29" s="21">
        <v>0</v>
      </c>
      <c r="M29" s="15">
        <v>0</v>
      </c>
      <c r="N29" s="21">
        <f t="shared" si="0"/>
        <v>92400</v>
      </c>
      <c r="O29" s="21">
        <v>58175.13</v>
      </c>
      <c r="P29" s="21">
        <f t="shared" si="1"/>
        <v>34224.870000000003</v>
      </c>
      <c r="Q29" s="19" t="s">
        <v>26</v>
      </c>
      <c r="R29" s="19">
        <v>2024</v>
      </c>
      <c r="S29" s="19">
        <v>1</v>
      </c>
    </row>
    <row r="30" spans="1:19" x14ac:dyDescent="0.3">
      <c r="A30" t="s">
        <v>69</v>
      </c>
      <c r="B30" s="2">
        <v>45309</v>
      </c>
      <c r="C30" t="s">
        <v>33</v>
      </c>
      <c r="D30" t="s">
        <v>34</v>
      </c>
      <c r="E30" t="s">
        <v>44</v>
      </c>
      <c r="F30" t="s">
        <v>35</v>
      </c>
      <c r="G30" t="s">
        <v>31</v>
      </c>
      <c r="H30" t="s">
        <v>25</v>
      </c>
      <c r="I30">
        <v>1</v>
      </c>
      <c r="J30" s="5">
        <v>42420</v>
      </c>
      <c r="K30" s="5">
        <v>42420</v>
      </c>
      <c r="L30" s="5">
        <v>0</v>
      </c>
      <c r="M30" s="12">
        <v>0</v>
      </c>
      <c r="N30" s="5">
        <f t="shared" si="0"/>
        <v>42420</v>
      </c>
      <c r="O30" s="5">
        <v>28340.12</v>
      </c>
      <c r="P30" s="5">
        <f t="shared" si="1"/>
        <v>14079.880000000001</v>
      </c>
      <c r="Q30" t="s">
        <v>26</v>
      </c>
      <c r="R30">
        <v>2024</v>
      </c>
      <c r="S30">
        <v>1</v>
      </c>
    </row>
    <row r="31" spans="1:19" x14ac:dyDescent="0.3">
      <c r="A31" s="19" t="s">
        <v>70</v>
      </c>
      <c r="B31" s="20">
        <v>45309</v>
      </c>
      <c r="C31" s="19" t="s">
        <v>71</v>
      </c>
      <c r="D31" s="19" t="s">
        <v>34</v>
      </c>
      <c r="E31" s="19" t="s">
        <v>22</v>
      </c>
      <c r="F31" s="19" t="s">
        <v>40</v>
      </c>
      <c r="G31" s="19" t="s">
        <v>31</v>
      </c>
      <c r="H31" s="19" t="s">
        <v>25</v>
      </c>
      <c r="I31" s="19">
        <v>1</v>
      </c>
      <c r="J31" s="21">
        <v>47579</v>
      </c>
      <c r="K31" s="21">
        <v>47579</v>
      </c>
      <c r="L31" s="21">
        <v>0</v>
      </c>
      <c r="M31" s="15">
        <v>0</v>
      </c>
      <c r="N31" s="21">
        <f t="shared" si="0"/>
        <v>47579</v>
      </c>
      <c r="O31" s="21">
        <v>31642.55</v>
      </c>
      <c r="P31" s="21">
        <f t="shared" si="1"/>
        <v>15936.45</v>
      </c>
      <c r="Q31" s="19" t="s">
        <v>26</v>
      </c>
      <c r="R31" s="19">
        <v>2024</v>
      </c>
      <c r="S31" s="19">
        <v>1</v>
      </c>
    </row>
    <row r="32" spans="1:19" x14ac:dyDescent="0.3">
      <c r="A32" t="s">
        <v>72</v>
      </c>
      <c r="B32" s="2">
        <v>45311</v>
      </c>
      <c r="C32" t="s">
        <v>71</v>
      </c>
      <c r="D32" t="s">
        <v>34</v>
      </c>
      <c r="E32" t="s">
        <v>56</v>
      </c>
      <c r="F32" t="s">
        <v>35</v>
      </c>
      <c r="G32" t="s">
        <v>31</v>
      </c>
      <c r="H32" t="s">
        <v>25</v>
      </c>
      <c r="I32">
        <v>1</v>
      </c>
      <c r="J32" s="5">
        <v>48841</v>
      </c>
      <c r="K32" s="5">
        <v>48841</v>
      </c>
      <c r="L32" s="5">
        <v>2442.0500000000002</v>
      </c>
      <c r="M32" s="12">
        <v>0.05</v>
      </c>
      <c r="N32" s="5">
        <f t="shared" si="0"/>
        <v>46398.95</v>
      </c>
      <c r="O32" s="5">
        <v>25572.26</v>
      </c>
      <c r="P32" s="5">
        <f t="shared" si="1"/>
        <v>20826.689999999999</v>
      </c>
      <c r="Q32" t="s">
        <v>26</v>
      </c>
      <c r="R32">
        <v>2024</v>
      </c>
      <c r="S32">
        <v>1</v>
      </c>
    </row>
    <row r="33" spans="1:19" x14ac:dyDescent="0.3">
      <c r="A33" s="19" t="s">
        <v>73</v>
      </c>
      <c r="B33" s="20">
        <v>45312</v>
      </c>
      <c r="C33" s="19" t="s">
        <v>48</v>
      </c>
      <c r="D33" s="19" t="s">
        <v>34</v>
      </c>
      <c r="E33" s="19" t="s">
        <v>42</v>
      </c>
      <c r="F33" s="19" t="s">
        <v>35</v>
      </c>
      <c r="G33" s="19" t="s">
        <v>24</v>
      </c>
      <c r="H33" s="19" t="s">
        <v>25</v>
      </c>
      <c r="I33" s="19">
        <v>1</v>
      </c>
      <c r="J33" s="21">
        <v>24775</v>
      </c>
      <c r="K33" s="21">
        <v>24775</v>
      </c>
      <c r="L33" s="21">
        <v>0</v>
      </c>
      <c r="M33" s="15">
        <v>0</v>
      </c>
      <c r="N33" s="21">
        <f t="shared" si="0"/>
        <v>24775</v>
      </c>
      <c r="O33" s="21">
        <v>12769.78</v>
      </c>
      <c r="P33" s="21">
        <f t="shared" si="1"/>
        <v>12005.22</v>
      </c>
      <c r="Q33" s="19" t="s">
        <v>26</v>
      </c>
      <c r="R33" s="19">
        <v>2024</v>
      </c>
      <c r="S33" s="19">
        <v>1</v>
      </c>
    </row>
    <row r="34" spans="1:19" x14ac:dyDescent="0.3">
      <c r="A34" t="s">
        <v>74</v>
      </c>
      <c r="B34" s="2">
        <v>45313</v>
      </c>
      <c r="C34" t="s">
        <v>75</v>
      </c>
      <c r="D34" t="s">
        <v>34</v>
      </c>
      <c r="E34" t="s">
        <v>56</v>
      </c>
      <c r="F34" t="s">
        <v>40</v>
      </c>
      <c r="G34" t="s">
        <v>24</v>
      </c>
      <c r="H34" t="s">
        <v>25</v>
      </c>
      <c r="I34">
        <v>1</v>
      </c>
      <c r="J34" s="5">
        <v>39954</v>
      </c>
      <c r="K34" s="5">
        <v>39954</v>
      </c>
      <c r="L34" s="5">
        <v>0</v>
      </c>
      <c r="M34" s="12">
        <v>0</v>
      </c>
      <c r="N34" s="5">
        <f t="shared" si="0"/>
        <v>39954</v>
      </c>
      <c r="O34" s="5">
        <v>24534.84</v>
      </c>
      <c r="P34" s="5">
        <f t="shared" si="1"/>
        <v>15419.16</v>
      </c>
      <c r="Q34" t="s">
        <v>26</v>
      </c>
      <c r="R34">
        <v>2024</v>
      </c>
      <c r="S34">
        <v>1</v>
      </c>
    </row>
    <row r="35" spans="1:19" x14ac:dyDescent="0.3">
      <c r="A35" s="19" t="s">
        <v>76</v>
      </c>
      <c r="B35" s="20">
        <v>45314</v>
      </c>
      <c r="C35" s="19" t="s">
        <v>48</v>
      </c>
      <c r="D35" s="19" t="s">
        <v>34</v>
      </c>
      <c r="E35" s="19" t="s">
        <v>22</v>
      </c>
      <c r="F35" s="19" t="s">
        <v>40</v>
      </c>
      <c r="G35" s="19" t="s">
        <v>31</v>
      </c>
      <c r="H35" s="19" t="s">
        <v>25</v>
      </c>
      <c r="I35" s="19">
        <v>2</v>
      </c>
      <c r="J35" s="21">
        <v>23840</v>
      </c>
      <c r="K35" s="21">
        <v>47680</v>
      </c>
      <c r="L35" s="21">
        <v>0</v>
      </c>
      <c r="M35" s="15">
        <v>0</v>
      </c>
      <c r="N35" s="21">
        <f t="shared" si="0"/>
        <v>47680</v>
      </c>
      <c r="O35" s="21">
        <v>23126.7</v>
      </c>
      <c r="P35" s="21">
        <f t="shared" si="1"/>
        <v>24553.3</v>
      </c>
      <c r="Q35" s="19" t="s">
        <v>26</v>
      </c>
      <c r="R35" s="19">
        <v>2024</v>
      </c>
      <c r="S35" s="19">
        <v>1</v>
      </c>
    </row>
    <row r="36" spans="1:19" x14ac:dyDescent="0.3">
      <c r="A36" t="s">
        <v>77</v>
      </c>
      <c r="B36" s="2">
        <v>45314</v>
      </c>
      <c r="C36" t="s">
        <v>20</v>
      </c>
      <c r="D36" t="s">
        <v>21</v>
      </c>
      <c r="E36" t="s">
        <v>22</v>
      </c>
      <c r="F36" t="s">
        <v>37</v>
      </c>
      <c r="G36" t="s">
        <v>31</v>
      </c>
      <c r="H36" t="s">
        <v>25</v>
      </c>
      <c r="I36">
        <v>3</v>
      </c>
      <c r="J36" s="5">
        <v>16062</v>
      </c>
      <c r="K36" s="5">
        <v>48186</v>
      </c>
      <c r="L36" s="5">
        <v>0</v>
      </c>
      <c r="M36" s="12">
        <v>0</v>
      </c>
      <c r="N36" s="5">
        <f t="shared" si="0"/>
        <v>48186</v>
      </c>
      <c r="O36" s="5">
        <v>28793.01</v>
      </c>
      <c r="P36" s="5">
        <f t="shared" si="1"/>
        <v>19392.990000000002</v>
      </c>
      <c r="Q36" t="s">
        <v>26</v>
      </c>
      <c r="R36">
        <v>2024</v>
      </c>
      <c r="S36">
        <v>1</v>
      </c>
    </row>
    <row r="37" spans="1:19" x14ac:dyDescent="0.3">
      <c r="A37" s="19" t="s">
        <v>78</v>
      </c>
      <c r="B37" s="20">
        <v>45316</v>
      </c>
      <c r="C37" s="19" t="s">
        <v>46</v>
      </c>
      <c r="D37" s="19" t="s">
        <v>21</v>
      </c>
      <c r="E37" s="19" t="s">
        <v>44</v>
      </c>
      <c r="F37" s="19" t="s">
        <v>37</v>
      </c>
      <c r="G37" s="19" t="s">
        <v>31</v>
      </c>
      <c r="H37" s="19" t="s">
        <v>25</v>
      </c>
      <c r="I37" s="19">
        <v>2</v>
      </c>
      <c r="J37" s="21">
        <v>12904</v>
      </c>
      <c r="K37" s="21">
        <v>25808</v>
      </c>
      <c r="L37" s="21">
        <v>1290.4000000000001</v>
      </c>
      <c r="M37" s="15">
        <v>0.05</v>
      </c>
      <c r="N37" s="21">
        <f t="shared" si="0"/>
        <v>24517.599999999999</v>
      </c>
      <c r="O37" s="21">
        <v>16832.150000000001</v>
      </c>
      <c r="P37" s="21">
        <f t="shared" si="1"/>
        <v>7685.4499999999971</v>
      </c>
      <c r="Q37" s="19" t="s">
        <v>26</v>
      </c>
      <c r="R37" s="19">
        <v>2024</v>
      </c>
      <c r="S37" s="19">
        <v>1</v>
      </c>
    </row>
    <row r="38" spans="1:19" x14ac:dyDescent="0.3">
      <c r="A38" t="s">
        <v>79</v>
      </c>
      <c r="B38" s="2">
        <v>45316</v>
      </c>
      <c r="C38" t="s">
        <v>50</v>
      </c>
      <c r="D38" t="s">
        <v>34</v>
      </c>
      <c r="E38" t="s">
        <v>42</v>
      </c>
      <c r="F38" t="s">
        <v>30</v>
      </c>
      <c r="G38" t="s">
        <v>24</v>
      </c>
      <c r="H38" t="s">
        <v>25</v>
      </c>
      <c r="I38">
        <v>5</v>
      </c>
      <c r="J38" s="5">
        <v>17366</v>
      </c>
      <c r="K38" s="5">
        <v>86830</v>
      </c>
      <c r="L38" s="5">
        <v>0</v>
      </c>
      <c r="M38" s="12">
        <v>0</v>
      </c>
      <c r="N38" s="5">
        <f t="shared" si="0"/>
        <v>86830</v>
      </c>
      <c r="O38" s="5">
        <v>43627.58</v>
      </c>
      <c r="P38" s="5">
        <f t="shared" si="1"/>
        <v>43202.42</v>
      </c>
      <c r="Q38" t="s">
        <v>26</v>
      </c>
      <c r="R38">
        <v>2024</v>
      </c>
      <c r="S38">
        <v>1</v>
      </c>
    </row>
    <row r="39" spans="1:19" x14ac:dyDescent="0.3">
      <c r="A39" s="19" t="s">
        <v>80</v>
      </c>
      <c r="B39" s="20">
        <v>45316</v>
      </c>
      <c r="C39" s="19" t="s">
        <v>75</v>
      </c>
      <c r="D39" s="19" t="s">
        <v>34</v>
      </c>
      <c r="E39" s="19" t="s">
        <v>42</v>
      </c>
      <c r="F39" s="19" t="s">
        <v>30</v>
      </c>
      <c r="G39" s="19" t="s">
        <v>24</v>
      </c>
      <c r="H39" s="19" t="s">
        <v>25</v>
      </c>
      <c r="I39" s="19">
        <v>1</v>
      </c>
      <c r="J39" s="21">
        <v>40689</v>
      </c>
      <c r="K39" s="21">
        <v>40689</v>
      </c>
      <c r="L39" s="21">
        <v>0</v>
      </c>
      <c r="M39" s="15">
        <v>0</v>
      </c>
      <c r="N39" s="21">
        <f t="shared" si="0"/>
        <v>40689</v>
      </c>
      <c r="O39" s="21">
        <v>22062.93</v>
      </c>
      <c r="P39" s="21">
        <f t="shared" si="1"/>
        <v>18626.07</v>
      </c>
      <c r="Q39" s="19" t="s">
        <v>26</v>
      </c>
      <c r="R39" s="19">
        <v>2024</v>
      </c>
      <c r="S39" s="19">
        <v>1</v>
      </c>
    </row>
    <row r="40" spans="1:19" x14ac:dyDescent="0.3">
      <c r="A40" t="s">
        <v>81</v>
      </c>
      <c r="B40" s="2">
        <v>45318</v>
      </c>
      <c r="C40" t="s">
        <v>82</v>
      </c>
      <c r="D40" t="s">
        <v>21</v>
      </c>
      <c r="E40" t="s">
        <v>22</v>
      </c>
      <c r="F40" t="s">
        <v>23</v>
      </c>
      <c r="G40" t="s">
        <v>31</v>
      </c>
      <c r="H40" t="s">
        <v>25</v>
      </c>
      <c r="I40">
        <v>1</v>
      </c>
      <c r="J40" s="5">
        <v>45081</v>
      </c>
      <c r="K40" s="5">
        <v>45081</v>
      </c>
      <c r="L40" s="5">
        <v>0</v>
      </c>
      <c r="M40" s="12">
        <v>0</v>
      </c>
      <c r="N40" s="5">
        <f t="shared" si="0"/>
        <v>45081</v>
      </c>
      <c r="O40" s="5">
        <v>29521.71</v>
      </c>
      <c r="P40" s="5">
        <f t="shared" si="1"/>
        <v>15559.29</v>
      </c>
      <c r="Q40" t="s">
        <v>26</v>
      </c>
      <c r="R40">
        <v>2024</v>
      </c>
      <c r="S40">
        <v>1</v>
      </c>
    </row>
    <row r="41" spans="1:19" x14ac:dyDescent="0.3">
      <c r="A41" s="19" t="s">
        <v>83</v>
      </c>
      <c r="B41" s="20">
        <v>45318</v>
      </c>
      <c r="C41" s="19" t="s">
        <v>33</v>
      </c>
      <c r="D41" s="19" t="s">
        <v>34</v>
      </c>
      <c r="E41" s="19" t="s">
        <v>44</v>
      </c>
      <c r="F41" s="19" t="s">
        <v>37</v>
      </c>
      <c r="G41" s="19" t="s">
        <v>31</v>
      </c>
      <c r="H41" s="19" t="s">
        <v>25</v>
      </c>
      <c r="I41" s="19">
        <v>1</v>
      </c>
      <c r="J41" s="21">
        <v>42993</v>
      </c>
      <c r="K41" s="21">
        <v>42993</v>
      </c>
      <c r="L41" s="21">
        <v>0</v>
      </c>
      <c r="M41" s="15">
        <v>0</v>
      </c>
      <c r="N41" s="21">
        <f t="shared" si="0"/>
        <v>42993</v>
      </c>
      <c r="O41" s="21">
        <v>23051.83</v>
      </c>
      <c r="P41" s="21">
        <f t="shared" si="1"/>
        <v>19941.169999999998</v>
      </c>
      <c r="Q41" s="19" t="s">
        <v>26</v>
      </c>
      <c r="R41" s="19">
        <v>2024</v>
      </c>
      <c r="S41" s="19">
        <v>1</v>
      </c>
    </row>
    <row r="42" spans="1:19" x14ac:dyDescent="0.3">
      <c r="A42" t="s">
        <v>84</v>
      </c>
      <c r="B42" s="2">
        <v>45319</v>
      </c>
      <c r="C42" t="s">
        <v>82</v>
      </c>
      <c r="D42" t="s">
        <v>21</v>
      </c>
      <c r="E42" t="s">
        <v>22</v>
      </c>
      <c r="F42" t="s">
        <v>40</v>
      </c>
      <c r="G42" t="s">
        <v>24</v>
      </c>
      <c r="H42" t="s">
        <v>25</v>
      </c>
      <c r="I42">
        <v>2</v>
      </c>
      <c r="J42" s="5">
        <v>41843</v>
      </c>
      <c r="K42" s="5">
        <v>83686</v>
      </c>
      <c r="L42" s="5">
        <v>0</v>
      </c>
      <c r="M42" s="12">
        <v>0</v>
      </c>
      <c r="N42" s="5">
        <f t="shared" si="0"/>
        <v>83686</v>
      </c>
      <c r="O42" s="5">
        <v>55149.64</v>
      </c>
      <c r="P42" s="5">
        <f t="shared" si="1"/>
        <v>28536.36</v>
      </c>
      <c r="Q42" t="s">
        <v>26</v>
      </c>
      <c r="R42">
        <v>2024</v>
      </c>
      <c r="S42">
        <v>1</v>
      </c>
    </row>
    <row r="43" spans="1:19" x14ac:dyDescent="0.3">
      <c r="A43" s="19" t="s">
        <v>85</v>
      </c>
      <c r="B43" s="20">
        <v>45319</v>
      </c>
      <c r="C43" s="19" t="s">
        <v>71</v>
      </c>
      <c r="D43" s="19" t="s">
        <v>34</v>
      </c>
      <c r="E43" s="19" t="s">
        <v>44</v>
      </c>
      <c r="F43" s="19" t="s">
        <v>40</v>
      </c>
      <c r="G43" s="19" t="s">
        <v>24</v>
      </c>
      <c r="H43" s="19" t="s">
        <v>25</v>
      </c>
      <c r="I43" s="19">
        <v>3</v>
      </c>
      <c r="J43" s="21">
        <v>51987</v>
      </c>
      <c r="K43" s="21">
        <v>155961</v>
      </c>
      <c r="L43" s="21">
        <v>0</v>
      </c>
      <c r="M43" s="15">
        <v>0</v>
      </c>
      <c r="N43" s="21">
        <f t="shared" si="0"/>
        <v>155961</v>
      </c>
      <c r="O43" s="21">
        <v>89177.56</v>
      </c>
      <c r="P43" s="21">
        <f t="shared" si="1"/>
        <v>66783.44</v>
      </c>
      <c r="Q43" s="19" t="s">
        <v>26</v>
      </c>
      <c r="R43" s="19">
        <v>2024</v>
      </c>
      <c r="S43" s="19">
        <v>1</v>
      </c>
    </row>
    <row r="44" spans="1:19" x14ac:dyDescent="0.3">
      <c r="A44" t="s">
        <v>86</v>
      </c>
      <c r="B44" s="2">
        <v>45320</v>
      </c>
      <c r="C44" t="s">
        <v>48</v>
      </c>
      <c r="D44" t="s">
        <v>34</v>
      </c>
      <c r="E44" t="s">
        <v>56</v>
      </c>
      <c r="F44" t="s">
        <v>35</v>
      </c>
      <c r="G44" t="s">
        <v>31</v>
      </c>
      <c r="H44" t="s">
        <v>25</v>
      </c>
      <c r="I44">
        <v>1</v>
      </c>
      <c r="J44" s="5">
        <v>23063</v>
      </c>
      <c r="K44" s="5">
        <v>23063</v>
      </c>
      <c r="L44" s="5">
        <v>0</v>
      </c>
      <c r="M44" s="12">
        <v>0</v>
      </c>
      <c r="N44" s="5">
        <f t="shared" si="0"/>
        <v>23063</v>
      </c>
      <c r="O44" s="5">
        <v>13658.15</v>
      </c>
      <c r="P44" s="5">
        <f t="shared" si="1"/>
        <v>9404.85</v>
      </c>
      <c r="Q44" t="s">
        <v>26</v>
      </c>
      <c r="R44">
        <v>2024</v>
      </c>
      <c r="S44">
        <v>1</v>
      </c>
    </row>
    <row r="45" spans="1:19" x14ac:dyDescent="0.3">
      <c r="A45" s="19" t="s">
        <v>87</v>
      </c>
      <c r="B45" s="20">
        <v>45320</v>
      </c>
      <c r="C45" s="19" t="s">
        <v>48</v>
      </c>
      <c r="D45" s="19" t="s">
        <v>34</v>
      </c>
      <c r="E45" s="19" t="s">
        <v>22</v>
      </c>
      <c r="F45" s="19" t="s">
        <v>23</v>
      </c>
      <c r="G45" s="19" t="s">
        <v>31</v>
      </c>
      <c r="H45" s="19" t="s">
        <v>25</v>
      </c>
      <c r="I45" s="19">
        <v>2</v>
      </c>
      <c r="J45" s="21">
        <v>25639</v>
      </c>
      <c r="K45" s="21">
        <v>51278</v>
      </c>
      <c r="L45" s="21">
        <v>0</v>
      </c>
      <c r="M45" s="15">
        <v>0</v>
      </c>
      <c r="N45" s="21">
        <f t="shared" si="0"/>
        <v>51278</v>
      </c>
      <c r="O45" s="21">
        <v>25961.15</v>
      </c>
      <c r="P45" s="21">
        <f t="shared" si="1"/>
        <v>25316.85</v>
      </c>
      <c r="Q45" s="19" t="s">
        <v>26</v>
      </c>
      <c r="R45" s="19">
        <v>2024</v>
      </c>
      <c r="S45" s="19">
        <v>1</v>
      </c>
    </row>
    <row r="46" spans="1:19" x14ac:dyDescent="0.3">
      <c r="A46" t="s">
        <v>88</v>
      </c>
      <c r="B46" s="2">
        <v>45320</v>
      </c>
      <c r="C46" t="s">
        <v>75</v>
      </c>
      <c r="D46" t="s">
        <v>34</v>
      </c>
      <c r="E46" t="s">
        <v>22</v>
      </c>
      <c r="F46" t="s">
        <v>23</v>
      </c>
      <c r="G46" t="s">
        <v>31</v>
      </c>
      <c r="H46" t="s">
        <v>25</v>
      </c>
      <c r="I46">
        <v>2</v>
      </c>
      <c r="J46" s="5">
        <v>40120</v>
      </c>
      <c r="K46" s="5">
        <v>80240</v>
      </c>
      <c r="L46" s="5">
        <v>4012</v>
      </c>
      <c r="M46" s="12">
        <v>0.05</v>
      </c>
      <c r="N46" s="5">
        <f t="shared" si="0"/>
        <v>76228</v>
      </c>
      <c r="O46" s="5">
        <v>53553.98</v>
      </c>
      <c r="P46" s="5">
        <f t="shared" si="1"/>
        <v>22674.019999999997</v>
      </c>
      <c r="Q46" t="s">
        <v>26</v>
      </c>
      <c r="R46">
        <v>2024</v>
      </c>
      <c r="S46">
        <v>1</v>
      </c>
    </row>
    <row r="47" spans="1:19" x14ac:dyDescent="0.3">
      <c r="A47" s="19" t="s">
        <v>89</v>
      </c>
      <c r="B47" s="20">
        <v>45320</v>
      </c>
      <c r="C47" s="19" t="s">
        <v>48</v>
      </c>
      <c r="D47" s="19" t="s">
        <v>34</v>
      </c>
      <c r="E47" s="19" t="s">
        <v>22</v>
      </c>
      <c r="F47" s="19" t="s">
        <v>30</v>
      </c>
      <c r="G47" s="19" t="s">
        <v>24</v>
      </c>
      <c r="H47" s="19" t="s">
        <v>25</v>
      </c>
      <c r="I47" s="19">
        <v>3</v>
      </c>
      <c r="J47" s="21">
        <v>23929</v>
      </c>
      <c r="K47" s="21">
        <v>71787</v>
      </c>
      <c r="L47" s="21">
        <v>7178.7</v>
      </c>
      <c r="M47" s="15">
        <v>0.1</v>
      </c>
      <c r="N47" s="21">
        <f t="shared" si="0"/>
        <v>64608.3</v>
      </c>
      <c r="O47" s="21">
        <v>46845.16</v>
      </c>
      <c r="P47" s="21">
        <f t="shared" si="1"/>
        <v>17763.14</v>
      </c>
      <c r="Q47" s="19" t="s">
        <v>26</v>
      </c>
      <c r="R47" s="19">
        <v>2024</v>
      </c>
      <c r="S47" s="19">
        <v>1</v>
      </c>
    </row>
    <row r="48" spans="1:19" x14ac:dyDescent="0.3">
      <c r="A48" t="s">
        <v>90</v>
      </c>
      <c r="B48" s="2">
        <v>45323</v>
      </c>
      <c r="C48" t="s">
        <v>50</v>
      </c>
      <c r="D48" t="s">
        <v>34</v>
      </c>
      <c r="E48" t="s">
        <v>44</v>
      </c>
      <c r="F48" t="s">
        <v>23</v>
      </c>
      <c r="G48" t="s">
        <v>31</v>
      </c>
      <c r="H48" t="s">
        <v>25</v>
      </c>
      <c r="I48">
        <v>3</v>
      </c>
      <c r="J48" s="5">
        <v>17057</v>
      </c>
      <c r="K48" s="5">
        <v>51171</v>
      </c>
      <c r="L48" s="5">
        <v>0</v>
      </c>
      <c r="M48" s="12">
        <v>0</v>
      </c>
      <c r="N48" s="5">
        <f t="shared" si="0"/>
        <v>51171</v>
      </c>
      <c r="O48" s="5">
        <v>29176.720000000001</v>
      </c>
      <c r="P48" s="5">
        <f t="shared" si="1"/>
        <v>21994.28</v>
      </c>
      <c r="Q48" t="s">
        <v>91</v>
      </c>
      <c r="R48">
        <v>2024</v>
      </c>
      <c r="S48">
        <v>2</v>
      </c>
    </row>
    <row r="49" spans="1:19" x14ac:dyDescent="0.3">
      <c r="A49" s="19" t="s">
        <v>92</v>
      </c>
      <c r="B49" s="20">
        <v>45325</v>
      </c>
      <c r="C49" s="19" t="s">
        <v>50</v>
      </c>
      <c r="D49" s="19" t="s">
        <v>34</v>
      </c>
      <c r="E49" s="19" t="s">
        <v>44</v>
      </c>
      <c r="F49" s="19" t="s">
        <v>40</v>
      </c>
      <c r="G49" s="19" t="s">
        <v>31</v>
      </c>
      <c r="H49" s="19" t="s">
        <v>25</v>
      </c>
      <c r="I49" s="19">
        <v>2</v>
      </c>
      <c r="J49" s="21">
        <v>17949</v>
      </c>
      <c r="K49" s="21">
        <v>35898</v>
      </c>
      <c r="L49" s="21">
        <v>0</v>
      </c>
      <c r="M49" s="15">
        <v>0</v>
      </c>
      <c r="N49" s="21">
        <f t="shared" si="0"/>
        <v>35898</v>
      </c>
      <c r="O49" s="21">
        <v>22745.61</v>
      </c>
      <c r="P49" s="21">
        <f t="shared" si="1"/>
        <v>13152.39</v>
      </c>
      <c r="Q49" s="19" t="s">
        <v>91</v>
      </c>
      <c r="R49" s="19">
        <v>2024</v>
      </c>
      <c r="S49" s="19">
        <v>2</v>
      </c>
    </row>
    <row r="50" spans="1:19" x14ac:dyDescent="0.3">
      <c r="A50" t="s">
        <v>93</v>
      </c>
      <c r="B50" s="2">
        <v>45325</v>
      </c>
      <c r="C50" t="s">
        <v>64</v>
      </c>
      <c r="D50" t="s">
        <v>29</v>
      </c>
      <c r="E50" t="s">
        <v>22</v>
      </c>
      <c r="F50" t="s">
        <v>37</v>
      </c>
      <c r="G50" t="s">
        <v>31</v>
      </c>
      <c r="H50" t="s">
        <v>94</v>
      </c>
      <c r="I50">
        <v>2</v>
      </c>
      <c r="J50" s="5">
        <v>27700</v>
      </c>
      <c r="K50" s="5">
        <v>55400</v>
      </c>
      <c r="L50" s="5">
        <v>5540</v>
      </c>
      <c r="M50" s="12">
        <v>0.1</v>
      </c>
      <c r="N50" s="5">
        <f t="shared" si="0"/>
        <v>49860</v>
      </c>
      <c r="O50" s="5">
        <v>26951.95</v>
      </c>
      <c r="P50" s="5">
        <f t="shared" si="1"/>
        <v>22908.05</v>
      </c>
      <c r="Q50" t="s">
        <v>91</v>
      </c>
      <c r="R50">
        <v>2024</v>
      </c>
      <c r="S50">
        <v>2</v>
      </c>
    </row>
    <row r="51" spans="1:19" x14ac:dyDescent="0.3">
      <c r="A51" s="19" t="s">
        <v>95</v>
      </c>
      <c r="B51" s="20">
        <v>45325</v>
      </c>
      <c r="C51" s="19" t="s">
        <v>64</v>
      </c>
      <c r="D51" s="19" t="s">
        <v>29</v>
      </c>
      <c r="E51" s="19" t="s">
        <v>42</v>
      </c>
      <c r="F51" s="19" t="s">
        <v>35</v>
      </c>
      <c r="G51" s="19" t="s">
        <v>24</v>
      </c>
      <c r="H51" s="19" t="s">
        <v>94</v>
      </c>
      <c r="I51" s="19">
        <v>4</v>
      </c>
      <c r="J51" s="21">
        <v>30624</v>
      </c>
      <c r="K51" s="21">
        <v>122496</v>
      </c>
      <c r="L51" s="21">
        <v>12249.6</v>
      </c>
      <c r="M51" s="15">
        <v>0.1</v>
      </c>
      <c r="N51" s="21">
        <f t="shared" si="0"/>
        <v>110246.39999999999</v>
      </c>
      <c r="O51" s="21">
        <v>66069.45</v>
      </c>
      <c r="P51" s="21">
        <f t="shared" si="1"/>
        <v>44176.95</v>
      </c>
      <c r="Q51" s="19" t="s">
        <v>91</v>
      </c>
      <c r="R51" s="19">
        <v>2024</v>
      </c>
      <c r="S51" s="19">
        <v>2</v>
      </c>
    </row>
    <row r="52" spans="1:19" x14ac:dyDescent="0.3">
      <c r="A52" t="s">
        <v>96</v>
      </c>
      <c r="B52" s="2">
        <v>45326</v>
      </c>
      <c r="C52" t="s">
        <v>50</v>
      </c>
      <c r="D52" t="s">
        <v>34</v>
      </c>
      <c r="E52" t="s">
        <v>42</v>
      </c>
      <c r="F52" t="s">
        <v>40</v>
      </c>
      <c r="G52" t="s">
        <v>31</v>
      </c>
      <c r="H52" t="s">
        <v>94</v>
      </c>
      <c r="I52">
        <v>2</v>
      </c>
      <c r="J52" s="5">
        <v>18380</v>
      </c>
      <c r="K52" s="5">
        <v>36760</v>
      </c>
      <c r="L52" s="5">
        <v>3676</v>
      </c>
      <c r="M52" s="12">
        <v>0.1</v>
      </c>
      <c r="N52" s="5">
        <f t="shared" si="0"/>
        <v>33084</v>
      </c>
      <c r="O52" s="5">
        <v>18687.13</v>
      </c>
      <c r="P52" s="5">
        <f t="shared" si="1"/>
        <v>14396.869999999999</v>
      </c>
      <c r="Q52" t="s">
        <v>91</v>
      </c>
      <c r="R52">
        <v>2024</v>
      </c>
      <c r="S52">
        <v>2</v>
      </c>
    </row>
    <row r="53" spans="1:19" x14ac:dyDescent="0.3">
      <c r="A53" s="19" t="s">
        <v>97</v>
      </c>
      <c r="B53" s="20">
        <v>45326</v>
      </c>
      <c r="C53" s="19" t="s">
        <v>46</v>
      </c>
      <c r="D53" s="19" t="s">
        <v>21</v>
      </c>
      <c r="E53" s="19" t="s">
        <v>56</v>
      </c>
      <c r="F53" s="19" t="s">
        <v>30</v>
      </c>
      <c r="G53" s="19" t="s">
        <v>31</v>
      </c>
      <c r="H53" s="19" t="s">
        <v>94</v>
      </c>
      <c r="I53" s="19">
        <v>1</v>
      </c>
      <c r="J53" s="21">
        <v>11461</v>
      </c>
      <c r="K53" s="21">
        <v>11461</v>
      </c>
      <c r="L53" s="21">
        <v>1146.0999999999999</v>
      </c>
      <c r="M53" s="15">
        <v>0.1</v>
      </c>
      <c r="N53" s="21">
        <f t="shared" si="0"/>
        <v>10314.9</v>
      </c>
      <c r="O53" s="21">
        <v>7598.65</v>
      </c>
      <c r="P53" s="21">
        <f t="shared" si="1"/>
        <v>2716.25</v>
      </c>
      <c r="Q53" s="19" t="s">
        <v>91</v>
      </c>
      <c r="R53" s="19">
        <v>2024</v>
      </c>
      <c r="S53" s="19">
        <v>2</v>
      </c>
    </row>
    <row r="54" spans="1:19" x14ac:dyDescent="0.3">
      <c r="A54" t="s">
        <v>98</v>
      </c>
      <c r="B54" s="2">
        <v>45327</v>
      </c>
      <c r="C54" t="s">
        <v>46</v>
      </c>
      <c r="D54" t="s">
        <v>21</v>
      </c>
      <c r="E54" t="s">
        <v>22</v>
      </c>
      <c r="F54" t="s">
        <v>37</v>
      </c>
      <c r="G54" t="s">
        <v>31</v>
      </c>
      <c r="H54" t="s">
        <v>25</v>
      </c>
      <c r="I54">
        <v>4</v>
      </c>
      <c r="J54" s="5">
        <v>11642</v>
      </c>
      <c r="K54" s="5">
        <v>46568</v>
      </c>
      <c r="L54" s="5">
        <v>0</v>
      </c>
      <c r="M54" s="12">
        <v>0</v>
      </c>
      <c r="N54" s="5">
        <f t="shared" si="0"/>
        <v>46568</v>
      </c>
      <c r="O54" s="5">
        <v>24882.52</v>
      </c>
      <c r="P54" s="5">
        <f t="shared" si="1"/>
        <v>21685.48</v>
      </c>
      <c r="Q54" t="s">
        <v>91</v>
      </c>
      <c r="R54">
        <v>2024</v>
      </c>
      <c r="S54">
        <v>2</v>
      </c>
    </row>
    <row r="55" spans="1:19" x14ac:dyDescent="0.3">
      <c r="A55" s="19" t="s">
        <v>99</v>
      </c>
      <c r="B55" s="20">
        <v>45328</v>
      </c>
      <c r="C55" s="19" t="s">
        <v>46</v>
      </c>
      <c r="D55" s="19" t="s">
        <v>21</v>
      </c>
      <c r="E55" s="19" t="s">
        <v>22</v>
      </c>
      <c r="F55" s="19" t="s">
        <v>30</v>
      </c>
      <c r="G55" s="19" t="s">
        <v>24</v>
      </c>
      <c r="H55" s="19" t="s">
        <v>94</v>
      </c>
      <c r="I55" s="19">
        <v>2</v>
      </c>
      <c r="J55" s="21">
        <v>12108</v>
      </c>
      <c r="K55" s="21">
        <v>24216</v>
      </c>
      <c r="L55" s="21">
        <v>2421.6</v>
      </c>
      <c r="M55" s="15">
        <v>0.1</v>
      </c>
      <c r="N55" s="21">
        <f t="shared" si="0"/>
        <v>21794.400000000001</v>
      </c>
      <c r="O55" s="21">
        <v>15782.9</v>
      </c>
      <c r="P55" s="21">
        <f t="shared" si="1"/>
        <v>6011.5000000000018</v>
      </c>
      <c r="Q55" s="19" t="s">
        <v>91</v>
      </c>
      <c r="R55" s="19">
        <v>2024</v>
      </c>
      <c r="S55" s="19">
        <v>2</v>
      </c>
    </row>
    <row r="56" spans="1:19" x14ac:dyDescent="0.3">
      <c r="A56" t="s">
        <v>100</v>
      </c>
      <c r="B56" s="2">
        <v>45328</v>
      </c>
      <c r="C56" t="s">
        <v>50</v>
      </c>
      <c r="D56" t="s">
        <v>34</v>
      </c>
      <c r="E56" t="s">
        <v>42</v>
      </c>
      <c r="F56" t="s">
        <v>40</v>
      </c>
      <c r="G56" t="s">
        <v>31</v>
      </c>
      <c r="H56" t="s">
        <v>94</v>
      </c>
      <c r="I56">
        <v>2</v>
      </c>
      <c r="J56" s="5">
        <v>17943</v>
      </c>
      <c r="K56" s="5">
        <v>35886</v>
      </c>
      <c r="L56" s="5">
        <v>5382.9</v>
      </c>
      <c r="M56" s="12">
        <v>0.15</v>
      </c>
      <c r="N56" s="5">
        <f t="shared" si="0"/>
        <v>30503.1</v>
      </c>
      <c r="O56" s="5">
        <v>18797.990000000002</v>
      </c>
      <c r="P56" s="5">
        <f t="shared" si="1"/>
        <v>11705.109999999997</v>
      </c>
      <c r="Q56" t="s">
        <v>91</v>
      </c>
      <c r="R56">
        <v>2024</v>
      </c>
      <c r="S56">
        <v>2</v>
      </c>
    </row>
    <row r="57" spans="1:19" x14ac:dyDescent="0.3">
      <c r="A57" s="19" t="s">
        <v>101</v>
      </c>
      <c r="B57" s="20">
        <v>45329</v>
      </c>
      <c r="C57" s="19" t="s">
        <v>50</v>
      </c>
      <c r="D57" s="19" t="s">
        <v>34</v>
      </c>
      <c r="E57" s="19" t="s">
        <v>22</v>
      </c>
      <c r="F57" s="19" t="s">
        <v>35</v>
      </c>
      <c r="G57" s="19" t="s">
        <v>24</v>
      </c>
      <c r="H57" s="19" t="s">
        <v>94</v>
      </c>
      <c r="I57" s="19">
        <v>2</v>
      </c>
      <c r="J57" s="21">
        <v>19067</v>
      </c>
      <c r="K57" s="21">
        <v>38134</v>
      </c>
      <c r="L57" s="21">
        <v>3813.4</v>
      </c>
      <c r="M57" s="15">
        <v>0.1</v>
      </c>
      <c r="N57" s="21">
        <f t="shared" si="0"/>
        <v>34320.6</v>
      </c>
      <c r="O57" s="21">
        <v>22365.62</v>
      </c>
      <c r="P57" s="21">
        <f t="shared" si="1"/>
        <v>11954.98</v>
      </c>
      <c r="Q57" s="19" t="s">
        <v>91</v>
      </c>
      <c r="R57" s="19">
        <v>2024</v>
      </c>
      <c r="S57" s="19">
        <v>2</v>
      </c>
    </row>
    <row r="58" spans="1:19" x14ac:dyDescent="0.3">
      <c r="A58" t="s">
        <v>102</v>
      </c>
      <c r="B58" s="2">
        <v>45329</v>
      </c>
      <c r="C58" t="s">
        <v>48</v>
      </c>
      <c r="D58" t="s">
        <v>34</v>
      </c>
      <c r="E58" t="s">
        <v>22</v>
      </c>
      <c r="F58" t="s">
        <v>37</v>
      </c>
      <c r="G58" t="s">
        <v>31</v>
      </c>
      <c r="H58" t="s">
        <v>94</v>
      </c>
      <c r="I58">
        <v>1</v>
      </c>
      <c r="J58" s="5">
        <v>24805</v>
      </c>
      <c r="K58" s="5">
        <v>24805</v>
      </c>
      <c r="L58" s="5">
        <v>3720.75</v>
      </c>
      <c r="M58" s="12">
        <v>0.15</v>
      </c>
      <c r="N58" s="5">
        <f t="shared" si="0"/>
        <v>21084.25</v>
      </c>
      <c r="O58" s="5">
        <v>13200.27</v>
      </c>
      <c r="P58" s="5">
        <f t="shared" si="1"/>
        <v>7883.98</v>
      </c>
      <c r="Q58" t="s">
        <v>91</v>
      </c>
      <c r="R58">
        <v>2024</v>
      </c>
      <c r="S58">
        <v>2</v>
      </c>
    </row>
    <row r="59" spans="1:19" x14ac:dyDescent="0.3">
      <c r="A59" s="19" t="s">
        <v>103</v>
      </c>
      <c r="B59" s="20">
        <v>45330</v>
      </c>
      <c r="C59" s="19" t="s">
        <v>48</v>
      </c>
      <c r="D59" s="19" t="s">
        <v>34</v>
      </c>
      <c r="E59" s="19" t="s">
        <v>56</v>
      </c>
      <c r="F59" s="19" t="s">
        <v>37</v>
      </c>
      <c r="G59" s="19" t="s">
        <v>31</v>
      </c>
      <c r="H59" s="19" t="s">
        <v>94</v>
      </c>
      <c r="I59" s="19">
        <v>1</v>
      </c>
      <c r="J59" s="21">
        <v>23338</v>
      </c>
      <c r="K59" s="21">
        <v>23338</v>
      </c>
      <c r="L59" s="21">
        <v>1166.9000000000001</v>
      </c>
      <c r="M59" s="15">
        <v>0.05</v>
      </c>
      <c r="N59" s="21">
        <f t="shared" si="0"/>
        <v>22171.1</v>
      </c>
      <c r="O59" s="21">
        <v>11720.14</v>
      </c>
      <c r="P59" s="21">
        <f t="shared" si="1"/>
        <v>10450.959999999999</v>
      </c>
      <c r="Q59" s="19" t="s">
        <v>91</v>
      </c>
      <c r="R59" s="19">
        <v>2024</v>
      </c>
      <c r="S59" s="19">
        <v>2</v>
      </c>
    </row>
    <row r="60" spans="1:19" x14ac:dyDescent="0.3">
      <c r="A60" t="s">
        <v>104</v>
      </c>
      <c r="B60" s="2">
        <v>45330</v>
      </c>
      <c r="C60" t="s">
        <v>33</v>
      </c>
      <c r="D60" t="s">
        <v>34</v>
      </c>
      <c r="E60" t="s">
        <v>56</v>
      </c>
      <c r="F60" t="s">
        <v>40</v>
      </c>
      <c r="G60" t="s">
        <v>31</v>
      </c>
      <c r="H60" t="s">
        <v>25</v>
      </c>
      <c r="I60">
        <v>2</v>
      </c>
      <c r="J60" s="5">
        <v>42125</v>
      </c>
      <c r="K60" s="5">
        <v>84250</v>
      </c>
      <c r="L60" s="5">
        <v>0</v>
      </c>
      <c r="M60" s="12">
        <v>0</v>
      </c>
      <c r="N60" s="5">
        <f t="shared" si="0"/>
        <v>84250</v>
      </c>
      <c r="O60" s="5">
        <v>44363.67</v>
      </c>
      <c r="P60" s="5">
        <f t="shared" si="1"/>
        <v>39886.33</v>
      </c>
      <c r="Q60" t="s">
        <v>91</v>
      </c>
      <c r="R60">
        <v>2024</v>
      </c>
      <c r="S60">
        <v>2</v>
      </c>
    </row>
    <row r="61" spans="1:19" x14ac:dyDescent="0.3">
      <c r="A61" s="19" t="s">
        <v>105</v>
      </c>
      <c r="B61" s="20">
        <v>45331</v>
      </c>
      <c r="C61" s="19" t="s">
        <v>48</v>
      </c>
      <c r="D61" s="19" t="s">
        <v>34</v>
      </c>
      <c r="E61" s="19" t="s">
        <v>44</v>
      </c>
      <c r="F61" s="19" t="s">
        <v>40</v>
      </c>
      <c r="G61" s="19" t="s">
        <v>24</v>
      </c>
      <c r="H61" s="19" t="s">
        <v>94</v>
      </c>
      <c r="I61" s="19">
        <v>1</v>
      </c>
      <c r="J61" s="21">
        <v>26419</v>
      </c>
      <c r="K61" s="21">
        <v>26419</v>
      </c>
      <c r="L61" s="21">
        <v>3962.85</v>
      </c>
      <c r="M61" s="15">
        <v>0.15</v>
      </c>
      <c r="N61" s="21">
        <f t="shared" si="0"/>
        <v>22456.15</v>
      </c>
      <c r="O61" s="21">
        <v>14409.94</v>
      </c>
      <c r="P61" s="21">
        <f t="shared" si="1"/>
        <v>8046.2100000000009</v>
      </c>
      <c r="Q61" s="19" t="s">
        <v>91</v>
      </c>
      <c r="R61" s="19">
        <v>2024</v>
      </c>
      <c r="S61" s="19">
        <v>2</v>
      </c>
    </row>
    <row r="62" spans="1:19" x14ac:dyDescent="0.3">
      <c r="A62" t="s">
        <v>106</v>
      </c>
      <c r="B62" s="2">
        <v>45332</v>
      </c>
      <c r="C62" t="s">
        <v>75</v>
      </c>
      <c r="D62" t="s">
        <v>34</v>
      </c>
      <c r="E62" t="s">
        <v>22</v>
      </c>
      <c r="F62" t="s">
        <v>37</v>
      </c>
      <c r="G62" t="s">
        <v>31</v>
      </c>
      <c r="H62" t="s">
        <v>94</v>
      </c>
      <c r="I62">
        <v>2</v>
      </c>
      <c r="J62" s="5">
        <v>36301</v>
      </c>
      <c r="K62" s="5">
        <v>72602</v>
      </c>
      <c r="L62" s="5">
        <v>3630.1</v>
      </c>
      <c r="M62" s="12">
        <v>0.05</v>
      </c>
      <c r="N62" s="5">
        <f t="shared" si="0"/>
        <v>68971.899999999994</v>
      </c>
      <c r="O62" s="5">
        <v>45531.08</v>
      </c>
      <c r="P62" s="5">
        <f t="shared" si="1"/>
        <v>23440.819999999992</v>
      </c>
      <c r="Q62" t="s">
        <v>91</v>
      </c>
      <c r="R62">
        <v>2024</v>
      </c>
      <c r="S62">
        <v>2</v>
      </c>
    </row>
    <row r="63" spans="1:19" x14ac:dyDescent="0.3">
      <c r="A63" s="19" t="s">
        <v>107</v>
      </c>
      <c r="B63" s="20">
        <v>45332</v>
      </c>
      <c r="C63" s="19" t="s">
        <v>46</v>
      </c>
      <c r="D63" s="19" t="s">
        <v>21</v>
      </c>
      <c r="E63" s="19" t="s">
        <v>56</v>
      </c>
      <c r="F63" s="19" t="s">
        <v>40</v>
      </c>
      <c r="G63" s="19" t="s">
        <v>24</v>
      </c>
      <c r="H63" s="19" t="s">
        <v>94</v>
      </c>
      <c r="I63" s="19">
        <v>3</v>
      </c>
      <c r="J63" s="21">
        <v>11447</v>
      </c>
      <c r="K63" s="21">
        <v>34341</v>
      </c>
      <c r="L63" s="21">
        <v>5151.1499999999996</v>
      </c>
      <c r="M63" s="15">
        <v>0.15</v>
      </c>
      <c r="N63" s="21">
        <f t="shared" si="0"/>
        <v>29189.85</v>
      </c>
      <c r="O63" s="21">
        <v>18415.599999999999</v>
      </c>
      <c r="P63" s="21">
        <f t="shared" si="1"/>
        <v>10774.25</v>
      </c>
      <c r="Q63" s="19" t="s">
        <v>91</v>
      </c>
      <c r="R63" s="19">
        <v>2024</v>
      </c>
      <c r="S63" s="19">
        <v>2</v>
      </c>
    </row>
    <row r="64" spans="1:19" x14ac:dyDescent="0.3">
      <c r="A64" t="s">
        <v>108</v>
      </c>
      <c r="B64" s="2">
        <v>45332</v>
      </c>
      <c r="C64" t="s">
        <v>50</v>
      </c>
      <c r="D64" t="s">
        <v>34</v>
      </c>
      <c r="E64" t="s">
        <v>56</v>
      </c>
      <c r="F64" t="s">
        <v>35</v>
      </c>
      <c r="G64" t="s">
        <v>24</v>
      </c>
      <c r="H64" t="s">
        <v>94</v>
      </c>
      <c r="I64">
        <v>1</v>
      </c>
      <c r="J64" s="5">
        <v>18125</v>
      </c>
      <c r="K64" s="5">
        <v>18125</v>
      </c>
      <c r="L64" s="5">
        <v>1812.5</v>
      </c>
      <c r="M64" s="12">
        <v>0.1</v>
      </c>
      <c r="N64" s="5">
        <f t="shared" si="0"/>
        <v>16312.5</v>
      </c>
      <c r="O64" s="5">
        <v>9161.44</v>
      </c>
      <c r="P64" s="5">
        <f t="shared" si="1"/>
        <v>7151.0599999999995</v>
      </c>
      <c r="Q64" t="s">
        <v>91</v>
      </c>
      <c r="R64">
        <v>2024</v>
      </c>
      <c r="S64">
        <v>2</v>
      </c>
    </row>
    <row r="65" spans="1:19" x14ac:dyDescent="0.3">
      <c r="A65" s="19" t="s">
        <v>109</v>
      </c>
      <c r="B65" s="20">
        <v>45333</v>
      </c>
      <c r="C65" s="19" t="s">
        <v>64</v>
      </c>
      <c r="D65" s="19" t="s">
        <v>29</v>
      </c>
      <c r="E65" s="19" t="s">
        <v>56</v>
      </c>
      <c r="F65" s="19" t="s">
        <v>40</v>
      </c>
      <c r="G65" s="19" t="s">
        <v>31</v>
      </c>
      <c r="H65" s="19" t="s">
        <v>94</v>
      </c>
      <c r="I65" s="19">
        <v>2</v>
      </c>
      <c r="J65" s="21">
        <v>30539</v>
      </c>
      <c r="K65" s="21">
        <v>61078</v>
      </c>
      <c r="L65" s="21">
        <v>3053.9</v>
      </c>
      <c r="M65" s="15">
        <v>0.05</v>
      </c>
      <c r="N65" s="21">
        <f t="shared" si="0"/>
        <v>58024.1</v>
      </c>
      <c r="O65" s="21">
        <v>38690.199999999997</v>
      </c>
      <c r="P65" s="21">
        <f t="shared" si="1"/>
        <v>19333.900000000001</v>
      </c>
      <c r="Q65" s="19" t="s">
        <v>91</v>
      </c>
      <c r="R65" s="19">
        <v>2024</v>
      </c>
      <c r="S65" s="19">
        <v>2</v>
      </c>
    </row>
    <row r="66" spans="1:19" x14ac:dyDescent="0.3">
      <c r="A66" t="s">
        <v>110</v>
      </c>
      <c r="B66" s="2">
        <v>45333</v>
      </c>
      <c r="C66" t="s">
        <v>50</v>
      </c>
      <c r="D66" t="s">
        <v>34</v>
      </c>
      <c r="E66" t="s">
        <v>44</v>
      </c>
      <c r="F66" t="s">
        <v>40</v>
      </c>
      <c r="G66" t="s">
        <v>31</v>
      </c>
      <c r="H66" t="s">
        <v>94</v>
      </c>
      <c r="I66">
        <v>2</v>
      </c>
      <c r="J66" s="5">
        <v>18860</v>
      </c>
      <c r="K66" s="5">
        <v>37720</v>
      </c>
      <c r="L66" s="5">
        <v>5658</v>
      </c>
      <c r="M66" s="12">
        <v>0.15</v>
      </c>
      <c r="N66" s="5">
        <f t="shared" si="0"/>
        <v>32062</v>
      </c>
      <c r="O66" s="5">
        <v>22696.16</v>
      </c>
      <c r="P66" s="5">
        <f t="shared" si="1"/>
        <v>9365.84</v>
      </c>
      <c r="Q66" t="s">
        <v>91</v>
      </c>
      <c r="R66">
        <v>2024</v>
      </c>
      <c r="S66">
        <v>2</v>
      </c>
    </row>
    <row r="67" spans="1:19" x14ac:dyDescent="0.3">
      <c r="A67" s="19" t="s">
        <v>111</v>
      </c>
      <c r="B67" s="20">
        <v>45334</v>
      </c>
      <c r="C67" s="19" t="s">
        <v>28</v>
      </c>
      <c r="D67" s="19" t="s">
        <v>29</v>
      </c>
      <c r="E67" s="19" t="s">
        <v>44</v>
      </c>
      <c r="F67" s="19" t="s">
        <v>23</v>
      </c>
      <c r="G67" s="19" t="s">
        <v>31</v>
      </c>
      <c r="H67" s="19" t="s">
        <v>25</v>
      </c>
      <c r="I67" s="19">
        <v>2</v>
      </c>
      <c r="J67" s="21">
        <v>67308</v>
      </c>
      <c r="K67" s="21">
        <v>134616</v>
      </c>
      <c r="L67" s="21">
        <v>0</v>
      </c>
      <c r="M67" s="15">
        <v>0</v>
      </c>
      <c r="N67" s="21">
        <f t="shared" ref="N67:N130" si="2">K67-L67</f>
        <v>134616</v>
      </c>
      <c r="O67" s="21">
        <v>82225.539999999994</v>
      </c>
      <c r="P67" s="21">
        <f t="shared" si="1"/>
        <v>52390.460000000006</v>
      </c>
      <c r="Q67" s="19" t="s">
        <v>91</v>
      </c>
      <c r="R67" s="19">
        <v>2024</v>
      </c>
      <c r="S67" s="19">
        <v>2</v>
      </c>
    </row>
    <row r="68" spans="1:19" x14ac:dyDescent="0.3">
      <c r="A68" t="s">
        <v>112</v>
      </c>
      <c r="B68" s="2">
        <v>45338</v>
      </c>
      <c r="C68" t="s">
        <v>82</v>
      </c>
      <c r="D68" t="s">
        <v>21</v>
      </c>
      <c r="E68" t="s">
        <v>44</v>
      </c>
      <c r="F68" t="s">
        <v>35</v>
      </c>
      <c r="G68" t="s">
        <v>31</v>
      </c>
      <c r="H68" t="s">
        <v>25</v>
      </c>
      <c r="I68">
        <v>2</v>
      </c>
      <c r="J68" s="5">
        <v>45330</v>
      </c>
      <c r="K68" s="5">
        <v>90660</v>
      </c>
      <c r="L68" s="5">
        <v>4533</v>
      </c>
      <c r="M68" s="12">
        <v>0.05</v>
      </c>
      <c r="N68" s="5">
        <f t="shared" si="2"/>
        <v>86127</v>
      </c>
      <c r="O68" s="5">
        <v>48065.98</v>
      </c>
      <c r="P68" s="5">
        <f t="shared" ref="P68:P131" si="3">N68-O68</f>
        <v>38061.019999999997</v>
      </c>
      <c r="Q68" t="s">
        <v>91</v>
      </c>
      <c r="R68">
        <v>2024</v>
      </c>
      <c r="S68">
        <v>2</v>
      </c>
    </row>
    <row r="69" spans="1:19" x14ac:dyDescent="0.3">
      <c r="A69" s="19" t="s">
        <v>113</v>
      </c>
      <c r="B69" s="20">
        <v>45338</v>
      </c>
      <c r="C69" s="19" t="s">
        <v>82</v>
      </c>
      <c r="D69" s="19" t="s">
        <v>21</v>
      </c>
      <c r="E69" s="19" t="s">
        <v>44</v>
      </c>
      <c r="F69" s="19" t="s">
        <v>40</v>
      </c>
      <c r="G69" s="19" t="s">
        <v>31</v>
      </c>
      <c r="H69" s="19" t="s">
        <v>94</v>
      </c>
      <c r="I69" s="19">
        <v>1</v>
      </c>
      <c r="J69" s="21">
        <v>45978</v>
      </c>
      <c r="K69" s="21">
        <v>45978</v>
      </c>
      <c r="L69" s="21">
        <v>6896.7</v>
      </c>
      <c r="M69" s="15">
        <v>0.15</v>
      </c>
      <c r="N69" s="21">
        <f t="shared" si="2"/>
        <v>39081.300000000003</v>
      </c>
      <c r="O69" s="21">
        <v>22830.27</v>
      </c>
      <c r="P69" s="21">
        <f t="shared" si="3"/>
        <v>16251.030000000002</v>
      </c>
      <c r="Q69" s="19" t="s">
        <v>91</v>
      </c>
      <c r="R69" s="19">
        <v>2024</v>
      </c>
      <c r="S69" s="19">
        <v>2</v>
      </c>
    </row>
    <row r="70" spans="1:19" x14ac:dyDescent="0.3">
      <c r="A70" t="s">
        <v>114</v>
      </c>
      <c r="B70" s="2">
        <v>45338</v>
      </c>
      <c r="C70" t="s">
        <v>75</v>
      </c>
      <c r="D70" t="s">
        <v>34</v>
      </c>
      <c r="E70" t="s">
        <v>42</v>
      </c>
      <c r="F70" t="s">
        <v>40</v>
      </c>
      <c r="G70" t="s">
        <v>24</v>
      </c>
      <c r="H70" t="s">
        <v>25</v>
      </c>
      <c r="I70">
        <v>2</v>
      </c>
      <c r="J70" s="5">
        <v>36283</v>
      </c>
      <c r="K70" s="5">
        <v>72566</v>
      </c>
      <c r="L70" s="5">
        <v>0</v>
      </c>
      <c r="M70" s="12">
        <v>0</v>
      </c>
      <c r="N70" s="5">
        <f t="shared" si="2"/>
        <v>72566</v>
      </c>
      <c r="O70" s="5">
        <v>43154.01</v>
      </c>
      <c r="P70" s="5">
        <f t="shared" si="3"/>
        <v>29411.989999999998</v>
      </c>
      <c r="Q70" t="s">
        <v>91</v>
      </c>
      <c r="R70">
        <v>2024</v>
      </c>
      <c r="S70">
        <v>2</v>
      </c>
    </row>
    <row r="71" spans="1:19" x14ac:dyDescent="0.3">
      <c r="A71" s="19" t="s">
        <v>115</v>
      </c>
      <c r="B71" s="20">
        <v>45338</v>
      </c>
      <c r="C71" s="19" t="s">
        <v>20</v>
      </c>
      <c r="D71" s="19" t="s">
        <v>21</v>
      </c>
      <c r="E71" s="19" t="s">
        <v>42</v>
      </c>
      <c r="F71" s="19" t="s">
        <v>40</v>
      </c>
      <c r="G71" s="19" t="s">
        <v>31</v>
      </c>
      <c r="H71" s="19" t="s">
        <v>94</v>
      </c>
      <c r="I71" s="19">
        <v>2</v>
      </c>
      <c r="J71" s="21">
        <v>15866</v>
      </c>
      <c r="K71" s="21">
        <v>31732</v>
      </c>
      <c r="L71" s="21">
        <v>4759.8</v>
      </c>
      <c r="M71" s="15">
        <v>0.15</v>
      </c>
      <c r="N71" s="21">
        <f t="shared" si="2"/>
        <v>26972.2</v>
      </c>
      <c r="O71" s="21">
        <v>15312.32</v>
      </c>
      <c r="P71" s="21">
        <f t="shared" si="3"/>
        <v>11659.880000000001</v>
      </c>
      <c r="Q71" s="19" t="s">
        <v>91</v>
      </c>
      <c r="R71" s="19">
        <v>2024</v>
      </c>
      <c r="S71" s="19">
        <v>2</v>
      </c>
    </row>
    <row r="72" spans="1:19" x14ac:dyDescent="0.3">
      <c r="A72" t="s">
        <v>116</v>
      </c>
      <c r="B72" s="2">
        <v>45338</v>
      </c>
      <c r="C72" t="s">
        <v>20</v>
      </c>
      <c r="D72" t="s">
        <v>21</v>
      </c>
      <c r="E72" t="s">
        <v>44</v>
      </c>
      <c r="F72" t="s">
        <v>37</v>
      </c>
      <c r="G72" t="s">
        <v>24</v>
      </c>
      <c r="H72" t="s">
        <v>94</v>
      </c>
      <c r="I72">
        <v>3</v>
      </c>
      <c r="J72" s="5">
        <v>15935</v>
      </c>
      <c r="K72" s="5">
        <v>47805</v>
      </c>
      <c r="L72" s="5">
        <v>2390.25</v>
      </c>
      <c r="M72" s="12">
        <v>0.05</v>
      </c>
      <c r="N72" s="5">
        <f t="shared" si="2"/>
        <v>45414.75</v>
      </c>
      <c r="O72" s="5">
        <v>25757.98</v>
      </c>
      <c r="P72" s="5">
        <f t="shared" si="3"/>
        <v>19656.77</v>
      </c>
      <c r="Q72" t="s">
        <v>91</v>
      </c>
      <c r="R72">
        <v>2024</v>
      </c>
      <c r="S72">
        <v>2</v>
      </c>
    </row>
    <row r="73" spans="1:19" x14ac:dyDescent="0.3">
      <c r="A73" s="19" t="s">
        <v>117</v>
      </c>
      <c r="B73" s="20">
        <v>45339</v>
      </c>
      <c r="C73" s="19" t="s">
        <v>50</v>
      </c>
      <c r="D73" s="19" t="s">
        <v>34</v>
      </c>
      <c r="E73" s="19" t="s">
        <v>22</v>
      </c>
      <c r="F73" s="19" t="s">
        <v>40</v>
      </c>
      <c r="G73" s="19" t="s">
        <v>24</v>
      </c>
      <c r="H73" s="19" t="s">
        <v>94</v>
      </c>
      <c r="I73" s="19">
        <v>1</v>
      </c>
      <c r="J73" s="21">
        <v>17956</v>
      </c>
      <c r="K73" s="21">
        <v>17956</v>
      </c>
      <c r="L73" s="21">
        <v>1795.6</v>
      </c>
      <c r="M73" s="15">
        <v>0.1</v>
      </c>
      <c r="N73" s="21">
        <f t="shared" si="2"/>
        <v>16160.4</v>
      </c>
      <c r="O73" s="21">
        <v>9770.6200000000008</v>
      </c>
      <c r="P73" s="21">
        <f t="shared" si="3"/>
        <v>6389.7799999999988</v>
      </c>
      <c r="Q73" s="19" t="s">
        <v>91</v>
      </c>
      <c r="R73" s="19">
        <v>2024</v>
      </c>
      <c r="S73" s="19">
        <v>2</v>
      </c>
    </row>
    <row r="74" spans="1:19" x14ac:dyDescent="0.3">
      <c r="A74" t="s">
        <v>118</v>
      </c>
      <c r="B74" s="2">
        <v>45342</v>
      </c>
      <c r="C74" t="s">
        <v>33</v>
      </c>
      <c r="D74" t="s">
        <v>34</v>
      </c>
      <c r="E74" t="s">
        <v>42</v>
      </c>
      <c r="F74" t="s">
        <v>35</v>
      </c>
      <c r="G74" t="s">
        <v>24</v>
      </c>
      <c r="H74" t="s">
        <v>94</v>
      </c>
      <c r="I74">
        <v>1</v>
      </c>
      <c r="J74" s="5">
        <v>44683</v>
      </c>
      <c r="K74" s="5">
        <v>44683</v>
      </c>
      <c r="L74" s="5">
        <v>4468.3</v>
      </c>
      <c r="M74" s="12">
        <v>0.1</v>
      </c>
      <c r="N74" s="5">
        <f t="shared" si="2"/>
        <v>40214.699999999997</v>
      </c>
      <c r="O74" s="5">
        <v>25416.720000000001</v>
      </c>
      <c r="P74" s="5">
        <f t="shared" si="3"/>
        <v>14797.979999999996</v>
      </c>
      <c r="Q74" t="s">
        <v>91</v>
      </c>
      <c r="R74">
        <v>2024</v>
      </c>
      <c r="S74">
        <v>2</v>
      </c>
    </row>
    <row r="75" spans="1:19" x14ac:dyDescent="0.3">
      <c r="A75" s="19" t="s">
        <v>119</v>
      </c>
      <c r="B75" s="20">
        <v>45342</v>
      </c>
      <c r="C75" s="19" t="s">
        <v>28</v>
      </c>
      <c r="D75" s="19" t="s">
        <v>29</v>
      </c>
      <c r="E75" s="19" t="s">
        <v>22</v>
      </c>
      <c r="F75" s="19" t="s">
        <v>37</v>
      </c>
      <c r="G75" s="19" t="s">
        <v>24</v>
      </c>
      <c r="H75" s="19" t="s">
        <v>25</v>
      </c>
      <c r="I75" s="19">
        <v>1</v>
      </c>
      <c r="J75" s="21">
        <v>64042</v>
      </c>
      <c r="K75" s="21">
        <v>64042</v>
      </c>
      <c r="L75" s="21">
        <v>3202.1</v>
      </c>
      <c r="M75" s="15">
        <v>0.05</v>
      </c>
      <c r="N75" s="21">
        <f t="shared" si="2"/>
        <v>60839.9</v>
      </c>
      <c r="O75" s="21">
        <v>39400.449999999997</v>
      </c>
      <c r="P75" s="21">
        <f t="shared" si="3"/>
        <v>21439.450000000004</v>
      </c>
      <c r="Q75" s="19" t="s">
        <v>91</v>
      </c>
      <c r="R75" s="19">
        <v>2024</v>
      </c>
      <c r="S75" s="19">
        <v>2</v>
      </c>
    </row>
    <row r="76" spans="1:19" x14ac:dyDescent="0.3">
      <c r="A76" t="s">
        <v>120</v>
      </c>
      <c r="B76" s="2">
        <v>45342</v>
      </c>
      <c r="C76" t="s">
        <v>28</v>
      </c>
      <c r="D76" t="s">
        <v>29</v>
      </c>
      <c r="E76" t="s">
        <v>22</v>
      </c>
      <c r="F76" t="s">
        <v>30</v>
      </c>
      <c r="G76" t="s">
        <v>31</v>
      </c>
      <c r="H76" t="s">
        <v>94</v>
      </c>
      <c r="I76">
        <v>1</v>
      </c>
      <c r="J76" s="5">
        <v>66514</v>
      </c>
      <c r="K76" s="5">
        <v>66514</v>
      </c>
      <c r="L76" s="5">
        <v>9977.1</v>
      </c>
      <c r="M76" s="12">
        <v>0.15</v>
      </c>
      <c r="N76" s="5">
        <f t="shared" si="2"/>
        <v>56536.9</v>
      </c>
      <c r="O76" s="5">
        <v>41676.04</v>
      </c>
      <c r="P76" s="5">
        <f t="shared" si="3"/>
        <v>14860.86</v>
      </c>
      <c r="Q76" t="s">
        <v>91</v>
      </c>
      <c r="R76">
        <v>2024</v>
      </c>
      <c r="S76">
        <v>2</v>
      </c>
    </row>
    <row r="77" spans="1:19" x14ac:dyDescent="0.3">
      <c r="A77" s="19" t="s">
        <v>121</v>
      </c>
      <c r="B77" s="20">
        <v>45344</v>
      </c>
      <c r="C77" s="19" t="s">
        <v>33</v>
      </c>
      <c r="D77" s="19" t="s">
        <v>34</v>
      </c>
      <c r="E77" s="19" t="s">
        <v>56</v>
      </c>
      <c r="F77" s="19" t="s">
        <v>23</v>
      </c>
      <c r="G77" s="19" t="s">
        <v>24</v>
      </c>
      <c r="H77" s="19" t="s">
        <v>94</v>
      </c>
      <c r="I77" s="19">
        <v>1</v>
      </c>
      <c r="J77" s="21">
        <v>44026</v>
      </c>
      <c r="K77" s="21">
        <v>44026</v>
      </c>
      <c r="L77" s="21">
        <v>2201.3000000000002</v>
      </c>
      <c r="M77" s="15">
        <v>0.05</v>
      </c>
      <c r="N77" s="21">
        <f t="shared" si="2"/>
        <v>41824.699999999997</v>
      </c>
      <c r="O77" s="21">
        <v>25372.97</v>
      </c>
      <c r="P77" s="21">
        <f t="shared" si="3"/>
        <v>16451.729999999996</v>
      </c>
      <c r="Q77" s="19" t="s">
        <v>91</v>
      </c>
      <c r="R77" s="19">
        <v>2024</v>
      </c>
      <c r="S77" s="19">
        <v>2</v>
      </c>
    </row>
    <row r="78" spans="1:19" x14ac:dyDescent="0.3">
      <c r="A78" t="s">
        <v>122</v>
      </c>
      <c r="B78" s="2">
        <v>45345</v>
      </c>
      <c r="C78" t="s">
        <v>28</v>
      </c>
      <c r="D78" t="s">
        <v>29</v>
      </c>
      <c r="E78" t="s">
        <v>42</v>
      </c>
      <c r="F78" t="s">
        <v>23</v>
      </c>
      <c r="G78" t="s">
        <v>24</v>
      </c>
      <c r="H78" t="s">
        <v>94</v>
      </c>
      <c r="I78">
        <v>1</v>
      </c>
      <c r="J78" s="5">
        <v>68491</v>
      </c>
      <c r="K78" s="5">
        <v>68491</v>
      </c>
      <c r="L78" s="5">
        <v>10273.65</v>
      </c>
      <c r="M78" s="12">
        <v>0.15</v>
      </c>
      <c r="N78" s="5">
        <f t="shared" si="2"/>
        <v>58217.35</v>
      </c>
      <c r="O78" s="5">
        <v>33363.410000000003</v>
      </c>
      <c r="P78" s="5">
        <f t="shared" si="3"/>
        <v>24853.939999999995</v>
      </c>
      <c r="Q78" t="s">
        <v>91</v>
      </c>
      <c r="R78">
        <v>2024</v>
      </c>
      <c r="S78">
        <v>2</v>
      </c>
    </row>
    <row r="79" spans="1:19" x14ac:dyDescent="0.3">
      <c r="A79" s="19" t="s">
        <v>123</v>
      </c>
      <c r="B79" s="20">
        <v>45345</v>
      </c>
      <c r="C79" s="19" t="s">
        <v>75</v>
      </c>
      <c r="D79" s="19" t="s">
        <v>34</v>
      </c>
      <c r="E79" s="19" t="s">
        <v>22</v>
      </c>
      <c r="F79" s="19" t="s">
        <v>35</v>
      </c>
      <c r="G79" s="19" t="s">
        <v>31</v>
      </c>
      <c r="H79" s="19" t="s">
        <v>25</v>
      </c>
      <c r="I79" s="19">
        <v>2</v>
      </c>
      <c r="J79" s="21">
        <v>38759</v>
      </c>
      <c r="K79" s="21">
        <v>77518</v>
      </c>
      <c r="L79" s="21">
        <v>7751.8</v>
      </c>
      <c r="M79" s="15">
        <v>0.1</v>
      </c>
      <c r="N79" s="21">
        <f t="shared" si="2"/>
        <v>69766.2</v>
      </c>
      <c r="O79" s="21">
        <v>50120.51</v>
      </c>
      <c r="P79" s="21">
        <f t="shared" si="3"/>
        <v>19645.689999999995</v>
      </c>
      <c r="Q79" s="19" t="s">
        <v>91</v>
      </c>
      <c r="R79" s="19">
        <v>2024</v>
      </c>
      <c r="S79" s="19">
        <v>2</v>
      </c>
    </row>
    <row r="80" spans="1:19" x14ac:dyDescent="0.3">
      <c r="A80" t="s">
        <v>124</v>
      </c>
      <c r="B80" s="2">
        <v>45346</v>
      </c>
      <c r="C80" t="s">
        <v>46</v>
      </c>
      <c r="D80" t="s">
        <v>21</v>
      </c>
      <c r="E80" t="s">
        <v>56</v>
      </c>
      <c r="F80" t="s">
        <v>30</v>
      </c>
      <c r="G80" t="s">
        <v>24</v>
      </c>
      <c r="H80" t="s">
        <v>94</v>
      </c>
      <c r="I80">
        <v>2</v>
      </c>
      <c r="J80" s="5">
        <v>11075</v>
      </c>
      <c r="K80" s="5">
        <v>22150</v>
      </c>
      <c r="L80" s="5">
        <v>2215</v>
      </c>
      <c r="M80" s="12">
        <v>0.1</v>
      </c>
      <c r="N80" s="5">
        <f t="shared" si="2"/>
        <v>19935</v>
      </c>
      <c r="O80" s="5">
        <v>13973.24</v>
      </c>
      <c r="P80" s="5">
        <f t="shared" si="3"/>
        <v>5961.76</v>
      </c>
      <c r="Q80" t="s">
        <v>91</v>
      </c>
      <c r="R80">
        <v>2024</v>
      </c>
      <c r="S80">
        <v>2</v>
      </c>
    </row>
    <row r="81" spans="1:19" x14ac:dyDescent="0.3">
      <c r="A81" s="19" t="s">
        <v>125</v>
      </c>
      <c r="B81" s="20">
        <v>45346</v>
      </c>
      <c r="C81" s="19" t="s">
        <v>28</v>
      </c>
      <c r="D81" s="19" t="s">
        <v>29</v>
      </c>
      <c r="E81" s="19" t="s">
        <v>22</v>
      </c>
      <c r="F81" s="19" t="s">
        <v>40</v>
      </c>
      <c r="G81" s="19" t="s">
        <v>24</v>
      </c>
      <c r="H81" s="19" t="s">
        <v>94</v>
      </c>
      <c r="I81" s="19">
        <v>4</v>
      </c>
      <c r="J81" s="21">
        <v>60924</v>
      </c>
      <c r="K81" s="21">
        <v>243696</v>
      </c>
      <c r="L81" s="21">
        <v>24369.599999999999</v>
      </c>
      <c r="M81" s="15">
        <v>0.1</v>
      </c>
      <c r="N81" s="21">
        <f t="shared" si="2"/>
        <v>219326.4</v>
      </c>
      <c r="O81" s="21">
        <v>121156.43</v>
      </c>
      <c r="P81" s="21">
        <f t="shared" si="3"/>
        <v>98169.97</v>
      </c>
      <c r="Q81" s="19" t="s">
        <v>91</v>
      </c>
      <c r="R81" s="19">
        <v>2024</v>
      </c>
      <c r="S81" s="19">
        <v>2</v>
      </c>
    </row>
    <row r="82" spans="1:19" x14ac:dyDescent="0.3">
      <c r="A82" t="s">
        <v>126</v>
      </c>
      <c r="B82" s="2">
        <v>45346</v>
      </c>
      <c r="C82" t="s">
        <v>64</v>
      </c>
      <c r="D82" t="s">
        <v>29</v>
      </c>
      <c r="E82" t="s">
        <v>44</v>
      </c>
      <c r="F82" t="s">
        <v>37</v>
      </c>
      <c r="G82" t="s">
        <v>31</v>
      </c>
      <c r="H82" t="s">
        <v>94</v>
      </c>
      <c r="I82">
        <v>2</v>
      </c>
      <c r="J82" s="5">
        <v>30285</v>
      </c>
      <c r="K82" s="5">
        <v>60570</v>
      </c>
      <c r="L82" s="5">
        <v>6057</v>
      </c>
      <c r="M82" s="12">
        <v>0.1</v>
      </c>
      <c r="N82" s="5">
        <f t="shared" si="2"/>
        <v>54513</v>
      </c>
      <c r="O82" s="5">
        <v>40925.03</v>
      </c>
      <c r="P82" s="5">
        <f t="shared" si="3"/>
        <v>13587.970000000001</v>
      </c>
      <c r="Q82" t="s">
        <v>91</v>
      </c>
      <c r="R82">
        <v>2024</v>
      </c>
      <c r="S82">
        <v>2</v>
      </c>
    </row>
    <row r="83" spans="1:19" x14ac:dyDescent="0.3">
      <c r="A83" s="19" t="s">
        <v>127</v>
      </c>
      <c r="B83" s="20">
        <v>45347</v>
      </c>
      <c r="C83" s="19" t="s">
        <v>33</v>
      </c>
      <c r="D83" s="19" t="s">
        <v>34</v>
      </c>
      <c r="E83" s="19" t="s">
        <v>22</v>
      </c>
      <c r="F83" s="19" t="s">
        <v>35</v>
      </c>
      <c r="G83" s="19" t="s">
        <v>31</v>
      </c>
      <c r="H83" s="19" t="s">
        <v>94</v>
      </c>
      <c r="I83" s="19">
        <v>5</v>
      </c>
      <c r="J83" s="21">
        <v>43201</v>
      </c>
      <c r="K83" s="21">
        <v>216005</v>
      </c>
      <c r="L83" s="21">
        <v>10800.25</v>
      </c>
      <c r="M83" s="15">
        <v>0.05</v>
      </c>
      <c r="N83" s="21">
        <f t="shared" si="2"/>
        <v>205204.75</v>
      </c>
      <c r="O83" s="21">
        <v>134645.35999999999</v>
      </c>
      <c r="P83" s="21">
        <f t="shared" si="3"/>
        <v>70559.390000000014</v>
      </c>
      <c r="Q83" s="19" t="s">
        <v>91</v>
      </c>
      <c r="R83" s="19">
        <v>2024</v>
      </c>
      <c r="S83" s="19">
        <v>2</v>
      </c>
    </row>
    <row r="84" spans="1:19" x14ac:dyDescent="0.3">
      <c r="A84" t="s">
        <v>128</v>
      </c>
      <c r="B84" s="2">
        <v>45349</v>
      </c>
      <c r="C84" t="s">
        <v>64</v>
      </c>
      <c r="D84" t="s">
        <v>29</v>
      </c>
      <c r="E84" t="s">
        <v>22</v>
      </c>
      <c r="F84" t="s">
        <v>40</v>
      </c>
      <c r="G84" t="s">
        <v>24</v>
      </c>
      <c r="H84" t="s">
        <v>25</v>
      </c>
      <c r="I84">
        <v>2</v>
      </c>
      <c r="J84" s="5">
        <v>32161</v>
      </c>
      <c r="K84" s="5">
        <v>64322</v>
      </c>
      <c r="L84" s="5">
        <v>0</v>
      </c>
      <c r="M84" s="12">
        <v>0</v>
      </c>
      <c r="N84" s="5">
        <f t="shared" si="2"/>
        <v>64322</v>
      </c>
      <c r="O84" s="5">
        <v>31121.14</v>
      </c>
      <c r="P84" s="5">
        <f t="shared" si="3"/>
        <v>33200.86</v>
      </c>
      <c r="Q84" t="s">
        <v>91</v>
      </c>
      <c r="R84">
        <v>2024</v>
      </c>
      <c r="S84">
        <v>2</v>
      </c>
    </row>
    <row r="85" spans="1:19" x14ac:dyDescent="0.3">
      <c r="A85" s="19" t="s">
        <v>129</v>
      </c>
      <c r="B85" s="20">
        <v>45350</v>
      </c>
      <c r="C85" s="19" t="s">
        <v>75</v>
      </c>
      <c r="D85" s="19" t="s">
        <v>34</v>
      </c>
      <c r="E85" s="19" t="s">
        <v>22</v>
      </c>
      <c r="F85" s="19" t="s">
        <v>35</v>
      </c>
      <c r="G85" s="19" t="s">
        <v>31</v>
      </c>
      <c r="H85" s="19" t="s">
        <v>25</v>
      </c>
      <c r="I85" s="19">
        <v>2</v>
      </c>
      <c r="J85" s="21">
        <v>41024</v>
      </c>
      <c r="K85" s="21">
        <v>82048</v>
      </c>
      <c r="L85" s="21">
        <v>0</v>
      </c>
      <c r="M85" s="15">
        <v>0</v>
      </c>
      <c r="N85" s="21">
        <f t="shared" si="2"/>
        <v>82048</v>
      </c>
      <c r="O85" s="21">
        <v>42310.48</v>
      </c>
      <c r="P85" s="21">
        <f t="shared" si="3"/>
        <v>39737.519999999997</v>
      </c>
      <c r="Q85" s="19" t="s">
        <v>91</v>
      </c>
      <c r="R85" s="19">
        <v>2024</v>
      </c>
      <c r="S85" s="19">
        <v>2</v>
      </c>
    </row>
    <row r="86" spans="1:19" x14ac:dyDescent="0.3">
      <c r="A86" t="s">
        <v>130</v>
      </c>
      <c r="B86" s="2">
        <v>45352</v>
      </c>
      <c r="C86" t="s">
        <v>28</v>
      </c>
      <c r="D86" t="s">
        <v>29</v>
      </c>
      <c r="E86" t="s">
        <v>44</v>
      </c>
      <c r="F86" t="s">
        <v>40</v>
      </c>
      <c r="G86" t="s">
        <v>24</v>
      </c>
      <c r="H86" t="s">
        <v>25</v>
      </c>
      <c r="I86">
        <v>1</v>
      </c>
      <c r="J86" s="5">
        <v>60614</v>
      </c>
      <c r="K86" s="5">
        <v>60614</v>
      </c>
      <c r="L86" s="5">
        <v>0</v>
      </c>
      <c r="M86" s="12">
        <v>0</v>
      </c>
      <c r="N86" s="5">
        <f t="shared" si="2"/>
        <v>60614</v>
      </c>
      <c r="O86" s="5">
        <v>38611.199999999997</v>
      </c>
      <c r="P86" s="5">
        <f t="shared" si="3"/>
        <v>22002.800000000003</v>
      </c>
      <c r="Q86" t="s">
        <v>131</v>
      </c>
      <c r="R86">
        <v>2024</v>
      </c>
      <c r="S86">
        <v>3</v>
      </c>
    </row>
    <row r="87" spans="1:19" x14ac:dyDescent="0.3">
      <c r="A87" s="19" t="s">
        <v>132</v>
      </c>
      <c r="B87" s="20">
        <v>45352</v>
      </c>
      <c r="C87" s="19" t="s">
        <v>20</v>
      </c>
      <c r="D87" s="19" t="s">
        <v>21</v>
      </c>
      <c r="E87" s="19" t="s">
        <v>42</v>
      </c>
      <c r="F87" s="19" t="s">
        <v>23</v>
      </c>
      <c r="G87" s="19" t="s">
        <v>31</v>
      </c>
      <c r="H87" s="19" t="s">
        <v>133</v>
      </c>
      <c r="I87" s="19">
        <v>2</v>
      </c>
      <c r="J87" s="21">
        <v>14179</v>
      </c>
      <c r="K87" s="21">
        <v>28358</v>
      </c>
      <c r="L87" s="21">
        <v>4253.7</v>
      </c>
      <c r="M87" s="15">
        <v>0.15</v>
      </c>
      <c r="N87" s="21">
        <f t="shared" si="2"/>
        <v>24104.3</v>
      </c>
      <c r="O87" s="21">
        <v>16150.12</v>
      </c>
      <c r="P87" s="21">
        <f t="shared" si="3"/>
        <v>7954.1799999999985</v>
      </c>
      <c r="Q87" s="19" t="s">
        <v>131</v>
      </c>
      <c r="R87" s="19">
        <v>2024</v>
      </c>
      <c r="S87" s="19">
        <v>3</v>
      </c>
    </row>
    <row r="88" spans="1:19" x14ac:dyDescent="0.3">
      <c r="A88" t="s">
        <v>134</v>
      </c>
      <c r="B88" s="2">
        <v>45352</v>
      </c>
      <c r="C88" t="s">
        <v>48</v>
      </c>
      <c r="D88" t="s">
        <v>34</v>
      </c>
      <c r="E88" t="s">
        <v>56</v>
      </c>
      <c r="F88" t="s">
        <v>37</v>
      </c>
      <c r="G88" t="s">
        <v>24</v>
      </c>
      <c r="H88" t="s">
        <v>25</v>
      </c>
      <c r="I88">
        <v>1</v>
      </c>
      <c r="J88" s="5">
        <v>26696</v>
      </c>
      <c r="K88" s="5">
        <v>26696</v>
      </c>
      <c r="L88" s="5">
        <v>0</v>
      </c>
      <c r="M88" s="12">
        <v>0</v>
      </c>
      <c r="N88" s="5">
        <f t="shared" si="2"/>
        <v>26696</v>
      </c>
      <c r="O88" s="5">
        <v>17786.3</v>
      </c>
      <c r="P88" s="5">
        <f t="shared" si="3"/>
        <v>8909.7000000000007</v>
      </c>
      <c r="Q88" t="s">
        <v>131</v>
      </c>
      <c r="R88">
        <v>2024</v>
      </c>
      <c r="S88">
        <v>3</v>
      </c>
    </row>
    <row r="89" spans="1:19" x14ac:dyDescent="0.3">
      <c r="A89" s="19" t="s">
        <v>135</v>
      </c>
      <c r="B89" s="20">
        <v>45353</v>
      </c>
      <c r="C89" s="19" t="s">
        <v>64</v>
      </c>
      <c r="D89" s="19" t="s">
        <v>29</v>
      </c>
      <c r="E89" s="19" t="s">
        <v>42</v>
      </c>
      <c r="F89" s="19" t="s">
        <v>23</v>
      </c>
      <c r="G89" s="19" t="s">
        <v>24</v>
      </c>
      <c r="H89" s="19" t="s">
        <v>133</v>
      </c>
      <c r="I89" s="19">
        <v>1</v>
      </c>
      <c r="J89" s="21">
        <v>30402</v>
      </c>
      <c r="K89" s="21">
        <v>30402</v>
      </c>
      <c r="L89" s="21">
        <v>3040.2</v>
      </c>
      <c r="M89" s="15">
        <v>0.1</v>
      </c>
      <c r="N89" s="21">
        <f t="shared" si="2"/>
        <v>27361.8</v>
      </c>
      <c r="O89" s="21">
        <v>19769.849999999999</v>
      </c>
      <c r="P89" s="21">
        <f t="shared" si="3"/>
        <v>7591.9500000000007</v>
      </c>
      <c r="Q89" s="19" t="s">
        <v>131</v>
      </c>
      <c r="R89" s="19">
        <v>2024</v>
      </c>
      <c r="S89" s="19">
        <v>3</v>
      </c>
    </row>
    <row r="90" spans="1:19" x14ac:dyDescent="0.3">
      <c r="A90" t="s">
        <v>136</v>
      </c>
      <c r="B90" s="2">
        <v>45353</v>
      </c>
      <c r="C90" t="s">
        <v>82</v>
      </c>
      <c r="D90" t="s">
        <v>21</v>
      </c>
      <c r="E90" t="s">
        <v>44</v>
      </c>
      <c r="F90" t="s">
        <v>30</v>
      </c>
      <c r="G90" t="s">
        <v>24</v>
      </c>
      <c r="H90" t="s">
        <v>25</v>
      </c>
      <c r="I90">
        <v>3</v>
      </c>
      <c r="J90" s="5">
        <v>45873</v>
      </c>
      <c r="K90" s="5">
        <v>137619</v>
      </c>
      <c r="L90" s="5">
        <v>0</v>
      </c>
      <c r="M90" s="12">
        <v>0</v>
      </c>
      <c r="N90" s="5">
        <f t="shared" si="2"/>
        <v>137619</v>
      </c>
      <c r="O90" s="5">
        <v>89781.1</v>
      </c>
      <c r="P90" s="5">
        <f t="shared" si="3"/>
        <v>47837.899999999994</v>
      </c>
      <c r="Q90" t="s">
        <v>131</v>
      </c>
      <c r="R90">
        <v>2024</v>
      </c>
      <c r="S90">
        <v>3</v>
      </c>
    </row>
    <row r="91" spans="1:19" x14ac:dyDescent="0.3">
      <c r="A91" s="19" t="s">
        <v>137</v>
      </c>
      <c r="B91" s="20">
        <v>45354</v>
      </c>
      <c r="C91" s="19" t="s">
        <v>33</v>
      </c>
      <c r="D91" s="19" t="s">
        <v>34</v>
      </c>
      <c r="E91" s="19" t="s">
        <v>42</v>
      </c>
      <c r="F91" s="19" t="s">
        <v>37</v>
      </c>
      <c r="G91" s="19" t="s">
        <v>31</v>
      </c>
      <c r="H91" s="19" t="s">
        <v>133</v>
      </c>
      <c r="I91" s="19">
        <v>3</v>
      </c>
      <c r="J91" s="21">
        <v>39910</v>
      </c>
      <c r="K91" s="21">
        <v>119730</v>
      </c>
      <c r="L91" s="21">
        <v>17959.5</v>
      </c>
      <c r="M91" s="15">
        <v>0.15</v>
      </c>
      <c r="N91" s="21">
        <f t="shared" si="2"/>
        <v>101770.5</v>
      </c>
      <c r="O91" s="21">
        <v>74719.25</v>
      </c>
      <c r="P91" s="21">
        <f t="shared" si="3"/>
        <v>27051.25</v>
      </c>
      <c r="Q91" s="19" t="s">
        <v>131</v>
      </c>
      <c r="R91" s="19">
        <v>2024</v>
      </c>
      <c r="S91" s="19">
        <v>3</v>
      </c>
    </row>
    <row r="92" spans="1:19" x14ac:dyDescent="0.3">
      <c r="A92" t="s">
        <v>138</v>
      </c>
      <c r="B92" s="2">
        <v>45354</v>
      </c>
      <c r="C92" t="s">
        <v>50</v>
      </c>
      <c r="D92" t="s">
        <v>34</v>
      </c>
      <c r="E92" t="s">
        <v>42</v>
      </c>
      <c r="F92" t="s">
        <v>40</v>
      </c>
      <c r="G92" t="s">
        <v>31</v>
      </c>
      <c r="H92" t="s">
        <v>133</v>
      </c>
      <c r="I92">
        <v>1</v>
      </c>
      <c r="J92" s="5">
        <v>17133</v>
      </c>
      <c r="K92" s="5">
        <v>17133</v>
      </c>
      <c r="L92" s="5">
        <v>856.65</v>
      </c>
      <c r="M92" s="12">
        <v>0.05</v>
      </c>
      <c r="N92" s="5">
        <f t="shared" si="2"/>
        <v>16276.35</v>
      </c>
      <c r="O92" s="5">
        <v>8231.32</v>
      </c>
      <c r="P92" s="5">
        <f t="shared" si="3"/>
        <v>8045.0300000000007</v>
      </c>
      <c r="Q92" t="s">
        <v>131</v>
      </c>
      <c r="R92">
        <v>2024</v>
      </c>
      <c r="S92">
        <v>3</v>
      </c>
    </row>
    <row r="93" spans="1:19" x14ac:dyDescent="0.3">
      <c r="A93" s="19" t="s">
        <v>139</v>
      </c>
      <c r="B93" s="20">
        <v>45356</v>
      </c>
      <c r="C93" s="19" t="s">
        <v>64</v>
      </c>
      <c r="D93" s="19" t="s">
        <v>29</v>
      </c>
      <c r="E93" s="19" t="s">
        <v>42</v>
      </c>
      <c r="F93" s="19" t="s">
        <v>30</v>
      </c>
      <c r="G93" s="19" t="s">
        <v>24</v>
      </c>
      <c r="H93" s="19" t="s">
        <v>25</v>
      </c>
      <c r="I93" s="19">
        <v>1</v>
      </c>
      <c r="J93" s="21">
        <v>30822</v>
      </c>
      <c r="K93" s="21">
        <v>30822</v>
      </c>
      <c r="L93" s="21">
        <v>0</v>
      </c>
      <c r="M93" s="15">
        <v>0</v>
      </c>
      <c r="N93" s="21">
        <f t="shared" si="2"/>
        <v>30822</v>
      </c>
      <c r="O93" s="21">
        <v>20214.72</v>
      </c>
      <c r="P93" s="21">
        <f t="shared" si="3"/>
        <v>10607.279999999999</v>
      </c>
      <c r="Q93" s="19" t="s">
        <v>131</v>
      </c>
      <c r="R93" s="19">
        <v>2024</v>
      </c>
      <c r="S93" s="19">
        <v>3</v>
      </c>
    </row>
    <row r="94" spans="1:19" x14ac:dyDescent="0.3">
      <c r="A94" t="s">
        <v>140</v>
      </c>
      <c r="B94" s="2">
        <v>45358</v>
      </c>
      <c r="C94" t="s">
        <v>28</v>
      </c>
      <c r="D94" t="s">
        <v>29</v>
      </c>
      <c r="E94" t="s">
        <v>42</v>
      </c>
      <c r="F94" t="s">
        <v>23</v>
      </c>
      <c r="G94" t="s">
        <v>31</v>
      </c>
      <c r="H94" t="s">
        <v>25</v>
      </c>
      <c r="I94">
        <v>1</v>
      </c>
      <c r="J94" s="5">
        <v>64023</v>
      </c>
      <c r="K94" s="5">
        <v>64023</v>
      </c>
      <c r="L94" s="5">
        <v>0</v>
      </c>
      <c r="M94" s="12">
        <v>0</v>
      </c>
      <c r="N94" s="5">
        <f t="shared" si="2"/>
        <v>64023</v>
      </c>
      <c r="O94" s="5">
        <v>38117.800000000003</v>
      </c>
      <c r="P94" s="5">
        <f t="shared" si="3"/>
        <v>25905.199999999997</v>
      </c>
      <c r="Q94" t="s">
        <v>131</v>
      </c>
      <c r="R94">
        <v>2024</v>
      </c>
      <c r="S94">
        <v>3</v>
      </c>
    </row>
    <row r="95" spans="1:19" x14ac:dyDescent="0.3">
      <c r="A95" s="19" t="s">
        <v>141</v>
      </c>
      <c r="B95" s="20">
        <v>45360</v>
      </c>
      <c r="C95" s="19" t="s">
        <v>28</v>
      </c>
      <c r="D95" s="19" t="s">
        <v>29</v>
      </c>
      <c r="E95" s="19" t="s">
        <v>56</v>
      </c>
      <c r="F95" s="19" t="s">
        <v>40</v>
      </c>
      <c r="G95" s="19" t="s">
        <v>31</v>
      </c>
      <c r="H95" s="19" t="s">
        <v>25</v>
      </c>
      <c r="I95" s="19">
        <v>1</v>
      </c>
      <c r="J95" s="21">
        <v>67123</v>
      </c>
      <c r="K95" s="21">
        <v>67123</v>
      </c>
      <c r="L95" s="21">
        <v>0</v>
      </c>
      <c r="M95" s="15">
        <v>0</v>
      </c>
      <c r="N95" s="21">
        <f t="shared" si="2"/>
        <v>67123</v>
      </c>
      <c r="O95" s="21">
        <v>32350.32</v>
      </c>
      <c r="P95" s="21">
        <f t="shared" si="3"/>
        <v>34772.68</v>
      </c>
      <c r="Q95" s="19" t="s">
        <v>131</v>
      </c>
      <c r="R95" s="19">
        <v>2024</v>
      </c>
      <c r="S95" s="19">
        <v>3</v>
      </c>
    </row>
    <row r="96" spans="1:19" x14ac:dyDescent="0.3">
      <c r="A96" t="s">
        <v>142</v>
      </c>
      <c r="B96" s="2">
        <v>45360</v>
      </c>
      <c r="C96" t="s">
        <v>82</v>
      </c>
      <c r="D96" t="s">
        <v>21</v>
      </c>
      <c r="E96" t="s">
        <v>22</v>
      </c>
      <c r="F96" t="s">
        <v>37</v>
      </c>
      <c r="G96" t="s">
        <v>31</v>
      </c>
      <c r="H96" t="s">
        <v>133</v>
      </c>
      <c r="I96">
        <v>2</v>
      </c>
      <c r="J96" s="5">
        <v>42506</v>
      </c>
      <c r="K96" s="5">
        <v>85012</v>
      </c>
      <c r="L96" s="5">
        <v>17002.400000000001</v>
      </c>
      <c r="M96" s="12">
        <v>0.2</v>
      </c>
      <c r="N96" s="5">
        <f t="shared" si="2"/>
        <v>68009.600000000006</v>
      </c>
      <c r="O96" s="5">
        <v>48178.1</v>
      </c>
      <c r="P96" s="5">
        <f t="shared" si="3"/>
        <v>19831.500000000007</v>
      </c>
      <c r="Q96" t="s">
        <v>131</v>
      </c>
      <c r="R96">
        <v>2024</v>
      </c>
      <c r="S96">
        <v>3</v>
      </c>
    </row>
    <row r="97" spans="1:19" x14ac:dyDescent="0.3">
      <c r="A97" s="19" t="s">
        <v>143</v>
      </c>
      <c r="B97" s="20">
        <v>45360</v>
      </c>
      <c r="C97" s="19" t="s">
        <v>48</v>
      </c>
      <c r="D97" s="19" t="s">
        <v>34</v>
      </c>
      <c r="E97" s="19" t="s">
        <v>22</v>
      </c>
      <c r="F97" s="19" t="s">
        <v>40</v>
      </c>
      <c r="G97" s="19" t="s">
        <v>24</v>
      </c>
      <c r="H97" s="19" t="s">
        <v>133</v>
      </c>
      <c r="I97" s="19">
        <v>1</v>
      </c>
      <c r="J97" s="21">
        <v>24560</v>
      </c>
      <c r="K97" s="21">
        <v>24560</v>
      </c>
      <c r="L97" s="21">
        <v>2456</v>
      </c>
      <c r="M97" s="15">
        <v>0.1</v>
      </c>
      <c r="N97" s="21">
        <f t="shared" si="2"/>
        <v>22104</v>
      </c>
      <c r="O97" s="21">
        <v>16353.33</v>
      </c>
      <c r="P97" s="21">
        <f t="shared" si="3"/>
        <v>5750.67</v>
      </c>
      <c r="Q97" s="19" t="s">
        <v>131</v>
      </c>
      <c r="R97" s="19">
        <v>2024</v>
      </c>
      <c r="S97" s="19">
        <v>3</v>
      </c>
    </row>
    <row r="98" spans="1:19" x14ac:dyDescent="0.3">
      <c r="A98" t="s">
        <v>144</v>
      </c>
      <c r="B98" s="2">
        <v>45364</v>
      </c>
      <c r="C98" t="s">
        <v>64</v>
      </c>
      <c r="D98" t="s">
        <v>29</v>
      </c>
      <c r="E98" t="s">
        <v>56</v>
      </c>
      <c r="F98" t="s">
        <v>40</v>
      </c>
      <c r="G98" t="s">
        <v>24</v>
      </c>
      <c r="H98" t="s">
        <v>133</v>
      </c>
      <c r="I98">
        <v>4</v>
      </c>
      <c r="J98" s="5">
        <v>29121</v>
      </c>
      <c r="K98" s="5">
        <v>116484</v>
      </c>
      <c r="L98" s="5">
        <v>17472.599999999999</v>
      </c>
      <c r="M98" s="12">
        <v>0.15</v>
      </c>
      <c r="N98" s="5">
        <f t="shared" si="2"/>
        <v>99011.4</v>
      </c>
      <c r="O98" s="5">
        <v>61801.96</v>
      </c>
      <c r="P98" s="5">
        <f t="shared" si="3"/>
        <v>37209.439999999995</v>
      </c>
      <c r="Q98" t="s">
        <v>131</v>
      </c>
      <c r="R98">
        <v>2024</v>
      </c>
      <c r="S98">
        <v>3</v>
      </c>
    </row>
    <row r="99" spans="1:19" x14ac:dyDescent="0.3">
      <c r="A99" s="19" t="s">
        <v>145</v>
      </c>
      <c r="B99" s="20">
        <v>45366</v>
      </c>
      <c r="C99" s="19" t="s">
        <v>46</v>
      </c>
      <c r="D99" s="19" t="s">
        <v>21</v>
      </c>
      <c r="E99" s="19" t="s">
        <v>44</v>
      </c>
      <c r="F99" s="19" t="s">
        <v>35</v>
      </c>
      <c r="G99" s="19" t="s">
        <v>31</v>
      </c>
      <c r="H99" s="19" t="s">
        <v>133</v>
      </c>
      <c r="I99" s="19">
        <v>3</v>
      </c>
      <c r="J99" s="21">
        <v>12381</v>
      </c>
      <c r="K99" s="21">
        <v>37143</v>
      </c>
      <c r="L99" s="21">
        <v>1857.15</v>
      </c>
      <c r="M99" s="15">
        <v>0.05</v>
      </c>
      <c r="N99" s="21">
        <f t="shared" si="2"/>
        <v>35285.85</v>
      </c>
      <c r="O99" s="21">
        <v>20280.91</v>
      </c>
      <c r="P99" s="21">
        <f t="shared" si="3"/>
        <v>15004.939999999999</v>
      </c>
      <c r="Q99" s="19" t="s">
        <v>131</v>
      </c>
      <c r="R99" s="19">
        <v>2024</v>
      </c>
      <c r="S99" s="19">
        <v>3</v>
      </c>
    </row>
    <row r="100" spans="1:19" x14ac:dyDescent="0.3">
      <c r="A100" t="s">
        <v>146</v>
      </c>
      <c r="B100" s="2">
        <v>45366</v>
      </c>
      <c r="C100" t="s">
        <v>64</v>
      </c>
      <c r="D100" t="s">
        <v>29</v>
      </c>
      <c r="E100" t="s">
        <v>42</v>
      </c>
      <c r="F100" t="s">
        <v>30</v>
      </c>
      <c r="G100" t="s">
        <v>31</v>
      </c>
      <c r="H100" t="s">
        <v>25</v>
      </c>
      <c r="I100">
        <v>4</v>
      </c>
      <c r="J100" s="5">
        <v>28410</v>
      </c>
      <c r="K100" s="5">
        <v>113640</v>
      </c>
      <c r="L100" s="5">
        <v>0</v>
      </c>
      <c r="M100" s="12">
        <v>0</v>
      </c>
      <c r="N100" s="5">
        <f t="shared" si="2"/>
        <v>113640</v>
      </c>
      <c r="O100" s="5">
        <v>72030.73</v>
      </c>
      <c r="P100" s="5">
        <f t="shared" si="3"/>
        <v>41609.270000000004</v>
      </c>
      <c r="Q100" t="s">
        <v>131</v>
      </c>
      <c r="R100">
        <v>2024</v>
      </c>
      <c r="S100">
        <v>3</v>
      </c>
    </row>
    <row r="101" spans="1:19" x14ac:dyDescent="0.3">
      <c r="A101" s="19" t="s">
        <v>147</v>
      </c>
      <c r="B101" s="20">
        <v>45366</v>
      </c>
      <c r="C101" s="19" t="s">
        <v>46</v>
      </c>
      <c r="D101" s="19" t="s">
        <v>21</v>
      </c>
      <c r="E101" s="19" t="s">
        <v>56</v>
      </c>
      <c r="F101" s="19" t="s">
        <v>35</v>
      </c>
      <c r="G101" s="19" t="s">
        <v>31</v>
      </c>
      <c r="H101" s="19" t="s">
        <v>25</v>
      </c>
      <c r="I101" s="19">
        <v>3</v>
      </c>
      <c r="J101" s="21">
        <v>11828</v>
      </c>
      <c r="K101" s="21">
        <v>35484</v>
      </c>
      <c r="L101" s="21">
        <v>5322.6</v>
      </c>
      <c r="M101" s="15">
        <v>0.15</v>
      </c>
      <c r="N101" s="21">
        <f t="shared" si="2"/>
        <v>30161.4</v>
      </c>
      <c r="O101" s="21">
        <v>23392.87</v>
      </c>
      <c r="P101" s="21">
        <f t="shared" si="3"/>
        <v>6768.5300000000025</v>
      </c>
      <c r="Q101" s="19" t="s">
        <v>131</v>
      </c>
      <c r="R101" s="19">
        <v>2024</v>
      </c>
      <c r="S101" s="19">
        <v>3</v>
      </c>
    </row>
    <row r="102" spans="1:19" x14ac:dyDescent="0.3">
      <c r="A102" t="s">
        <v>148</v>
      </c>
      <c r="B102" s="2">
        <v>45366</v>
      </c>
      <c r="C102" t="s">
        <v>33</v>
      </c>
      <c r="D102" t="s">
        <v>34</v>
      </c>
      <c r="E102" t="s">
        <v>44</v>
      </c>
      <c r="F102" t="s">
        <v>23</v>
      </c>
      <c r="G102" t="s">
        <v>31</v>
      </c>
      <c r="H102" t="s">
        <v>25</v>
      </c>
      <c r="I102">
        <v>2</v>
      </c>
      <c r="J102" s="5">
        <v>44438</v>
      </c>
      <c r="K102" s="5">
        <v>88876</v>
      </c>
      <c r="L102" s="5">
        <v>0</v>
      </c>
      <c r="M102" s="12">
        <v>0</v>
      </c>
      <c r="N102" s="5">
        <f t="shared" si="2"/>
        <v>88876</v>
      </c>
      <c r="O102" s="5">
        <v>56489.31</v>
      </c>
      <c r="P102" s="5">
        <f t="shared" si="3"/>
        <v>32386.690000000002</v>
      </c>
      <c r="Q102" t="s">
        <v>131</v>
      </c>
      <c r="R102">
        <v>2024</v>
      </c>
      <c r="S102">
        <v>3</v>
      </c>
    </row>
    <row r="103" spans="1:19" x14ac:dyDescent="0.3">
      <c r="A103" s="19" t="s">
        <v>149</v>
      </c>
      <c r="B103" s="20">
        <v>45367</v>
      </c>
      <c r="C103" s="19" t="s">
        <v>20</v>
      </c>
      <c r="D103" s="19" t="s">
        <v>21</v>
      </c>
      <c r="E103" s="19" t="s">
        <v>22</v>
      </c>
      <c r="F103" s="19" t="s">
        <v>37</v>
      </c>
      <c r="G103" s="19" t="s">
        <v>24</v>
      </c>
      <c r="H103" s="19" t="s">
        <v>133</v>
      </c>
      <c r="I103" s="19">
        <v>1</v>
      </c>
      <c r="J103" s="21">
        <v>14707</v>
      </c>
      <c r="K103" s="21">
        <v>14707</v>
      </c>
      <c r="L103" s="21">
        <v>2206.0500000000002</v>
      </c>
      <c r="M103" s="15">
        <v>0.15</v>
      </c>
      <c r="N103" s="21">
        <f t="shared" si="2"/>
        <v>12500.95</v>
      </c>
      <c r="O103" s="21">
        <v>8430.7999999999993</v>
      </c>
      <c r="P103" s="21">
        <f t="shared" si="3"/>
        <v>4070.1500000000015</v>
      </c>
      <c r="Q103" s="19" t="s">
        <v>131</v>
      </c>
      <c r="R103" s="19">
        <v>2024</v>
      </c>
      <c r="S103" s="19">
        <v>3</v>
      </c>
    </row>
    <row r="104" spans="1:19" x14ac:dyDescent="0.3">
      <c r="A104" t="s">
        <v>150</v>
      </c>
      <c r="B104" s="2">
        <v>45369</v>
      </c>
      <c r="C104" t="s">
        <v>33</v>
      </c>
      <c r="D104" t="s">
        <v>34</v>
      </c>
      <c r="E104" t="s">
        <v>22</v>
      </c>
      <c r="F104" t="s">
        <v>40</v>
      </c>
      <c r="G104" t="s">
        <v>24</v>
      </c>
      <c r="H104" t="s">
        <v>133</v>
      </c>
      <c r="I104">
        <v>3</v>
      </c>
      <c r="J104" s="5">
        <v>40429</v>
      </c>
      <c r="K104" s="5">
        <v>121287</v>
      </c>
      <c r="L104" s="5">
        <v>6064.35</v>
      </c>
      <c r="M104" s="12">
        <v>0.05</v>
      </c>
      <c r="N104" s="5">
        <f t="shared" si="2"/>
        <v>115222.65</v>
      </c>
      <c r="O104" s="5">
        <v>68404.38</v>
      </c>
      <c r="P104" s="5">
        <f t="shared" si="3"/>
        <v>46818.26999999999</v>
      </c>
      <c r="Q104" t="s">
        <v>131</v>
      </c>
      <c r="R104">
        <v>2024</v>
      </c>
      <c r="S104">
        <v>3</v>
      </c>
    </row>
    <row r="105" spans="1:19" x14ac:dyDescent="0.3">
      <c r="A105" s="19" t="s">
        <v>151</v>
      </c>
      <c r="B105" s="20">
        <v>45369</v>
      </c>
      <c r="C105" s="19" t="s">
        <v>64</v>
      </c>
      <c r="D105" s="19" t="s">
        <v>29</v>
      </c>
      <c r="E105" s="19" t="s">
        <v>22</v>
      </c>
      <c r="F105" s="19" t="s">
        <v>40</v>
      </c>
      <c r="G105" s="19" t="s">
        <v>24</v>
      </c>
      <c r="H105" s="19" t="s">
        <v>133</v>
      </c>
      <c r="I105" s="19">
        <v>2</v>
      </c>
      <c r="J105" s="21">
        <v>30408</v>
      </c>
      <c r="K105" s="21">
        <v>60816</v>
      </c>
      <c r="L105" s="21">
        <v>6081.6</v>
      </c>
      <c r="M105" s="15">
        <v>0.1</v>
      </c>
      <c r="N105" s="21">
        <f t="shared" si="2"/>
        <v>54734.400000000001</v>
      </c>
      <c r="O105" s="21">
        <v>35220.870000000003</v>
      </c>
      <c r="P105" s="21">
        <f t="shared" si="3"/>
        <v>19513.53</v>
      </c>
      <c r="Q105" s="19" t="s">
        <v>131</v>
      </c>
      <c r="R105" s="19">
        <v>2024</v>
      </c>
      <c r="S105" s="19">
        <v>3</v>
      </c>
    </row>
    <row r="106" spans="1:19" x14ac:dyDescent="0.3">
      <c r="A106" t="s">
        <v>152</v>
      </c>
      <c r="B106" s="2">
        <v>45371</v>
      </c>
      <c r="C106" t="s">
        <v>75</v>
      </c>
      <c r="D106" t="s">
        <v>34</v>
      </c>
      <c r="E106" t="s">
        <v>42</v>
      </c>
      <c r="F106" t="s">
        <v>37</v>
      </c>
      <c r="G106" t="s">
        <v>31</v>
      </c>
      <c r="H106" t="s">
        <v>133</v>
      </c>
      <c r="I106">
        <v>3</v>
      </c>
      <c r="J106" s="5">
        <v>38453</v>
      </c>
      <c r="K106" s="5">
        <v>115359</v>
      </c>
      <c r="L106" s="5">
        <v>11535.9</v>
      </c>
      <c r="M106" s="12">
        <v>0.1</v>
      </c>
      <c r="N106" s="5">
        <f t="shared" si="2"/>
        <v>103823.1</v>
      </c>
      <c r="O106" s="5">
        <v>67214.16</v>
      </c>
      <c r="P106" s="5">
        <f t="shared" si="3"/>
        <v>36608.94</v>
      </c>
      <c r="Q106" t="s">
        <v>131</v>
      </c>
      <c r="R106">
        <v>2024</v>
      </c>
      <c r="S106">
        <v>3</v>
      </c>
    </row>
    <row r="107" spans="1:19" x14ac:dyDescent="0.3">
      <c r="A107" s="19" t="s">
        <v>153</v>
      </c>
      <c r="B107" s="20">
        <v>45372</v>
      </c>
      <c r="C107" s="19" t="s">
        <v>50</v>
      </c>
      <c r="D107" s="19" t="s">
        <v>34</v>
      </c>
      <c r="E107" s="19" t="s">
        <v>22</v>
      </c>
      <c r="F107" s="19" t="s">
        <v>40</v>
      </c>
      <c r="G107" s="19" t="s">
        <v>31</v>
      </c>
      <c r="H107" s="19" t="s">
        <v>133</v>
      </c>
      <c r="I107" s="19">
        <v>2</v>
      </c>
      <c r="J107" s="21">
        <v>18863</v>
      </c>
      <c r="K107" s="21">
        <v>37726</v>
      </c>
      <c r="L107" s="21">
        <v>3772.6</v>
      </c>
      <c r="M107" s="15">
        <v>0.1</v>
      </c>
      <c r="N107" s="21">
        <f t="shared" si="2"/>
        <v>33953.4</v>
      </c>
      <c r="O107" s="21">
        <v>21325.14</v>
      </c>
      <c r="P107" s="21">
        <f t="shared" si="3"/>
        <v>12628.260000000002</v>
      </c>
      <c r="Q107" s="19" t="s">
        <v>131</v>
      </c>
      <c r="R107" s="19">
        <v>2024</v>
      </c>
      <c r="S107" s="19">
        <v>3</v>
      </c>
    </row>
    <row r="108" spans="1:19" x14ac:dyDescent="0.3">
      <c r="A108" t="s">
        <v>154</v>
      </c>
      <c r="B108" s="2">
        <v>45373</v>
      </c>
      <c r="C108" t="s">
        <v>33</v>
      </c>
      <c r="D108" t="s">
        <v>34</v>
      </c>
      <c r="E108" t="s">
        <v>44</v>
      </c>
      <c r="F108" t="s">
        <v>23</v>
      </c>
      <c r="G108" t="s">
        <v>31</v>
      </c>
      <c r="H108" t="s">
        <v>133</v>
      </c>
      <c r="I108">
        <v>2</v>
      </c>
      <c r="J108" s="5">
        <v>38764</v>
      </c>
      <c r="K108" s="5">
        <v>77528</v>
      </c>
      <c r="L108" s="5">
        <v>7752.8</v>
      </c>
      <c r="M108" s="12">
        <v>0.1</v>
      </c>
      <c r="N108" s="5">
        <f t="shared" si="2"/>
        <v>69775.199999999997</v>
      </c>
      <c r="O108" s="5">
        <v>40731.67</v>
      </c>
      <c r="P108" s="5">
        <f t="shared" si="3"/>
        <v>29043.53</v>
      </c>
      <c r="Q108" t="s">
        <v>131</v>
      </c>
      <c r="R108">
        <v>2024</v>
      </c>
      <c r="S108">
        <v>3</v>
      </c>
    </row>
    <row r="109" spans="1:19" x14ac:dyDescent="0.3">
      <c r="A109" s="19" t="s">
        <v>155</v>
      </c>
      <c r="B109" s="20">
        <v>45374</v>
      </c>
      <c r="C109" s="19" t="s">
        <v>20</v>
      </c>
      <c r="D109" s="19" t="s">
        <v>21</v>
      </c>
      <c r="E109" s="19" t="s">
        <v>22</v>
      </c>
      <c r="F109" s="19" t="s">
        <v>35</v>
      </c>
      <c r="G109" s="19" t="s">
        <v>31</v>
      </c>
      <c r="H109" s="19" t="s">
        <v>25</v>
      </c>
      <c r="I109" s="19">
        <v>1</v>
      </c>
      <c r="J109" s="21">
        <v>16009</v>
      </c>
      <c r="K109" s="21">
        <v>16009</v>
      </c>
      <c r="L109" s="21">
        <v>0</v>
      </c>
      <c r="M109" s="15">
        <v>0</v>
      </c>
      <c r="N109" s="21">
        <f t="shared" si="2"/>
        <v>16009</v>
      </c>
      <c r="O109" s="21">
        <v>9415.06</v>
      </c>
      <c r="P109" s="21">
        <f t="shared" si="3"/>
        <v>6593.9400000000005</v>
      </c>
      <c r="Q109" s="19" t="s">
        <v>131</v>
      </c>
      <c r="R109" s="19">
        <v>2024</v>
      </c>
      <c r="S109" s="19">
        <v>3</v>
      </c>
    </row>
    <row r="110" spans="1:19" x14ac:dyDescent="0.3">
      <c r="A110" t="s">
        <v>156</v>
      </c>
      <c r="B110" s="2">
        <v>45377</v>
      </c>
      <c r="C110" t="s">
        <v>20</v>
      </c>
      <c r="D110" t="s">
        <v>21</v>
      </c>
      <c r="E110" t="s">
        <v>44</v>
      </c>
      <c r="F110" t="s">
        <v>40</v>
      </c>
      <c r="G110" t="s">
        <v>24</v>
      </c>
      <c r="H110" t="s">
        <v>133</v>
      </c>
      <c r="I110">
        <v>5</v>
      </c>
      <c r="J110" s="5">
        <v>15496</v>
      </c>
      <c r="K110" s="5">
        <v>77480</v>
      </c>
      <c r="L110" s="5">
        <v>11622</v>
      </c>
      <c r="M110" s="12">
        <v>0.15</v>
      </c>
      <c r="N110" s="5">
        <f t="shared" si="2"/>
        <v>65858</v>
      </c>
      <c r="O110" s="5">
        <v>43576.25</v>
      </c>
      <c r="P110" s="5">
        <f t="shared" si="3"/>
        <v>22281.75</v>
      </c>
      <c r="Q110" t="s">
        <v>131</v>
      </c>
      <c r="R110">
        <v>2024</v>
      </c>
      <c r="S110">
        <v>3</v>
      </c>
    </row>
    <row r="111" spans="1:19" x14ac:dyDescent="0.3">
      <c r="A111" s="19" t="s">
        <v>157</v>
      </c>
      <c r="B111" s="20">
        <v>45378</v>
      </c>
      <c r="C111" s="19" t="s">
        <v>48</v>
      </c>
      <c r="D111" s="19" t="s">
        <v>34</v>
      </c>
      <c r="E111" s="19" t="s">
        <v>22</v>
      </c>
      <c r="F111" s="19" t="s">
        <v>40</v>
      </c>
      <c r="G111" s="19" t="s">
        <v>24</v>
      </c>
      <c r="H111" s="19" t="s">
        <v>25</v>
      </c>
      <c r="I111" s="19">
        <v>3</v>
      </c>
      <c r="J111" s="21">
        <v>24492</v>
      </c>
      <c r="K111" s="21">
        <v>73476</v>
      </c>
      <c r="L111" s="21">
        <v>3673.8</v>
      </c>
      <c r="M111" s="15">
        <v>0.05</v>
      </c>
      <c r="N111" s="21">
        <f t="shared" si="2"/>
        <v>69802.2</v>
      </c>
      <c r="O111" s="21">
        <v>43474.05</v>
      </c>
      <c r="P111" s="21">
        <f t="shared" si="3"/>
        <v>26328.149999999994</v>
      </c>
      <c r="Q111" s="19" t="s">
        <v>131</v>
      </c>
      <c r="R111" s="19">
        <v>2024</v>
      </c>
      <c r="S111" s="19">
        <v>3</v>
      </c>
    </row>
    <row r="112" spans="1:19" x14ac:dyDescent="0.3">
      <c r="A112" t="s">
        <v>158</v>
      </c>
      <c r="B112" s="2">
        <v>45379</v>
      </c>
      <c r="C112" t="s">
        <v>71</v>
      </c>
      <c r="D112" t="s">
        <v>34</v>
      </c>
      <c r="E112" t="s">
        <v>42</v>
      </c>
      <c r="F112" t="s">
        <v>23</v>
      </c>
      <c r="G112" t="s">
        <v>24</v>
      </c>
      <c r="H112" t="s">
        <v>25</v>
      </c>
      <c r="I112">
        <v>2</v>
      </c>
      <c r="J112" s="5">
        <v>50755</v>
      </c>
      <c r="K112" s="5">
        <v>101510</v>
      </c>
      <c r="L112" s="5">
        <v>0</v>
      </c>
      <c r="M112" s="12">
        <v>0</v>
      </c>
      <c r="N112" s="5">
        <f t="shared" si="2"/>
        <v>101510</v>
      </c>
      <c r="O112" s="5">
        <v>50057.14</v>
      </c>
      <c r="P112" s="5">
        <f t="shared" si="3"/>
        <v>51452.86</v>
      </c>
      <c r="Q112" t="s">
        <v>131</v>
      </c>
      <c r="R112">
        <v>2024</v>
      </c>
      <c r="S112">
        <v>3</v>
      </c>
    </row>
    <row r="113" spans="1:19" x14ac:dyDescent="0.3">
      <c r="A113" s="19" t="s">
        <v>159</v>
      </c>
      <c r="B113" s="20">
        <v>45380</v>
      </c>
      <c r="C113" s="19" t="s">
        <v>75</v>
      </c>
      <c r="D113" s="19" t="s">
        <v>34</v>
      </c>
      <c r="E113" s="19" t="s">
        <v>42</v>
      </c>
      <c r="F113" s="19" t="s">
        <v>23</v>
      </c>
      <c r="G113" s="19" t="s">
        <v>24</v>
      </c>
      <c r="H113" s="19" t="s">
        <v>133</v>
      </c>
      <c r="I113" s="19">
        <v>2</v>
      </c>
      <c r="J113" s="21">
        <v>40773</v>
      </c>
      <c r="K113" s="21">
        <v>81546</v>
      </c>
      <c r="L113" s="21">
        <v>12231.9</v>
      </c>
      <c r="M113" s="15">
        <v>0.15</v>
      </c>
      <c r="N113" s="21">
        <f t="shared" si="2"/>
        <v>69314.100000000006</v>
      </c>
      <c r="O113" s="21">
        <v>43185.66</v>
      </c>
      <c r="P113" s="21">
        <f t="shared" si="3"/>
        <v>26128.440000000002</v>
      </c>
      <c r="Q113" s="19" t="s">
        <v>131</v>
      </c>
      <c r="R113" s="19">
        <v>2024</v>
      </c>
      <c r="S113" s="19">
        <v>3</v>
      </c>
    </row>
    <row r="114" spans="1:19" x14ac:dyDescent="0.3">
      <c r="A114" t="s">
        <v>160</v>
      </c>
      <c r="B114" s="2">
        <v>45381</v>
      </c>
      <c r="C114" t="s">
        <v>82</v>
      </c>
      <c r="D114" t="s">
        <v>21</v>
      </c>
      <c r="E114" t="s">
        <v>22</v>
      </c>
      <c r="F114" t="s">
        <v>37</v>
      </c>
      <c r="G114" t="s">
        <v>31</v>
      </c>
      <c r="H114" t="s">
        <v>133</v>
      </c>
      <c r="I114">
        <v>4</v>
      </c>
      <c r="J114" s="5">
        <v>41405</v>
      </c>
      <c r="K114" s="5">
        <v>165620</v>
      </c>
      <c r="L114" s="5">
        <v>33124</v>
      </c>
      <c r="M114" s="12">
        <v>0.2</v>
      </c>
      <c r="N114" s="5">
        <f t="shared" si="2"/>
        <v>132496</v>
      </c>
      <c r="O114" s="5">
        <v>103323.71</v>
      </c>
      <c r="P114" s="5">
        <f t="shared" si="3"/>
        <v>29172.289999999994</v>
      </c>
      <c r="Q114" t="s">
        <v>131</v>
      </c>
      <c r="R114">
        <v>2024</v>
      </c>
      <c r="S114">
        <v>3</v>
      </c>
    </row>
    <row r="115" spans="1:19" x14ac:dyDescent="0.3">
      <c r="A115" s="19" t="s">
        <v>161</v>
      </c>
      <c r="B115" s="20">
        <v>45381</v>
      </c>
      <c r="C115" s="19" t="s">
        <v>46</v>
      </c>
      <c r="D115" s="19" t="s">
        <v>21</v>
      </c>
      <c r="E115" s="19" t="s">
        <v>22</v>
      </c>
      <c r="F115" s="19" t="s">
        <v>35</v>
      </c>
      <c r="G115" s="19" t="s">
        <v>31</v>
      </c>
      <c r="H115" s="19" t="s">
        <v>25</v>
      </c>
      <c r="I115" s="19">
        <v>1</v>
      </c>
      <c r="J115" s="21">
        <v>12222</v>
      </c>
      <c r="K115" s="21">
        <v>12222</v>
      </c>
      <c r="L115" s="21">
        <v>0</v>
      </c>
      <c r="M115" s="15">
        <v>0</v>
      </c>
      <c r="N115" s="21">
        <f t="shared" si="2"/>
        <v>12222</v>
      </c>
      <c r="O115" s="21">
        <v>6854.46</v>
      </c>
      <c r="P115" s="21">
        <f t="shared" si="3"/>
        <v>5367.54</v>
      </c>
      <c r="Q115" s="19" t="s">
        <v>131</v>
      </c>
      <c r="R115" s="19">
        <v>2024</v>
      </c>
      <c r="S115" s="19">
        <v>3</v>
      </c>
    </row>
    <row r="116" spans="1:19" x14ac:dyDescent="0.3">
      <c r="A116" t="s">
        <v>162</v>
      </c>
      <c r="B116" s="2">
        <v>45381</v>
      </c>
      <c r="C116" t="s">
        <v>20</v>
      </c>
      <c r="D116" t="s">
        <v>21</v>
      </c>
      <c r="E116" t="s">
        <v>42</v>
      </c>
      <c r="F116" t="s">
        <v>37</v>
      </c>
      <c r="G116" t="s">
        <v>24</v>
      </c>
      <c r="H116" t="s">
        <v>133</v>
      </c>
      <c r="I116">
        <v>2</v>
      </c>
      <c r="J116" s="5">
        <v>15021</v>
      </c>
      <c r="K116" s="5">
        <v>30042</v>
      </c>
      <c r="L116" s="5">
        <v>4506.3</v>
      </c>
      <c r="M116" s="12">
        <v>0.15</v>
      </c>
      <c r="N116" s="5">
        <f t="shared" si="2"/>
        <v>25535.7</v>
      </c>
      <c r="O116" s="5">
        <v>19623.650000000001</v>
      </c>
      <c r="P116" s="5">
        <f t="shared" si="3"/>
        <v>5912.0499999999993</v>
      </c>
      <c r="Q116" t="s">
        <v>131</v>
      </c>
      <c r="R116">
        <v>2024</v>
      </c>
      <c r="S116">
        <v>3</v>
      </c>
    </row>
    <row r="117" spans="1:19" x14ac:dyDescent="0.3">
      <c r="A117" s="19" t="s">
        <v>163</v>
      </c>
      <c r="B117" s="20">
        <v>45382</v>
      </c>
      <c r="C117" s="19" t="s">
        <v>46</v>
      </c>
      <c r="D117" s="19" t="s">
        <v>21</v>
      </c>
      <c r="E117" s="19" t="s">
        <v>22</v>
      </c>
      <c r="F117" s="19" t="s">
        <v>40</v>
      </c>
      <c r="G117" s="19" t="s">
        <v>31</v>
      </c>
      <c r="H117" s="19" t="s">
        <v>25</v>
      </c>
      <c r="I117" s="19">
        <v>2</v>
      </c>
      <c r="J117" s="21">
        <v>12695</v>
      </c>
      <c r="K117" s="21">
        <v>25390</v>
      </c>
      <c r="L117" s="21">
        <v>0</v>
      </c>
      <c r="M117" s="15">
        <v>0</v>
      </c>
      <c r="N117" s="21">
        <f t="shared" si="2"/>
        <v>25390</v>
      </c>
      <c r="O117" s="21">
        <v>17183.48</v>
      </c>
      <c r="P117" s="21">
        <f t="shared" si="3"/>
        <v>8206.52</v>
      </c>
      <c r="Q117" s="19" t="s">
        <v>131</v>
      </c>
      <c r="R117" s="19">
        <v>2024</v>
      </c>
      <c r="S117" s="19">
        <v>3</v>
      </c>
    </row>
    <row r="118" spans="1:19" x14ac:dyDescent="0.3">
      <c r="A118" t="s">
        <v>164</v>
      </c>
      <c r="B118" s="2">
        <v>45383</v>
      </c>
      <c r="C118" t="s">
        <v>82</v>
      </c>
      <c r="D118" t="s">
        <v>21</v>
      </c>
      <c r="E118" t="s">
        <v>22</v>
      </c>
      <c r="F118" t="s">
        <v>35</v>
      </c>
      <c r="G118" t="s">
        <v>31</v>
      </c>
      <c r="H118" t="s">
        <v>25</v>
      </c>
      <c r="I118">
        <v>1</v>
      </c>
      <c r="J118" s="5">
        <v>44881</v>
      </c>
      <c r="K118" s="5">
        <v>44881</v>
      </c>
      <c r="L118" s="5">
        <v>0</v>
      </c>
      <c r="M118" s="12">
        <v>0</v>
      </c>
      <c r="N118" s="5">
        <f t="shared" si="2"/>
        <v>44881</v>
      </c>
      <c r="O118" s="5">
        <v>26481.82</v>
      </c>
      <c r="P118" s="5">
        <f t="shared" si="3"/>
        <v>18399.18</v>
      </c>
      <c r="Q118" t="s">
        <v>165</v>
      </c>
      <c r="R118">
        <v>2024</v>
      </c>
      <c r="S118">
        <v>4</v>
      </c>
    </row>
    <row r="119" spans="1:19" x14ac:dyDescent="0.3">
      <c r="A119" s="19" t="s">
        <v>166</v>
      </c>
      <c r="B119" s="20">
        <v>45384</v>
      </c>
      <c r="C119" s="19" t="s">
        <v>46</v>
      </c>
      <c r="D119" s="19" t="s">
        <v>21</v>
      </c>
      <c r="E119" s="19" t="s">
        <v>44</v>
      </c>
      <c r="F119" s="19" t="s">
        <v>40</v>
      </c>
      <c r="G119" s="19" t="s">
        <v>24</v>
      </c>
      <c r="H119" s="19" t="s">
        <v>133</v>
      </c>
      <c r="I119" s="19">
        <v>3</v>
      </c>
      <c r="J119" s="21">
        <v>12688</v>
      </c>
      <c r="K119" s="21">
        <v>38064</v>
      </c>
      <c r="L119" s="21">
        <v>3806.4</v>
      </c>
      <c r="M119" s="15">
        <v>0.1</v>
      </c>
      <c r="N119" s="21">
        <f t="shared" si="2"/>
        <v>34257.599999999999</v>
      </c>
      <c r="O119" s="21">
        <v>21329.65</v>
      </c>
      <c r="P119" s="21">
        <f t="shared" si="3"/>
        <v>12927.949999999997</v>
      </c>
      <c r="Q119" s="19" t="s">
        <v>165</v>
      </c>
      <c r="R119" s="19">
        <v>2024</v>
      </c>
      <c r="S119" s="19">
        <v>4</v>
      </c>
    </row>
    <row r="120" spans="1:19" x14ac:dyDescent="0.3">
      <c r="A120" t="s">
        <v>167</v>
      </c>
      <c r="B120" s="2">
        <v>45385</v>
      </c>
      <c r="C120" t="s">
        <v>64</v>
      </c>
      <c r="D120" t="s">
        <v>29</v>
      </c>
      <c r="E120" t="s">
        <v>22</v>
      </c>
      <c r="F120" t="s">
        <v>37</v>
      </c>
      <c r="G120" t="s">
        <v>31</v>
      </c>
      <c r="H120" t="s">
        <v>25</v>
      </c>
      <c r="I120">
        <v>1</v>
      </c>
      <c r="J120" s="5">
        <v>27897</v>
      </c>
      <c r="K120" s="5">
        <v>27897</v>
      </c>
      <c r="L120" s="5">
        <v>0</v>
      </c>
      <c r="M120" s="12">
        <v>0</v>
      </c>
      <c r="N120" s="5">
        <f t="shared" si="2"/>
        <v>27897</v>
      </c>
      <c r="O120" s="5">
        <v>16592.39</v>
      </c>
      <c r="P120" s="5">
        <f t="shared" si="3"/>
        <v>11304.61</v>
      </c>
      <c r="Q120" t="s">
        <v>165</v>
      </c>
      <c r="R120">
        <v>2024</v>
      </c>
      <c r="S120">
        <v>4</v>
      </c>
    </row>
    <row r="121" spans="1:19" x14ac:dyDescent="0.3">
      <c r="A121" s="19" t="s">
        <v>168</v>
      </c>
      <c r="B121" s="20">
        <v>45386</v>
      </c>
      <c r="C121" s="19" t="s">
        <v>46</v>
      </c>
      <c r="D121" s="19" t="s">
        <v>21</v>
      </c>
      <c r="E121" s="19" t="s">
        <v>22</v>
      </c>
      <c r="F121" s="19" t="s">
        <v>40</v>
      </c>
      <c r="G121" s="19" t="s">
        <v>24</v>
      </c>
      <c r="H121" s="19" t="s">
        <v>25</v>
      </c>
      <c r="I121" s="19">
        <v>1</v>
      </c>
      <c r="J121" s="21">
        <v>11689</v>
      </c>
      <c r="K121" s="21">
        <v>11689</v>
      </c>
      <c r="L121" s="21">
        <v>0</v>
      </c>
      <c r="M121" s="15">
        <v>0</v>
      </c>
      <c r="N121" s="21">
        <f t="shared" si="2"/>
        <v>11689</v>
      </c>
      <c r="O121" s="21">
        <v>6460.65</v>
      </c>
      <c r="P121" s="21">
        <f t="shared" si="3"/>
        <v>5228.3500000000004</v>
      </c>
      <c r="Q121" s="19" t="s">
        <v>165</v>
      </c>
      <c r="R121" s="19">
        <v>2024</v>
      </c>
      <c r="S121" s="19">
        <v>4</v>
      </c>
    </row>
    <row r="122" spans="1:19" x14ac:dyDescent="0.3">
      <c r="A122" t="s">
        <v>169</v>
      </c>
      <c r="B122" s="2">
        <v>45386</v>
      </c>
      <c r="C122" t="s">
        <v>50</v>
      </c>
      <c r="D122" t="s">
        <v>34</v>
      </c>
      <c r="E122" t="s">
        <v>22</v>
      </c>
      <c r="F122" t="s">
        <v>37</v>
      </c>
      <c r="G122" t="s">
        <v>24</v>
      </c>
      <c r="H122" t="s">
        <v>25</v>
      </c>
      <c r="I122">
        <v>1</v>
      </c>
      <c r="J122" s="5">
        <v>18986</v>
      </c>
      <c r="K122" s="5">
        <v>18986</v>
      </c>
      <c r="L122" s="5">
        <v>0</v>
      </c>
      <c r="M122" s="12">
        <v>0</v>
      </c>
      <c r="N122" s="5">
        <f t="shared" si="2"/>
        <v>18986</v>
      </c>
      <c r="O122" s="5">
        <v>11621.22</v>
      </c>
      <c r="P122" s="5">
        <f t="shared" si="3"/>
        <v>7364.7800000000007</v>
      </c>
      <c r="Q122" t="s">
        <v>165</v>
      </c>
      <c r="R122">
        <v>2024</v>
      </c>
      <c r="S122">
        <v>4</v>
      </c>
    </row>
    <row r="123" spans="1:19" x14ac:dyDescent="0.3">
      <c r="A123" s="19" t="s">
        <v>170</v>
      </c>
      <c r="B123" s="20">
        <v>45386</v>
      </c>
      <c r="C123" s="19" t="s">
        <v>82</v>
      </c>
      <c r="D123" s="19" t="s">
        <v>21</v>
      </c>
      <c r="E123" s="19" t="s">
        <v>42</v>
      </c>
      <c r="F123" s="19" t="s">
        <v>30</v>
      </c>
      <c r="G123" s="19" t="s">
        <v>24</v>
      </c>
      <c r="H123" s="19" t="s">
        <v>133</v>
      </c>
      <c r="I123" s="19">
        <v>1</v>
      </c>
      <c r="J123" s="21">
        <v>41757</v>
      </c>
      <c r="K123" s="21">
        <v>41757</v>
      </c>
      <c r="L123" s="21">
        <v>6263.55</v>
      </c>
      <c r="M123" s="15">
        <v>0.15</v>
      </c>
      <c r="N123" s="21">
        <f t="shared" si="2"/>
        <v>35493.449999999997</v>
      </c>
      <c r="O123" s="21">
        <v>20317.759999999998</v>
      </c>
      <c r="P123" s="21">
        <f t="shared" si="3"/>
        <v>15175.689999999999</v>
      </c>
      <c r="Q123" s="19" t="s">
        <v>165</v>
      </c>
      <c r="R123" s="19">
        <v>2024</v>
      </c>
      <c r="S123" s="19">
        <v>4</v>
      </c>
    </row>
    <row r="124" spans="1:19" x14ac:dyDescent="0.3">
      <c r="A124" t="s">
        <v>171</v>
      </c>
      <c r="B124" s="2">
        <v>45387</v>
      </c>
      <c r="C124" t="s">
        <v>48</v>
      </c>
      <c r="D124" t="s">
        <v>34</v>
      </c>
      <c r="E124" t="s">
        <v>44</v>
      </c>
      <c r="F124" t="s">
        <v>40</v>
      </c>
      <c r="G124" t="s">
        <v>24</v>
      </c>
      <c r="H124" t="s">
        <v>25</v>
      </c>
      <c r="I124">
        <v>1</v>
      </c>
      <c r="J124" s="5">
        <v>24248</v>
      </c>
      <c r="K124" s="5">
        <v>24248</v>
      </c>
      <c r="L124" s="5">
        <v>0</v>
      </c>
      <c r="M124" s="12">
        <v>0</v>
      </c>
      <c r="N124" s="5">
        <f t="shared" si="2"/>
        <v>24248</v>
      </c>
      <c r="O124" s="5">
        <v>15500.78</v>
      </c>
      <c r="P124" s="5">
        <f t="shared" si="3"/>
        <v>8747.2199999999993</v>
      </c>
      <c r="Q124" t="s">
        <v>165</v>
      </c>
      <c r="R124">
        <v>2024</v>
      </c>
      <c r="S124">
        <v>4</v>
      </c>
    </row>
    <row r="125" spans="1:19" x14ac:dyDescent="0.3">
      <c r="A125" s="19" t="s">
        <v>172</v>
      </c>
      <c r="B125" s="20">
        <v>45387</v>
      </c>
      <c r="C125" s="19" t="s">
        <v>20</v>
      </c>
      <c r="D125" s="19" t="s">
        <v>21</v>
      </c>
      <c r="E125" s="19" t="s">
        <v>44</v>
      </c>
      <c r="F125" s="19" t="s">
        <v>40</v>
      </c>
      <c r="G125" s="19" t="s">
        <v>31</v>
      </c>
      <c r="H125" s="19" t="s">
        <v>25</v>
      </c>
      <c r="I125" s="19">
        <v>2</v>
      </c>
      <c r="J125" s="21">
        <v>15811</v>
      </c>
      <c r="K125" s="21">
        <v>31622</v>
      </c>
      <c r="L125" s="21">
        <v>0</v>
      </c>
      <c r="M125" s="15">
        <v>0</v>
      </c>
      <c r="N125" s="21">
        <f t="shared" si="2"/>
        <v>31622</v>
      </c>
      <c r="O125" s="21">
        <v>17892.88</v>
      </c>
      <c r="P125" s="21">
        <f t="shared" si="3"/>
        <v>13729.119999999999</v>
      </c>
      <c r="Q125" s="19" t="s">
        <v>165</v>
      </c>
      <c r="R125" s="19">
        <v>2024</v>
      </c>
      <c r="S125" s="19">
        <v>4</v>
      </c>
    </row>
    <row r="126" spans="1:19" x14ac:dyDescent="0.3">
      <c r="A126" t="s">
        <v>173</v>
      </c>
      <c r="B126" s="2">
        <v>45387</v>
      </c>
      <c r="C126" t="s">
        <v>64</v>
      </c>
      <c r="D126" t="s">
        <v>29</v>
      </c>
      <c r="E126" t="s">
        <v>22</v>
      </c>
      <c r="F126" t="s">
        <v>37</v>
      </c>
      <c r="G126" t="s">
        <v>24</v>
      </c>
      <c r="H126" t="s">
        <v>25</v>
      </c>
      <c r="I126">
        <v>3</v>
      </c>
      <c r="J126" s="5">
        <v>30439</v>
      </c>
      <c r="K126" s="5">
        <v>91317</v>
      </c>
      <c r="L126" s="5">
        <v>0</v>
      </c>
      <c r="M126" s="12">
        <v>0</v>
      </c>
      <c r="N126" s="5">
        <f t="shared" si="2"/>
        <v>91317</v>
      </c>
      <c r="O126" s="5">
        <v>44458.44</v>
      </c>
      <c r="P126" s="5">
        <f t="shared" si="3"/>
        <v>46858.559999999998</v>
      </c>
      <c r="Q126" t="s">
        <v>165</v>
      </c>
      <c r="R126">
        <v>2024</v>
      </c>
      <c r="S126">
        <v>4</v>
      </c>
    </row>
    <row r="127" spans="1:19" x14ac:dyDescent="0.3">
      <c r="A127" s="19" t="s">
        <v>174</v>
      </c>
      <c r="B127" s="20">
        <v>45389</v>
      </c>
      <c r="C127" s="19" t="s">
        <v>82</v>
      </c>
      <c r="D127" s="19" t="s">
        <v>21</v>
      </c>
      <c r="E127" s="19" t="s">
        <v>22</v>
      </c>
      <c r="F127" s="19" t="s">
        <v>35</v>
      </c>
      <c r="G127" s="19" t="s">
        <v>24</v>
      </c>
      <c r="H127" s="19" t="s">
        <v>25</v>
      </c>
      <c r="I127" s="19">
        <v>2</v>
      </c>
      <c r="J127" s="21">
        <v>42152</v>
      </c>
      <c r="K127" s="21">
        <v>84304</v>
      </c>
      <c r="L127" s="21">
        <v>0</v>
      </c>
      <c r="M127" s="15">
        <v>0</v>
      </c>
      <c r="N127" s="21">
        <f t="shared" si="2"/>
        <v>84304</v>
      </c>
      <c r="O127" s="21">
        <v>45306.81</v>
      </c>
      <c r="P127" s="21">
        <f t="shared" si="3"/>
        <v>38997.19</v>
      </c>
      <c r="Q127" s="19" t="s">
        <v>165</v>
      </c>
      <c r="R127" s="19">
        <v>2024</v>
      </c>
      <c r="S127" s="19">
        <v>4</v>
      </c>
    </row>
    <row r="128" spans="1:19" x14ac:dyDescent="0.3">
      <c r="A128" t="s">
        <v>175</v>
      </c>
      <c r="B128" s="2">
        <v>45389</v>
      </c>
      <c r="C128" t="s">
        <v>71</v>
      </c>
      <c r="D128" t="s">
        <v>34</v>
      </c>
      <c r="E128" t="s">
        <v>22</v>
      </c>
      <c r="F128" t="s">
        <v>40</v>
      </c>
      <c r="G128" t="s">
        <v>24</v>
      </c>
      <c r="H128" t="s">
        <v>133</v>
      </c>
      <c r="I128">
        <v>2</v>
      </c>
      <c r="J128" s="5">
        <v>49031</v>
      </c>
      <c r="K128" s="5">
        <v>98062</v>
      </c>
      <c r="L128" s="5">
        <v>14709.3</v>
      </c>
      <c r="M128" s="12">
        <v>0.15</v>
      </c>
      <c r="N128" s="5">
        <f t="shared" si="2"/>
        <v>83352.7</v>
      </c>
      <c r="O128" s="5">
        <v>56078.64</v>
      </c>
      <c r="P128" s="5">
        <f t="shared" si="3"/>
        <v>27274.059999999998</v>
      </c>
      <c r="Q128" t="s">
        <v>165</v>
      </c>
      <c r="R128">
        <v>2024</v>
      </c>
      <c r="S128">
        <v>4</v>
      </c>
    </row>
    <row r="129" spans="1:19" x14ac:dyDescent="0.3">
      <c r="A129" s="19" t="s">
        <v>176</v>
      </c>
      <c r="B129" s="20">
        <v>45390</v>
      </c>
      <c r="C129" s="19" t="s">
        <v>48</v>
      </c>
      <c r="D129" s="19" t="s">
        <v>34</v>
      </c>
      <c r="E129" s="19" t="s">
        <v>22</v>
      </c>
      <c r="F129" s="19" t="s">
        <v>40</v>
      </c>
      <c r="G129" s="19" t="s">
        <v>24</v>
      </c>
      <c r="H129" s="19" t="s">
        <v>25</v>
      </c>
      <c r="I129" s="19">
        <v>2</v>
      </c>
      <c r="J129" s="21">
        <v>24647</v>
      </c>
      <c r="K129" s="21">
        <v>49294</v>
      </c>
      <c r="L129" s="21">
        <v>0</v>
      </c>
      <c r="M129" s="15">
        <v>0</v>
      </c>
      <c r="N129" s="21">
        <f t="shared" si="2"/>
        <v>49294</v>
      </c>
      <c r="O129" s="21">
        <v>29038.42</v>
      </c>
      <c r="P129" s="21">
        <f t="shared" si="3"/>
        <v>20255.580000000002</v>
      </c>
      <c r="Q129" s="19" t="s">
        <v>165</v>
      </c>
      <c r="R129" s="19">
        <v>2024</v>
      </c>
      <c r="S129" s="19">
        <v>4</v>
      </c>
    </row>
    <row r="130" spans="1:19" x14ac:dyDescent="0.3">
      <c r="A130" t="s">
        <v>177</v>
      </c>
      <c r="B130" s="2">
        <v>45390</v>
      </c>
      <c r="C130" t="s">
        <v>48</v>
      </c>
      <c r="D130" t="s">
        <v>34</v>
      </c>
      <c r="E130" t="s">
        <v>56</v>
      </c>
      <c r="F130" t="s">
        <v>35</v>
      </c>
      <c r="G130" t="s">
        <v>24</v>
      </c>
      <c r="H130" t="s">
        <v>25</v>
      </c>
      <c r="I130">
        <v>1</v>
      </c>
      <c r="J130" s="5">
        <v>23273</v>
      </c>
      <c r="K130" s="5">
        <v>23273</v>
      </c>
      <c r="L130" s="5">
        <v>2327.3000000000002</v>
      </c>
      <c r="M130" s="12">
        <v>0.1</v>
      </c>
      <c r="N130" s="5">
        <f t="shared" si="2"/>
        <v>20945.7</v>
      </c>
      <c r="O130" s="5">
        <v>14409.7</v>
      </c>
      <c r="P130" s="5">
        <f t="shared" si="3"/>
        <v>6536</v>
      </c>
      <c r="Q130" t="s">
        <v>165</v>
      </c>
      <c r="R130">
        <v>2024</v>
      </c>
      <c r="S130">
        <v>4</v>
      </c>
    </row>
    <row r="131" spans="1:19" x14ac:dyDescent="0.3">
      <c r="A131" s="19" t="s">
        <v>178</v>
      </c>
      <c r="B131" s="20">
        <v>45390</v>
      </c>
      <c r="C131" s="19" t="s">
        <v>33</v>
      </c>
      <c r="D131" s="19" t="s">
        <v>34</v>
      </c>
      <c r="E131" s="19" t="s">
        <v>44</v>
      </c>
      <c r="F131" s="19" t="s">
        <v>40</v>
      </c>
      <c r="G131" s="19" t="s">
        <v>31</v>
      </c>
      <c r="H131" s="19" t="s">
        <v>25</v>
      </c>
      <c r="I131" s="19">
        <v>2</v>
      </c>
      <c r="J131" s="21">
        <v>41617</v>
      </c>
      <c r="K131" s="21">
        <v>83234</v>
      </c>
      <c r="L131" s="21">
        <v>0</v>
      </c>
      <c r="M131" s="15">
        <v>0</v>
      </c>
      <c r="N131" s="21">
        <f t="shared" ref="N131:N194" si="4">K131-L131</f>
        <v>83234</v>
      </c>
      <c r="O131" s="21">
        <v>54285.97</v>
      </c>
      <c r="P131" s="21">
        <f t="shared" si="3"/>
        <v>28948.03</v>
      </c>
      <c r="Q131" s="19" t="s">
        <v>165</v>
      </c>
      <c r="R131" s="19">
        <v>2024</v>
      </c>
      <c r="S131" s="19">
        <v>4</v>
      </c>
    </row>
    <row r="132" spans="1:19" x14ac:dyDescent="0.3">
      <c r="A132" t="s">
        <v>179</v>
      </c>
      <c r="B132" s="2">
        <v>45393</v>
      </c>
      <c r="C132" t="s">
        <v>64</v>
      </c>
      <c r="D132" t="s">
        <v>29</v>
      </c>
      <c r="E132" t="s">
        <v>56</v>
      </c>
      <c r="F132" t="s">
        <v>30</v>
      </c>
      <c r="G132" t="s">
        <v>31</v>
      </c>
      <c r="H132" t="s">
        <v>25</v>
      </c>
      <c r="I132">
        <v>2</v>
      </c>
      <c r="J132" s="5">
        <v>31413</v>
      </c>
      <c r="K132" s="5">
        <v>62826</v>
      </c>
      <c r="L132" s="5">
        <v>0</v>
      </c>
      <c r="M132" s="12">
        <v>0</v>
      </c>
      <c r="N132" s="5">
        <f t="shared" si="4"/>
        <v>62826</v>
      </c>
      <c r="O132" s="5">
        <v>34332.019999999997</v>
      </c>
      <c r="P132" s="5">
        <f t="shared" ref="P132:P195" si="5">N132-O132</f>
        <v>28493.980000000003</v>
      </c>
      <c r="Q132" t="s">
        <v>165</v>
      </c>
      <c r="R132">
        <v>2024</v>
      </c>
      <c r="S132">
        <v>4</v>
      </c>
    </row>
    <row r="133" spans="1:19" x14ac:dyDescent="0.3">
      <c r="A133" s="19" t="s">
        <v>180</v>
      </c>
      <c r="B133" s="20">
        <v>45394</v>
      </c>
      <c r="C133" s="19" t="s">
        <v>71</v>
      </c>
      <c r="D133" s="19" t="s">
        <v>34</v>
      </c>
      <c r="E133" s="19" t="s">
        <v>22</v>
      </c>
      <c r="F133" s="19" t="s">
        <v>37</v>
      </c>
      <c r="G133" s="19" t="s">
        <v>31</v>
      </c>
      <c r="H133" s="19" t="s">
        <v>25</v>
      </c>
      <c r="I133" s="19">
        <v>2</v>
      </c>
      <c r="J133" s="21">
        <v>48446</v>
      </c>
      <c r="K133" s="21">
        <v>96892</v>
      </c>
      <c r="L133" s="21">
        <v>0</v>
      </c>
      <c r="M133" s="15">
        <v>0</v>
      </c>
      <c r="N133" s="21">
        <f t="shared" si="4"/>
        <v>96892</v>
      </c>
      <c r="O133" s="21">
        <v>64581.23</v>
      </c>
      <c r="P133" s="21">
        <f t="shared" si="5"/>
        <v>32310.769999999997</v>
      </c>
      <c r="Q133" s="19" t="s">
        <v>165</v>
      </c>
      <c r="R133" s="19">
        <v>2024</v>
      </c>
      <c r="S133" s="19">
        <v>4</v>
      </c>
    </row>
    <row r="134" spans="1:19" x14ac:dyDescent="0.3">
      <c r="A134" t="s">
        <v>181</v>
      </c>
      <c r="B134" s="2">
        <v>45395</v>
      </c>
      <c r="C134" t="s">
        <v>48</v>
      </c>
      <c r="D134" t="s">
        <v>34</v>
      </c>
      <c r="E134" t="s">
        <v>42</v>
      </c>
      <c r="F134" t="s">
        <v>37</v>
      </c>
      <c r="G134" t="s">
        <v>24</v>
      </c>
      <c r="H134" t="s">
        <v>25</v>
      </c>
      <c r="I134">
        <v>3</v>
      </c>
      <c r="J134" s="5">
        <v>24673</v>
      </c>
      <c r="K134" s="5">
        <v>74019</v>
      </c>
      <c r="L134" s="5">
        <v>11102.85</v>
      </c>
      <c r="M134" s="12">
        <v>0.15</v>
      </c>
      <c r="N134" s="5">
        <f t="shared" si="4"/>
        <v>62916.15</v>
      </c>
      <c r="O134" s="5">
        <v>37029.82</v>
      </c>
      <c r="P134" s="5">
        <f t="shared" si="5"/>
        <v>25886.33</v>
      </c>
      <c r="Q134" t="s">
        <v>165</v>
      </c>
      <c r="R134">
        <v>2024</v>
      </c>
      <c r="S134">
        <v>4</v>
      </c>
    </row>
    <row r="135" spans="1:19" x14ac:dyDescent="0.3">
      <c r="A135" s="19" t="s">
        <v>182</v>
      </c>
      <c r="B135" s="20">
        <v>45395</v>
      </c>
      <c r="C135" s="19" t="s">
        <v>46</v>
      </c>
      <c r="D135" s="19" t="s">
        <v>21</v>
      </c>
      <c r="E135" s="19" t="s">
        <v>56</v>
      </c>
      <c r="F135" s="19" t="s">
        <v>30</v>
      </c>
      <c r="G135" s="19" t="s">
        <v>24</v>
      </c>
      <c r="H135" s="19" t="s">
        <v>133</v>
      </c>
      <c r="I135" s="19">
        <v>1</v>
      </c>
      <c r="J135" s="21">
        <v>12879</v>
      </c>
      <c r="K135" s="21">
        <v>12879</v>
      </c>
      <c r="L135" s="21">
        <v>2575.8000000000002</v>
      </c>
      <c r="M135" s="15">
        <v>0.2</v>
      </c>
      <c r="N135" s="21">
        <f t="shared" si="4"/>
        <v>10303.200000000001</v>
      </c>
      <c r="O135" s="21">
        <v>6220.55</v>
      </c>
      <c r="P135" s="21">
        <f t="shared" si="5"/>
        <v>4082.6500000000005</v>
      </c>
      <c r="Q135" s="19" t="s">
        <v>165</v>
      </c>
      <c r="R135" s="19">
        <v>2024</v>
      </c>
      <c r="S135" s="19">
        <v>4</v>
      </c>
    </row>
    <row r="136" spans="1:19" x14ac:dyDescent="0.3">
      <c r="A136" t="s">
        <v>183</v>
      </c>
      <c r="B136" s="2">
        <v>45396</v>
      </c>
      <c r="C136" t="s">
        <v>82</v>
      </c>
      <c r="D136" t="s">
        <v>21</v>
      </c>
      <c r="E136" t="s">
        <v>42</v>
      </c>
      <c r="F136" t="s">
        <v>35</v>
      </c>
      <c r="G136" t="s">
        <v>31</v>
      </c>
      <c r="H136" t="s">
        <v>25</v>
      </c>
      <c r="I136">
        <v>3</v>
      </c>
      <c r="J136" s="5">
        <v>45565</v>
      </c>
      <c r="K136" s="5">
        <v>136695</v>
      </c>
      <c r="L136" s="5">
        <v>0</v>
      </c>
      <c r="M136" s="12">
        <v>0</v>
      </c>
      <c r="N136" s="5">
        <f t="shared" si="4"/>
        <v>136695</v>
      </c>
      <c r="O136" s="5">
        <v>80762.12</v>
      </c>
      <c r="P136" s="5">
        <f t="shared" si="5"/>
        <v>55932.880000000005</v>
      </c>
      <c r="Q136" t="s">
        <v>165</v>
      </c>
      <c r="R136">
        <v>2024</v>
      </c>
      <c r="S136">
        <v>4</v>
      </c>
    </row>
    <row r="137" spans="1:19" x14ac:dyDescent="0.3">
      <c r="A137" s="19" t="s">
        <v>184</v>
      </c>
      <c r="B137" s="20">
        <v>45398</v>
      </c>
      <c r="C137" s="19" t="s">
        <v>75</v>
      </c>
      <c r="D137" s="19" t="s">
        <v>34</v>
      </c>
      <c r="E137" s="19" t="s">
        <v>22</v>
      </c>
      <c r="F137" s="19" t="s">
        <v>40</v>
      </c>
      <c r="G137" s="19" t="s">
        <v>31</v>
      </c>
      <c r="H137" s="19" t="s">
        <v>25</v>
      </c>
      <c r="I137" s="19">
        <v>4</v>
      </c>
      <c r="J137" s="21">
        <v>39899</v>
      </c>
      <c r="K137" s="21">
        <v>159596</v>
      </c>
      <c r="L137" s="21">
        <v>0</v>
      </c>
      <c r="M137" s="15">
        <v>0</v>
      </c>
      <c r="N137" s="21">
        <f t="shared" si="4"/>
        <v>159596</v>
      </c>
      <c r="O137" s="21">
        <v>105791.1</v>
      </c>
      <c r="P137" s="21">
        <f t="shared" si="5"/>
        <v>53804.899999999994</v>
      </c>
      <c r="Q137" s="19" t="s">
        <v>165</v>
      </c>
      <c r="R137" s="19">
        <v>2024</v>
      </c>
      <c r="S137" s="19">
        <v>4</v>
      </c>
    </row>
    <row r="138" spans="1:19" x14ac:dyDescent="0.3">
      <c r="A138" t="s">
        <v>185</v>
      </c>
      <c r="B138" s="2">
        <v>45399</v>
      </c>
      <c r="C138" t="s">
        <v>48</v>
      </c>
      <c r="D138" t="s">
        <v>34</v>
      </c>
      <c r="E138" t="s">
        <v>42</v>
      </c>
      <c r="F138" t="s">
        <v>40</v>
      </c>
      <c r="G138" t="s">
        <v>31</v>
      </c>
      <c r="H138" t="s">
        <v>133</v>
      </c>
      <c r="I138">
        <v>2</v>
      </c>
      <c r="J138" s="5">
        <v>26863</v>
      </c>
      <c r="K138" s="5">
        <v>53726</v>
      </c>
      <c r="L138" s="5">
        <v>5372.6</v>
      </c>
      <c r="M138" s="12">
        <v>0.1</v>
      </c>
      <c r="N138" s="5">
        <f t="shared" si="4"/>
        <v>48353.4</v>
      </c>
      <c r="O138" s="5">
        <v>30556.29</v>
      </c>
      <c r="P138" s="5">
        <f t="shared" si="5"/>
        <v>17797.11</v>
      </c>
      <c r="Q138" t="s">
        <v>165</v>
      </c>
      <c r="R138">
        <v>2024</v>
      </c>
      <c r="S138">
        <v>4</v>
      </c>
    </row>
    <row r="139" spans="1:19" x14ac:dyDescent="0.3">
      <c r="A139" s="19" t="s">
        <v>186</v>
      </c>
      <c r="B139" s="20">
        <v>45400</v>
      </c>
      <c r="C139" s="19" t="s">
        <v>71</v>
      </c>
      <c r="D139" s="19" t="s">
        <v>34</v>
      </c>
      <c r="E139" s="19" t="s">
        <v>56</v>
      </c>
      <c r="F139" s="19" t="s">
        <v>40</v>
      </c>
      <c r="G139" s="19" t="s">
        <v>31</v>
      </c>
      <c r="H139" s="19" t="s">
        <v>133</v>
      </c>
      <c r="I139" s="19">
        <v>1</v>
      </c>
      <c r="J139" s="21">
        <v>50116</v>
      </c>
      <c r="K139" s="21">
        <v>50116</v>
      </c>
      <c r="L139" s="21">
        <v>7517.4</v>
      </c>
      <c r="M139" s="15">
        <v>0.15</v>
      </c>
      <c r="N139" s="21">
        <f t="shared" si="4"/>
        <v>42598.6</v>
      </c>
      <c r="O139" s="21">
        <v>27258.99</v>
      </c>
      <c r="P139" s="21">
        <f t="shared" si="5"/>
        <v>15339.609999999997</v>
      </c>
      <c r="Q139" s="19" t="s">
        <v>165</v>
      </c>
      <c r="R139" s="19">
        <v>2024</v>
      </c>
      <c r="S139" s="19">
        <v>4</v>
      </c>
    </row>
    <row r="140" spans="1:19" x14ac:dyDescent="0.3">
      <c r="A140" t="s">
        <v>187</v>
      </c>
      <c r="B140" s="2">
        <v>45400</v>
      </c>
      <c r="C140" t="s">
        <v>82</v>
      </c>
      <c r="D140" t="s">
        <v>21</v>
      </c>
      <c r="E140" t="s">
        <v>22</v>
      </c>
      <c r="F140" t="s">
        <v>40</v>
      </c>
      <c r="G140" t="s">
        <v>24</v>
      </c>
      <c r="H140" t="s">
        <v>25</v>
      </c>
      <c r="I140">
        <v>2</v>
      </c>
      <c r="J140" s="5">
        <v>41519</v>
      </c>
      <c r="K140" s="5">
        <v>83038</v>
      </c>
      <c r="L140" s="5">
        <v>0</v>
      </c>
      <c r="M140" s="12">
        <v>0</v>
      </c>
      <c r="N140" s="5">
        <f t="shared" si="4"/>
        <v>83038</v>
      </c>
      <c r="O140" s="5">
        <v>53072.25</v>
      </c>
      <c r="P140" s="5">
        <f t="shared" si="5"/>
        <v>29965.75</v>
      </c>
      <c r="Q140" t="s">
        <v>165</v>
      </c>
      <c r="R140">
        <v>2024</v>
      </c>
      <c r="S140">
        <v>4</v>
      </c>
    </row>
    <row r="141" spans="1:19" x14ac:dyDescent="0.3">
      <c r="A141" s="19" t="s">
        <v>188</v>
      </c>
      <c r="B141" s="20">
        <v>45402</v>
      </c>
      <c r="C141" s="19" t="s">
        <v>48</v>
      </c>
      <c r="D141" s="19" t="s">
        <v>34</v>
      </c>
      <c r="E141" s="19" t="s">
        <v>22</v>
      </c>
      <c r="F141" s="19" t="s">
        <v>40</v>
      </c>
      <c r="G141" s="19" t="s">
        <v>24</v>
      </c>
      <c r="H141" s="19" t="s">
        <v>25</v>
      </c>
      <c r="I141" s="19">
        <v>3</v>
      </c>
      <c r="J141" s="21">
        <v>23759</v>
      </c>
      <c r="K141" s="21">
        <v>71277</v>
      </c>
      <c r="L141" s="21">
        <v>0</v>
      </c>
      <c r="M141" s="15">
        <v>0</v>
      </c>
      <c r="N141" s="21">
        <f t="shared" si="4"/>
        <v>71277</v>
      </c>
      <c r="O141" s="21">
        <v>44495.199999999997</v>
      </c>
      <c r="P141" s="21">
        <f t="shared" si="5"/>
        <v>26781.800000000003</v>
      </c>
      <c r="Q141" s="19" t="s">
        <v>165</v>
      </c>
      <c r="R141" s="19">
        <v>2024</v>
      </c>
      <c r="S141" s="19">
        <v>4</v>
      </c>
    </row>
    <row r="142" spans="1:19" x14ac:dyDescent="0.3">
      <c r="A142" t="s">
        <v>189</v>
      </c>
      <c r="B142" s="2">
        <v>45402</v>
      </c>
      <c r="C142" t="s">
        <v>82</v>
      </c>
      <c r="D142" t="s">
        <v>21</v>
      </c>
      <c r="E142" t="s">
        <v>56</v>
      </c>
      <c r="F142" t="s">
        <v>40</v>
      </c>
      <c r="G142" t="s">
        <v>24</v>
      </c>
      <c r="H142" t="s">
        <v>25</v>
      </c>
      <c r="I142">
        <v>1</v>
      </c>
      <c r="J142" s="5">
        <v>44985</v>
      </c>
      <c r="K142" s="5">
        <v>44985</v>
      </c>
      <c r="L142" s="5">
        <v>0</v>
      </c>
      <c r="M142" s="12">
        <v>0</v>
      </c>
      <c r="N142" s="5">
        <f t="shared" si="4"/>
        <v>44985</v>
      </c>
      <c r="O142" s="5">
        <v>28898.07</v>
      </c>
      <c r="P142" s="5">
        <f t="shared" si="5"/>
        <v>16086.93</v>
      </c>
      <c r="Q142" t="s">
        <v>165</v>
      </c>
      <c r="R142">
        <v>2024</v>
      </c>
      <c r="S142">
        <v>4</v>
      </c>
    </row>
    <row r="143" spans="1:19" x14ac:dyDescent="0.3">
      <c r="A143" s="19" t="s">
        <v>190</v>
      </c>
      <c r="B143" s="20">
        <v>45402</v>
      </c>
      <c r="C143" s="19" t="s">
        <v>48</v>
      </c>
      <c r="D143" s="19" t="s">
        <v>34</v>
      </c>
      <c r="E143" s="19" t="s">
        <v>44</v>
      </c>
      <c r="F143" s="19" t="s">
        <v>37</v>
      </c>
      <c r="G143" s="19" t="s">
        <v>24</v>
      </c>
      <c r="H143" s="19" t="s">
        <v>133</v>
      </c>
      <c r="I143" s="19">
        <v>1</v>
      </c>
      <c r="J143" s="21">
        <v>26945</v>
      </c>
      <c r="K143" s="21">
        <v>26945</v>
      </c>
      <c r="L143" s="21">
        <v>5389</v>
      </c>
      <c r="M143" s="15">
        <v>0.2</v>
      </c>
      <c r="N143" s="21">
        <f t="shared" si="4"/>
        <v>21556</v>
      </c>
      <c r="O143" s="21">
        <v>17968.38</v>
      </c>
      <c r="P143" s="21">
        <f t="shared" si="5"/>
        <v>3587.619999999999</v>
      </c>
      <c r="Q143" s="19" t="s">
        <v>165</v>
      </c>
      <c r="R143" s="19">
        <v>2024</v>
      </c>
      <c r="S143" s="19">
        <v>4</v>
      </c>
    </row>
    <row r="144" spans="1:19" x14ac:dyDescent="0.3">
      <c r="A144" t="s">
        <v>191</v>
      </c>
      <c r="B144" s="2">
        <v>45404</v>
      </c>
      <c r="C144" t="s">
        <v>64</v>
      </c>
      <c r="D144" t="s">
        <v>29</v>
      </c>
      <c r="E144" t="s">
        <v>42</v>
      </c>
      <c r="F144" t="s">
        <v>40</v>
      </c>
      <c r="G144" t="s">
        <v>24</v>
      </c>
      <c r="H144" t="s">
        <v>133</v>
      </c>
      <c r="I144">
        <v>3</v>
      </c>
      <c r="J144" s="5">
        <v>28788</v>
      </c>
      <c r="K144" s="5">
        <v>86364</v>
      </c>
      <c r="L144" s="5">
        <v>4318.2</v>
      </c>
      <c r="M144" s="12">
        <v>0.05</v>
      </c>
      <c r="N144" s="5">
        <f t="shared" si="4"/>
        <v>82045.8</v>
      </c>
      <c r="O144" s="5">
        <v>54633.74</v>
      </c>
      <c r="P144" s="5">
        <f t="shared" si="5"/>
        <v>27412.060000000005</v>
      </c>
      <c r="Q144" t="s">
        <v>165</v>
      </c>
      <c r="R144">
        <v>2024</v>
      </c>
      <c r="S144">
        <v>4</v>
      </c>
    </row>
    <row r="145" spans="1:19" x14ac:dyDescent="0.3">
      <c r="A145" s="19" t="s">
        <v>192</v>
      </c>
      <c r="B145" s="20">
        <v>45404</v>
      </c>
      <c r="C145" s="19" t="s">
        <v>64</v>
      </c>
      <c r="D145" s="19" t="s">
        <v>29</v>
      </c>
      <c r="E145" s="19" t="s">
        <v>22</v>
      </c>
      <c r="F145" s="19" t="s">
        <v>35</v>
      </c>
      <c r="G145" s="19" t="s">
        <v>31</v>
      </c>
      <c r="H145" s="19" t="s">
        <v>25</v>
      </c>
      <c r="I145" s="19">
        <v>4</v>
      </c>
      <c r="J145" s="21">
        <v>31083</v>
      </c>
      <c r="K145" s="21">
        <v>124332</v>
      </c>
      <c r="L145" s="21">
        <v>0</v>
      </c>
      <c r="M145" s="15">
        <v>0</v>
      </c>
      <c r="N145" s="21">
        <f t="shared" si="4"/>
        <v>124332</v>
      </c>
      <c r="O145" s="21">
        <v>71017.919999999998</v>
      </c>
      <c r="P145" s="21">
        <f t="shared" si="5"/>
        <v>53314.080000000002</v>
      </c>
      <c r="Q145" s="19" t="s">
        <v>165</v>
      </c>
      <c r="R145" s="19">
        <v>2024</v>
      </c>
      <c r="S145" s="19">
        <v>4</v>
      </c>
    </row>
    <row r="146" spans="1:19" x14ac:dyDescent="0.3">
      <c r="A146" t="s">
        <v>193</v>
      </c>
      <c r="B146" s="2">
        <v>45405</v>
      </c>
      <c r="C146" t="s">
        <v>46</v>
      </c>
      <c r="D146" t="s">
        <v>21</v>
      </c>
      <c r="E146" t="s">
        <v>56</v>
      </c>
      <c r="F146" t="s">
        <v>40</v>
      </c>
      <c r="G146" t="s">
        <v>31</v>
      </c>
      <c r="H146" t="s">
        <v>25</v>
      </c>
      <c r="I146">
        <v>3</v>
      </c>
      <c r="J146" s="5">
        <v>11420</v>
      </c>
      <c r="K146" s="5">
        <v>34260</v>
      </c>
      <c r="L146" s="5">
        <v>0</v>
      </c>
      <c r="M146" s="12">
        <v>0</v>
      </c>
      <c r="N146" s="5">
        <f t="shared" si="4"/>
        <v>34260</v>
      </c>
      <c r="O146" s="5">
        <v>21869.119999999999</v>
      </c>
      <c r="P146" s="5">
        <f t="shared" si="5"/>
        <v>12390.880000000001</v>
      </c>
      <c r="Q146" t="s">
        <v>165</v>
      </c>
      <c r="R146">
        <v>2024</v>
      </c>
      <c r="S146">
        <v>4</v>
      </c>
    </row>
    <row r="147" spans="1:19" x14ac:dyDescent="0.3">
      <c r="A147" s="19" t="s">
        <v>194</v>
      </c>
      <c r="B147" s="20">
        <v>45406</v>
      </c>
      <c r="C147" s="19" t="s">
        <v>33</v>
      </c>
      <c r="D147" s="19" t="s">
        <v>34</v>
      </c>
      <c r="E147" s="19" t="s">
        <v>22</v>
      </c>
      <c r="F147" s="19" t="s">
        <v>40</v>
      </c>
      <c r="G147" s="19" t="s">
        <v>24</v>
      </c>
      <c r="H147" s="19" t="s">
        <v>133</v>
      </c>
      <c r="I147" s="19">
        <v>1</v>
      </c>
      <c r="J147" s="21">
        <v>43598</v>
      </c>
      <c r="K147" s="21">
        <v>43598</v>
      </c>
      <c r="L147" s="21">
        <v>4359.8</v>
      </c>
      <c r="M147" s="15">
        <v>0.1</v>
      </c>
      <c r="N147" s="21">
        <f t="shared" si="4"/>
        <v>39238.199999999997</v>
      </c>
      <c r="O147" s="21">
        <v>24764.28</v>
      </c>
      <c r="P147" s="21">
        <f t="shared" si="5"/>
        <v>14473.919999999998</v>
      </c>
      <c r="Q147" s="19" t="s">
        <v>165</v>
      </c>
      <c r="R147" s="19">
        <v>2024</v>
      </c>
      <c r="S147" s="19">
        <v>4</v>
      </c>
    </row>
    <row r="148" spans="1:19" x14ac:dyDescent="0.3">
      <c r="A148" t="s">
        <v>195</v>
      </c>
      <c r="B148" s="2">
        <v>45408</v>
      </c>
      <c r="C148" t="s">
        <v>33</v>
      </c>
      <c r="D148" t="s">
        <v>34</v>
      </c>
      <c r="E148" t="s">
        <v>44</v>
      </c>
      <c r="F148" t="s">
        <v>37</v>
      </c>
      <c r="G148" t="s">
        <v>31</v>
      </c>
      <c r="H148" t="s">
        <v>25</v>
      </c>
      <c r="I148">
        <v>1</v>
      </c>
      <c r="J148" s="5">
        <v>44416</v>
      </c>
      <c r="K148" s="5">
        <v>44416</v>
      </c>
      <c r="L148" s="5">
        <v>0</v>
      </c>
      <c r="M148" s="12">
        <v>0</v>
      </c>
      <c r="N148" s="5">
        <f t="shared" si="4"/>
        <v>44416</v>
      </c>
      <c r="O148" s="5">
        <v>27490.43</v>
      </c>
      <c r="P148" s="5">
        <f t="shared" si="5"/>
        <v>16925.57</v>
      </c>
      <c r="Q148" t="s">
        <v>165</v>
      </c>
      <c r="R148">
        <v>2024</v>
      </c>
      <c r="S148">
        <v>4</v>
      </c>
    </row>
    <row r="149" spans="1:19" x14ac:dyDescent="0.3">
      <c r="A149" s="19" t="s">
        <v>196</v>
      </c>
      <c r="B149" s="20">
        <v>45408</v>
      </c>
      <c r="C149" s="19" t="s">
        <v>20</v>
      </c>
      <c r="D149" s="19" t="s">
        <v>21</v>
      </c>
      <c r="E149" s="19" t="s">
        <v>22</v>
      </c>
      <c r="F149" s="19" t="s">
        <v>30</v>
      </c>
      <c r="G149" s="19" t="s">
        <v>31</v>
      </c>
      <c r="H149" s="19" t="s">
        <v>133</v>
      </c>
      <c r="I149" s="19">
        <v>2</v>
      </c>
      <c r="J149" s="21">
        <v>16174</v>
      </c>
      <c r="K149" s="21">
        <v>32348</v>
      </c>
      <c r="L149" s="21">
        <v>3234.8</v>
      </c>
      <c r="M149" s="15">
        <v>0.1</v>
      </c>
      <c r="N149" s="21">
        <f t="shared" si="4"/>
        <v>29113.200000000001</v>
      </c>
      <c r="O149" s="21">
        <v>16007.94</v>
      </c>
      <c r="P149" s="21">
        <f t="shared" si="5"/>
        <v>13105.26</v>
      </c>
      <c r="Q149" s="19" t="s">
        <v>165</v>
      </c>
      <c r="R149" s="19">
        <v>2024</v>
      </c>
      <c r="S149" s="19">
        <v>4</v>
      </c>
    </row>
    <row r="150" spans="1:19" x14ac:dyDescent="0.3">
      <c r="A150" t="s">
        <v>197</v>
      </c>
      <c r="B150" s="2">
        <v>45409</v>
      </c>
      <c r="C150" t="s">
        <v>82</v>
      </c>
      <c r="D150" t="s">
        <v>21</v>
      </c>
      <c r="E150" t="s">
        <v>42</v>
      </c>
      <c r="F150" t="s">
        <v>37</v>
      </c>
      <c r="G150" t="s">
        <v>31</v>
      </c>
      <c r="H150" t="s">
        <v>133</v>
      </c>
      <c r="I150">
        <v>3</v>
      </c>
      <c r="J150" s="5">
        <v>47988</v>
      </c>
      <c r="K150" s="5">
        <v>143964</v>
      </c>
      <c r="L150" s="5">
        <v>21594.6</v>
      </c>
      <c r="M150" s="12">
        <v>0.15</v>
      </c>
      <c r="N150" s="5">
        <f t="shared" si="4"/>
        <v>122369.4</v>
      </c>
      <c r="O150" s="5">
        <v>88773.26</v>
      </c>
      <c r="P150" s="5">
        <f t="shared" si="5"/>
        <v>33596.14</v>
      </c>
      <c r="Q150" t="s">
        <v>165</v>
      </c>
      <c r="R150">
        <v>2024</v>
      </c>
      <c r="S150">
        <v>4</v>
      </c>
    </row>
    <row r="151" spans="1:19" x14ac:dyDescent="0.3">
      <c r="A151" s="19" t="s">
        <v>198</v>
      </c>
      <c r="B151" s="20">
        <v>45409</v>
      </c>
      <c r="C151" s="19" t="s">
        <v>75</v>
      </c>
      <c r="D151" s="19" t="s">
        <v>34</v>
      </c>
      <c r="E151" s="19" t="s">
        <v>42</v>
      </c>
      <c r="F151" s="19" t="s">
        <v>40</v>
      </c>
      <c r="G151" s="19" t="s">
        <v>24</v>
      </c>
      <c r="H151" s="19" t="s">
        <v>25</v>
      </c>
      <c r="I151" s="19">
        <v>3</v>
      </c>
      <c r="J151" s="21">
        <v>40309</v>
      </c>
      <c r="K151" s="21">
        <v>120927</v>
      </c>
      <c r="L151" s="21">
        <v>0</v>
      </c>
      <c r="M151" s="15">
        <v>0</v>
      </c>
      <c r="N151" s="21">
        <f t="shared" si="4"/>
        <v>120927</v>
      </c>
      <c r="O151" s="21">
        <v>63947.75</v>
      </c>
      <c r="P151" s="21">
        <f t="shared" si="5"/>
        <v>56979.25</v>
      </c>
      <c r="Q151" s="19" t="s">
        <v>165</v>
      </c>
      <c r="R151" s="19">
        <v>2024</v>
      </c>
      <c r="S151" s="19">
        <v>4</v>
      </c>
    </row>
    <row r="152" spans="1:19" x14ac:dyDescent="0.3">
      <c r="A152" t="s">
        <v>199</v>
      </c>
      <c r="B152" s="2">
        <v>45411</v>
      </c>
      <c r="C152" t="s">
        <v>64</v>
      </c>
      <c r="D152" t="s">
        <v>29</v>
      </c>
      <c r="E152" t="s">
        <v>22</v>
      </c>
      <c r="F152" t="s">
        <v>30</v>
      </c>
      <c r="G152" t="s">
        <v>24</v>
      </c>
      <c r="H152" t="s">
        <v>133</v>
      </c>
      <c r="I152">
        <v>1</v>
      </c>
      <c r="J152" s="5">
        <v>32036</v>
      </c>
      <c r="K152" s="5">
        <v>32036</v>
      </c>
      <c r="L152" s="5">
        <v>4805.3999999999996</v>
      </c>
      <c r="M152" s="12">
        <v>0.15</v>
      </c>
      <c r="N152" s="5">
        <f t="shared" si="4"/>
        <v>27230.6</v>
      </c>
      <c r="O152" s="5">
        <v>18574.29</v>
      </c>
      <c r="P152" s="5">
        <f t="shared" si="5"/>
        <v>8656.3099999999977</v>
      </c>
      <c r="Q152" t="s">
        <v>165</v>
      </c>
      <c r="R152">
        <v>2024</v>
      </c>
      <c r="S152">
        <v>4</v>
      </c>
    </row>
    <row r="153" spans="1:19" x14ac:dyDescent="0.3">
      <c r="A153" s="19" t="s">
        <v>200</v>
      </c>
      <c r="B153" s="20">
        <v>45413</v>
      </c>
      <c r="C153" s="19" t="s">
        <v>48</v>
      </c>
      <c r="D153" s="19" t="s">
        <v>34</v>
      </c>
      <c r="E153" s="19" t="s">
        <v>44</v>
      </c>
      <c r="F153" s="19" t="s">
        <v>23</v>
      </c>
      <c r="G153" s="19" t="s">
        <v>31</v>
      </c>
      <c r="H153" s="19" t="s">
        <v>25</v>
      </c>
      <c r="I153" s="19">
        <v>1</v>
      </c>
      <c r="J153" s="21">
        <v>25467</v>
      </c>
      <c r="K153" s="21">
        <v>25467</v>
      </c>
      <c r="L153" s="21">
        <v>0</v>
      </c>
      <c r="M153" s="15">
        <v>0</v>
      </c>
      <c r="N153" s="21">
        <f t="shared" si="4"/>
        <v>25467</v>
      </c>
      <c r="O153" s="21">
        <v>15442.24</v>
      </c>
      <c r="P153" s="21">
        <f t="shared" si="5"/>
        <v>10024.76</v>
      </c>
      <c r="Q153" s="19" t="s">
        <v>201</v>
      </c>
      <c r="R153" s="19">
        <v>2024</v>
      </c>
      <c r="S153" s="19">
        <v>5</v>
      </c>
    </row>
    <row r="154" spans="1:19" x14ac:dyDescent="0.3">
      <c r="A154" t="s">
        <v>202</v>
      </c>
      <c r="B154" s="2">
        <v>45414</v>
      </c>
      <c r="C154" t="s">
        <v>64</v>
      </c>
      <c r="D154" t="s">
        <v>29</v>
      </c>
      <c r="E154" t="s">
        <v>22</v>
      </c>
      <c r="F154" t="s">
        <v>40</v>
      </c>
      <c r="G154" t="s">
        <v>24</v>
      </c>
      <c r="H154" t="s">
        <v>25</v>
      </c>
      <c r="I154">
        <v>3</v>
      </c>
      <c r="J154" s="5">
        <v>28361</v>
      </c>
      <c r="K154" s="5">
        <v>85083</v>
      </c>
      <c r="L154" s="5">
        <v>0</v>
      </c>
      <c r="M154" s="12">
        <v>0</v>
      </c>
      <c r="N154" s="5">
        <f t="shared" si="4"/>
        <v>85083</v>
      </c>
      <c r="O154" s="5">
        <v>54857.74</v>
      </c>
      <c r="P154" s="5">
        <f t="shared" si="5"/>
        <v>30225.260000000002</v>
      </c>
      <c r="Q154" t="s">
        <v>201</v>
      </c>
      <c r="R154">
        <v>2024</v>
      </c>
      <c r="S154">
        <v>5</v>
      </c>
    </row>
    <row r="155" spans="1:19" x14ac:dyDescent="0.3">
      <c r="A155" s="19" t="s">
        <v>203</v>
      </c>
      <c r="B155" s="20">
        <v>45417</v>
      </c>
      <c r="C155" s="19" t="s">
        <v>75</v>
      </c>
      <c r="D155" s="19" t="s">
        <v>34</v>
      </c>
      <c r="E155" s="19" t="s">
        <v>22</v>
      </c>
      <c r="F155" s="19" t="s">
        <v>35</v>
      </c>
      <c r="G155" s="19" t="s">
        <v>24</v>
      </c>
      <c r="H155" s="19" t="s">
        <v>25</v>
      </c>
      <c r="I155" s="19">
        <v>3</v>
      </c>
      <c r="J155" s="21">
        <v>37357</v>
      </c>
      <c r="K155" s="21">
        <v>112071</v>
      </c>
      <c r="L155" s="21">
        <v>0</v>
      </c>
      <c r="M155" s="15">
        <v>0</v>
      </c>
      <c r="N155" s="21">
        <f t="shared" si="4"/>
        <v>112071</v>
      </c>
      <c r="O155" s="21">
        <v>56487.35</v>
      </c>
      <c r="P155" s="21">
        <f t="shared" si="5"/>
        <v>55583.65</v>
      </c>
      <c r="Q155" s="19" t="s">
        <v>201</v>
      </c>
      <c r="R155" s="19">
        <v>2024</v>
      </c>
      <c r="S155" s="19">
        <v>5</v>
      </c>
    </row>
    <row r="156" spans="1:19" x14ac:dyDescent="0.3">
      <c r="A156" t="s">
        <v>204</v>
      </c>
      <c r="B156" s="2">
        <v>45417</v>
      </c>
      <c r="C156" t="s">
        <v>28</v>
      </c>
      <c r="D156" t="s">
        <v>29</v>
      </c>
      <c r="E156" t="s">
        <v>42</v>
      </c>
      <c r="F156" t="s">
        <v>30</v>
      </c>
      <c r="G156" t="s">
        <v>24</v>
      </c>
      <c r="H156" t="s">
        <v>25</v>
      </c>
      <c r="I156">
        <v>1</v>
      </c>
      <c r="J156" s="5">
        <v>66792</v>
      </c>
      <c r="K156" s="5">
        <v>66792</v>
      </c>
      <c r="L156" s="5">
        <v>0</v>
      </c>
      <c r="M156" s="12">
        <v>0</v>
      </c>
      <c r="N156" s="5">
        <f t="shared" si="4"/>
        <v>66792</v>
      </c>
      <c r="O156" s="5">
        <v>33380.949999999997</v>
      </c>
      <c r="P156" s="5">
        <f t="shared" si="5"/>
        <v>33411.050000000003</v>
      </c>
      <c r="Q156" t="s">
        <v>201</v>
      </c>
      <c r="R156">
        <v>2024</v>
      </c>
      <c r="S156">
        <v>5</v>
      </c>
    </row>
    <row r="157" spans="1:19" x14ac:dyDescent="0.3">
      <c r="A157" s="19" t="s">
        <v>205</v>
      </c>
      <c r="B157" s="20">
        <v>45418</v>
      </c>
      <c r="C157" s="19" t="s">
        <v>48</v>
      </c>
      <c r="D157" s="19" t="s">
        <v>34</v>
      </c>
      <c r="E157" s="19" t="s">
        <v>44</v>
      </c>
      <c r="F157" s="19" t="s">
        <v>37</v>
      </c>
      <c r="G157" s="19" t="s">
        <v>24</v>
      </c>
      <c r="H157" s="19" t="s">
        <v>25</v>
      </c>
      <c r="I157" s="19">
        <v>1</v>
      </c>
      <c r="J157" s="21">
        <v>25531</v>
      </c>
      <c r="K157" s="21">
        <v>25531</v>
      </c>
      <c r="L157" s="21">
        <v>0</v>
      </c>
      <c r="M157" s="15">
        <v>0</v>
      </c>
      <c r="N157" s="21">
        <f t="shared" si="4"/>
        <v>25531</v>
      </c>
      <c r="O157" s="21">
        <v>14849.67</v>
      </c>
      <c r="P157" s="21">
        <f t="shared" si="5"/>
        <v>10681.33</v>
      </c>
      <c r="Q157" s="19" t="s">
        <v>201</v>
      </c>
      <c r="R157" s="19">
        <v>2024</v>
      </c>
      <c r="S157" s="19">
        <v>5</v>
      </c>
    </row>
    <row r="158" spans="1:19" x14ac:dyDescent="0.3">
      <c r="A158" t="s">
        <v>206</v>
      </c>
      <c r="B158" s="2">
        <v>45419</v>
      </c>
      <c r="C158" t="s">
        <v>82</v>
      </c>
      <c r="D158" t="s">
        <v>21</v>
      </c>
      <c r="E158" t="s">
        <v>42</v>
      </c>
      <c r="F158" t="s">
        <v>37</v>
      </c>
      <c r="G158" t="s">
        <v>31</v>
      </c>
      <c r="H158" t="s">
        <v>25</v>
      </c>
      <c r="I158">
        <v>3</v>
      </c>
      <c r="J158" s="5">
        <v>44700</v>
      </c>
      <c r="K158" s="5">
        <v>134100</v>
      </c>
      <c r="L158" s="5">
        <v>13410</v>
      </c>
      <c r="M158" s="12">
        <v>0.1</v>
      </c>
      <c r="N158" s="5">
        <f t="shared" si="4"/>
        <v>120690</v>
      </c>
      <c r="O158" s="5">
        <v>79770.39</v>
      </c>
      <c r="P158" s="5">
        <f t="shared" si="5"/>
        <v>40919.61</v>
      </c>
      <c r="Q158" t="s">
        <v>201</v>
      </c>
      <c r="R158">
        <v>2024</v>
      </c>
      <c r="S158">
        <v>5</v>
      </c>
    </row>
    <row r="159" spans="1:19" x14ac:dyDescent="0.3">
      <c r="A159" s="19" t="s">
        <v>207</v>
      </c>
      <c r="B159" s="20">
        <v>45419</v>
      </c>
      <c r="C159" s="19" t="s">
        <v>75</v>
      </c>
      <c r="D159" s="19" t="s">
        <v>34</v>
      </c>
      <c r="E159" s="19" t="s">
        <v>44</v>
      </c>
      <c r="F159" s="19" t="s">
        <v>23</v>
      </c>
      <c r="G159" s="19" t="s">
        <v>24</v>
      </c>
      <c r="H159" s="19" t="s">
        <v>25</v>
      </c>
      <c r="I159" s="19">
        <v>3</v>
      </c>
      <c r="J159" s="21">
        <v>40201</v>
      </c>
      <c r="K159" s="21">
        <v>120603</v>
      </c>
      <c r="L159" s="21">
        <v>0</v>
      </c>
      <c r="M159" s="15">
        <v>0</v>
      </c>
      <c r="N159" s="21">
        <f t="shared" si="4"/>
        <v>120603</v>
      </c>
      <c r="O159" s="21">
        <v>62572.52</v>
      </c>
      <c r="P159" s="21">
        <f t="shared" si="5"/>
        <v>58030.48</v>
      </c>
      <c r="Q159" s="19" t="s">
        <v>201</v>
      </c>
      <c r="R159" s="19">
        <v>2024</v>
      </c>
      <c r="S159" s="19">
        <v>5</v>
      </c>
    </row>
    <row r="160" spans="1:19" x14ac:dyDescent="0.3">
      <c r="A160" t="s">
        <v>208</v>
      </c>
      <c r="B160" s="2">
        <v>45419</v>
      </c>
      <c r="C160" t="s">
        <v>48</v>
      </c>
      <c r="D160" t="s">
        <v>34</v>
      </c>
      <c r="E160" t="s">
        <v>44</v>
      </c>
      <c r="F160" t="s">
        <v>37</v>
      </c>
      <c r="G160" t="s">
        <v>24</v>
      </c>
      <c r="H160" t="s">
        <v>25</v>
      </c>
      <c r="I160">
        <v>4</v>
      </c>
      <c r="J160" s="5">
        <v>26413</v>
      </c>
      <c r="K160" s="5">
        <v>105652</v>
      </c>
      <c r="L160" s="5">
        <v>10565.2</v>
      </c>
      <c r="M160" s="12">
        <v>0.1</v>
      </c>
      <c r="N160" s="5">
        <f t="shared" si="4"/>
        <v>95086.8</v>
      </c>
      <c r="O160" s="5">
        <v>57102.45</v>
      </c>
      <c r="P160" s="5">
        <f t="shared" si="5"/>
        <v>37984.350000000006</v>
      </c>
      <c r="Q160" t="s">
        <v>201</v>
      </c>
      <c r="R160">
        <v>2024</v>
      </c>
      <c r="S160">
        <v>5</v>
      </c>
    </row>
    <row r="161" spans="1:19" x14ac:dyDescent="0.3">
      <c r="A161" s="19" t="s">
        <v>209</v>
      </c>
      <c r="B161" s="20">
        <v>45421</v>
      </c>
      <c r="C161" s="19" t="s">
        <v>64</v>
      </c>
      <c r="D161" s="19" t="s">
        <v>29</v>
      </c>
      <c r="E161" s="19" t="s">
        <v>22</v>
      </c>
      <c r="F161" s="19" t="s">
        <v>40</v>
      </c>
      <c r="G161" s="19" t="s">
        <v>31</v>
      </c>
      <c r="H161" s="19" t="s">
        <v>25</v>
      </c>
      <c r="I161" s="19">
        <v>1</v>
      </c>
      <c r="J161" s="21">
        <v>32306</v>
      </c>
      <c r="K161" s="21">
        <v>32306</v>
      </c>
      <c r="L161" s="21">
        <v>0</v>
      </c>
      <c r="M161" s="15">
        <v>0</v>
      </c>
      <c r="N161" s="21">
        <f t="shared" si="4"/>
        <v>32306</v>
      </c>
      <c r="O161" s="21">
        <v>15569.56</v>
      </c>
      <c r="P161" s="21">
        <f t="shared" si="5"/>
        <v>16736.440000000002</v>
      </c>
      <c r="Q161" s="19" t="s">
        <v>201</v>
      </c>
      <c r="R161" s="19">
        <v>2024</v>
      </c>
      <c r="S161" s="19">
        <v>5</v>
      </c>
    </row>
    <row r="162" spans="1:19" x14ac:dyDescent="0.3">
      <c r="A162" t="s">
        <v>210</v>
      </c>
      <c r="B162" s="2">
        <v>45421</v>
      </c>
      <c r="C162" t="s">
        <v>48</v>
      </c>
      <c r="D162" t="s">
        <v>34</v>
      </c>
      <c r="E162" t="s">
        <v>22</v>
      </c>
      <c r="F162" t="s">
        <v>35</v>
      </c>
      <c r="G162" t="s">
        <v>31</v>
      </c>
      <c r="H162" t="s">
        <v>25</v>
      </c>
      <c r="I162">
        <v>1</v>
      </c>
      <c r="J162" s="5">
        <v>24945</v>
      </c>
      <c r="K162" s="5">
        <v>24945</v>
      </c>
      <c r="L162" s="5">
        <v>0</v>
      </c>
      <c r="M162" s="12">
        <v>0</v>
      </c>
      <c r="N162" s="5">
        <f t="shared" si="4"/>
        <v>24945</v>
      </c>
      <c r="O162" s="5">
        <v>12947.33</v>
      </c>
      <c r="P162" s="5">
        <f t="shared" si="5"/>
        <v>11997.67</v>
      </c>
      <c r="Q162" t="s">
        <v>201</v>
      </c>
      <c r="R162">
        <v>2024</v>
      </c>
      <c r="S162">
        <v>5</v>
      </c>
    </row>
    <row r="163" spans="1:19" x14ac:dyDescent="0.3">
      <c r="A163" s="19" t="s">
        <v>211</v>
      </c>
      <c r="B163" s="20">
        <v>45422</v>
      </c>
      <c r="C163" s="19" t="s">
        <v>75</v>
      </c>
      <c r="D163" s="19" t="s">
        <v>34</v>
      </c>
      <c r="E163" s="19" t="s">
        <v>56</v>
      </c>
      <c r="F163" s="19" t="s">
        <v>40</v>
      </c>
      <c r="G163" s="19" t="s">
        <v>31</v>
      </c>
      <c r="H163" s="19" t="s">
        <v>25</v>
      </c>
      <c r="I163" s="19">
        <v>1</v>
      </c>
      <c r="J163" s="21">
        <v>36613</v>
      </c>
      <c r="K163" s="21">
        <v>36613</v>
      </c>
      <c r="L163" s="21">
        <v>0</v>
      </c>
      <c r="M163" s="15">
        <v>0</v>
      </c>
      <c r="N163" s="21">
        <f t="shared" si="4"/>
        <v>36613</v>
      </c>
      <c r="O163" s="21">
        <v>17929.759999999998</v>
      </c>
      <c r="P163" s="21">
        <f t="shared" si="5"/>
        <v>18683.240000000002</v>
      </c>
      <c r="Q163" s="19" t="s">
        <v>201</v>
      </c>
      <c r="R163" s="19">
        <v>2024</v>
      </c>
      <c r="S163" s="19">
        <v>5</v>
      </c>
    </row>
    <row r="164" spans="1:19" x14ac:dyDescent="0.3">
      <c r="A164" t="s">
        <v>212</v>
      </c>
      <c r="B164" s="2">
        <v>45422</v>
      </c>
      <c r="C164" t="s">
        <v>71</v>
      </c>
      <c r="D164" t="s">
        <v>34</v>
      </c>
      <c r="E164" t="s">
        <v>44</v>
      </c>
      <c r="F164" t="s">
        <v>40</v>
      </c>
      <c r="G164" t="s">
        <v>31</v>
      </c>
      <c r="H164" t="s">
        <v>25</v>
      </c>
      <c r="I164">
        <v>3</v>
      </c>
      <c r="J164" s="5">
        <v>50376</v>
      </c>
      <c r="K164" s="5">
        <v>151128</v>
      </c>
      <c r="L164" s="5">
        <v>0</v>
      </c>
      <c r="M164" s="12">
        <v>0</v>
      </c>
      <c r="N164" s="5">
        <f t="shared" si="4"/>
        <v>151128</v>
      </c>
      <c r="O164" s="5">
        <v>84589.35</v>
      </c>
      <c r="P164" s="5">
        <f t="shared" si="5"/>
        <v>66538.649999999994</v>
      </c>
      <c r="Q164" t="s">
        <v>201</v>
      </c>
      <c r="R164">
        <v>2024</v>
      </c>
      <c r="S164">
        <v>5</v>
      </c>
    </row>
    <row r="165" spans="1:19" x14ac:dyDescent="0.3">
      <c r="A165" s="19" t="s">
        <v>213</v>
      </c>
      <c r="B165" s="20">
        <v>45422</v>
      </c>
      <c r="C165" s="19" t="s">
        <v>46</v>
      </c>
      <c r="D165" s="19" t="s">
        <v>21</v>
      </c>
      <c r="E165" s="19" t="s">
        <v>42</v>
      </c>
      <c r="F165" s="19" t="s">
        <v>23</v>
      </c>
      <c r="G165" s="19" t="s">
        <v>24</v>
      </c>
      <c r="H165" s="19" t="s">
        <v>25</v>
      </c>
      <c r="I165" s="19">
        <v>1</v>
      </c>
      <c r="J165" s="21">
        <v>11481</v>
      </c>
      <c r="K165" s="21">
        <v>11481</v>
      </c>
      <c r="L165" s="21">
        <v>1148.0999999999999</v>
      </c>
      <c r="M165" s="15">
        <v>0.1</v>
      </c>
      <c r="N165" s="21">
        <f t="shared" si="4"/>
        <v>10332.9</v>
      </c>
      <c r="O165" s="21">
        <v>7504.11</v>
      </c>
      <c r="P165" s="21">
        <f t="shared" si="5"/>
        <v>2828.79</v>
      </c>
      <c r="Q165" s="19" t="s">
        <v>201</v>
      </c>
      <c r="R165" s="19">
        <v>2024</v>
      </c>
      <c r="S165" s="19">
        <v>5</v>
      </c>
    </row>
    <row r="166" spans="1:19" x14ac:dyDescent="0.3">
      <c r="A166" t="s">
        <v>214</v>
      </c>
      <c r="B166" s="2">
        <v>45423</v>
      </c>
      <c r="C166" t="s">
        <v>50</v>
      </c>
      <c r="D166" t="s">
        <v>34</v>
      </c>
      <c r="E166" t="s">
        <v>22</v>
      </c>
      <c r="F166" t="s">
        <v>23</v>
      </c>
      <c r="G166" t="s">
        <v>31</v>
      </c>
      <c r="H166" t="s">
        <v>25</v>
      </c>
      <c r="I166">
        <v>3</v>
      </c>
      <c r="J166" s="5">
        <v>16891</v>
      </c>
      <c r="K166" s="5">
        <v>50673</v>
      </c>
      <c r="L166" s="5">
        <v>0</v>
      </c>
      <c r="M166" s="12">
        <v>0</v>
      </c>
      <c r="N166" s="5">
        <f t="shared" si="4"/>
        <v>50673</v>
      </c>
      <c r="O166" s="5">
        <v>28797.95</v>
      </c>
      <c r="P166" s="5">
        <f t="shared" si="5"/>
        <v>21875.05</v>
      </c>
      <c r="Q166" t="s">
        <v>201</v>
      </c>
      <c r="R166">
        <v>2024</v>
      </c>
      <c r="S166">
        <v>5</v>
      </c>
    </row>
    <row r="167" spans="1:19" x14ac:dyDescent="0.3">
      <c r="A167" s="19" t="s">
        <v>215</v>
      </c>
      <c r="B167" s="20">
        <v>45424</v>
      </c>
      <c r="C167" s="19" t="s">
        <v>28</v>
      </c>
      <c r="D167" s="19" t="s">
        <v>29</v>
      </c>
      <c r="E167" s="19" t="s">
        <v>22</v>
      </c>
      <c r="F167" s="19" t="s">
        <v>40</v>
      </c>
      <c r="G167" s="19" t="s">
        <v>31</v>
      </c>
      <c r="H167" s="19" t="s">
        <v>25</v>
      </c>
      <c r="I167" s="19">
        <v>1</v>
      </c>
      <c r="J167" s="21">
        <v>68198</v>
      </c>
      <c r="K167" s="21">
        <v>68198</v>
      </c>
      <c r="L167" s="21">
        <v>0</v>
      </c>
      <c r="M167" s="15">
        <v>0</v>
      </c>
      <c r="N167" s="21">
        <f t="shared" si="4"/>
        <v>68198</v>
      </c>
      <c r="O167" s="21">
        <v>33481.32</v>
      </c>
      <c r="P167" s="21">
        <f t="shared" si="5"/>
        <v>34716.68</v>
      </c>
      <c r="Q167" s="19" t="s">
        <v>201</v>
      </c>
      <c r="R167" s="19">
        <v>2024</v>
      </c>
      <c r="S167" s="19">
        <v>5</v>
      </c>
    </row>
    <row r="168" spans="1:19" x14ac:dyDescent="0.3">
      <c r="A168" t="s">
        <v>216</v>
      </c>
      <c r="B168" s="2">
        <v>45425</v>
      </c>
      <c r="C168" t="s">
        <v>48</v>
      </c>
      <c r="D168" t="s">
        <v>34</v>
      </c>
      <c r="E168" t="s">
        <v>22</v>
      </c>
      <c r="F168" t="s">
        <v>23</v>
      </c>
      <c r="G168" t="s">
        <v>24</v>
      </c>
      <c r="H168" t="s">
        <v>25</v>
      </c>
      <c r="I168">
        <v>2</v>
      </c>
      <c r="J168" s="5">
        <v>23422</v>
      </c>
      <c r="K168" s="5">
        <v>46844</v>
      </c>
      <c r="L168" s="5">
        <v>0</v>
      </c>
      <c r="M168" s="12">
        <v>0</v>
      </c>
      <c r="N168" s="5">
        <f t="shared" si="4"/>
        <v>46844</v>
      </c>
      <c r="O168" s="5">
        <v>27907.37</v>
      </c>
      <c r="P168" s="5">
        <f t="shared" si="5"/>
        <v>18936.63</v>
      </c>
      <c r="Q168" t="s">
        <v>201</v>
      </c>
      <c r="R168">
        <v>2024</v>
      </c>
      <c r="S168">
        <v>5</v>
      </c>
    </row>
    <row r="169" spans="1:19" x14ac:dyDescent="0.3">
      <c r="A169" s="19" t="s">
        <v>217</v>
      </c>
      <c r="B169" s="20">
        <v>45426</v>
      </c>
      <c r="C169" s="19" t="s">
        <v>46</v>
      </c>
      <c r="D169" s="19" t="s">
        <v>21</v>
      </c>
      <c r="E169" s="19" t="s">
        <v>44</v>
      </c>
      <c r="F169" s="19" t="s">
        <v>40</v>
      </c>
      <c r="G169" s="19" t="s">
        <v>31</v>
      </c>
      <c r="H169" s="19" t="s">
        <v>25</v>
      </c>
      <c r="I169" s="19">
        <v>5</v>
      </c>
      <c r="J169" s="21">
        <v>12384</v>
      </c>
      <c r="K169" s="21">
        <v>61920</v>
      </c>
      <c r="L169" s="21">
        <v>0</v>
      </c>
      <c r="M169" s="15">
        <v>0</v>
      </c>
      <c r="N169" s="21">
        <f t="shared" si="4"/>
        <v>61920</v>
      </c>
      <c r="O169" s="21">
        <v>36984.559999999998</v>
      </c>
      <c r="P169" s="21">
        <f t="shared" si="5"/>
        <v>24935.440000000002</v>
      </c>
      <c r="Q169" s="19" t="s">
        <v>201</v>
      </c>
      <c r="R169" s="19">
        <v>2024</v>
      </c>
      <c r="S169" s="19">
        <v>5</v>
      </c>
    </row>
    <row r="170" spans="1:19" x14ac:dyDescent="0.3">
      <c r="A170" t="s">
        <v>218</v>
      </c>
      <c r="B170" s="2">
        <v>45428</v>
      </c>
      <c r="C170" t="s">
        <v>64</v>
      </c>
      <c r="D170" t="s">
        <v>29</v>
      </c>
      <c r="E170" t="s">
        <v>22</v>
      </c>
      <c r="F170" t="s">
        <v>40</v>
      </c>
      <c r="G170" t="s">
        <v>24</v>
      </c>
      <c r="H170" t="s">
        <v>25</v>
      </c>
      <c r="I170">
        <v>2</v>
      </c>
      <c r="J170" s="5">
        <v>27690</v>
      </c>
      <c r="K170" s="5">
        <v>55380</v>
      </c>
      <c r="L170" s="5">
        <v>0</v>
      </c>
      <c r="M170" s="12">
        <v>0</v>
      </c>
      <c r="N170" s="5">
        <f t="shared" si="4"/>
        <v>55380</v>
      </c>
      <c r="O170" s="5">
        <v>35244.21</v>
      </c>
      <c r="P170" s="5">
        <f t="shared" si="5"/>
        <v>20135.79</v>
      </c>
      <c r="Q170" t="s">
        <v>201</v>
      </c>
      <c r="R170">
        <v>2024</v>
      </c>
      <c r="S170">
        <v>5</v>
      </c>
    </row>
    <row r="171" spans="1:19" x14ac:dyDescent="0.3">
      <c r="A171" s="19" t="s">
        <v>219</v>
      </c>
      <c r="B171" s="20">
        <v>45429</v>
      </c>
      <c r="C171" s="19" t="s">
        <v>33</v>
      </c>
      <c r="D171" s="19" t="s">
        <v>34</v>
      </c>
      <c r="E171" s="19" t="s">
        <v>56</v>
      </c>
      <c r="F171" s="19" t="s">
        <v>35</v>
      </c>
      <c r="G171" s="19" t="s">
        <v>31</v>
      </c>
      <c r="H171" s="19" t="s">
        <v>25</v>
      </c>
      <c r="I171" s="19">
        <v>5</v>
      </c>
      <c r="J171" s="21">
        <v>39761</v>
      </c>
      <c r="K171" s="21">
        <v>198805</v>
      </c>
      <c r="L171" s="21">
        <v>0</v>
      </c>
      <c r="M171" s="15">
        <v>0</v>
      </c>
      <c r="N171" s="21">
        <f t="shared" si="4"/>
        <v>198805</v>
      </c>
      <c r="O171" s="21">
        <v>98822.33</v>
      </c>
      <c r="P171" s="21">
        <f t="shared" si="5"/>
        <v>99982.67</v>
      </c>
      <c r="Q171" s="19" t="s">
        <v>201</v>
      </c>
      <c r="R171" s="19">
        <v>2024</v>
      </c>
      <c r="S171" s="19">
        <v>5</v>
      </c>
    </row>
    <row r="172" spans="1:19" x14ac:dyDescent="0.3">
      <c r="A172" t="s">
        <v>220</v>
      </c>
      <c r="B172" s="2">
        <v>45430</v>
      </c>
      <c r="C172" t="s">
        <v>28</v>
      </c>
      <c r="D172" t="s">
        <v>29</v>
      </c>
      <c r="E172" t="s">
        <v>22</v>
      </c>
      <c r="F172" t="s">
        <v>37</v>
      </c>
      <c r="G172" t="s">
        <v>24</v>
      </c>
      <c r="H172" t="s">
        <v>25</v>
      </c>
      <c r="I172">
        <v>4</v>
      </c>
      <c r="J172" s="5">
        <v>60343</v>
      </c>
      <c r="K172" s="5">
        <v>241372</v>
      </c>
      <c r="L172" s="5">
        <v>24137.200000000001</v>
      </c>
      <c r="M172" s="12">
        <v>0.1</v>
      </c>
      <c r="N172" s="5">
        <f t="shared" si="4"/>
        <v>217234.8</v>
      </c>
      <c r="O172" s="5">
        <v>136916.54999999999</v>
      </c>
      <c r="P172" s="5">
        <f t="shared" si="5"/>
        <v>80318.25</v>
      </c>
      <c r="Q172" t="s">
        <v>201</v>
      </c>
      <c r="R172">
        <v>2024</v>
      </c>
      <c r="S172">
        <v>5</v>
      </c>
    </row>
    <row r="173" spans="1:19" x14ac:dyDescent="0.3">
      <c r="A173" s="19" t="s">
        <v>221</v>
      </c>
      <c r="B173" s="20">
        <v>45431</v>
      </c>
      <c r="C173" s="19" t="s">
        <v>46</v>
      </c>
      <c r="D173" s="19" t="s">
        <v>21</v>
      </c>
      <c r="E173" s="19" t="s">
        <v>42</v>
      </c>
      <c r="F173" s="19" t="s">
        <v>23</v>
      </c>
      <c r="G173" s="19" t="s">
        <v>24</v>
      </c>
      <c r="H173" s="19" t="s">
        <v>25</v>
      </c>
      <c r="I173" s="19">
        <v>1</v>
      </c>
      <c r="J173" s="21">
        <v>12465</v>
      </c>
      <c r="K173" s="21">
        <v>12465</v>
      </c>
      <c r="L173" s="21">
        <v>0</v>
      </c>
      <c r="M173" s="15">
        <v>0</v>
      </c>
      <c r="N173" s="21">
        <f t="shared" si="4"/>
        <v>12465</v>
      </c>
      <c r="O173" s="21">
        <v>7228.75</v>
      </c>
      <c r="P173" s="21">
        <f t="shared" si="5"/>
        <v>5236.25</v>
      </c>
      <c r="Q173" s="19" t="s">
        <v>201</v>
      </c>
      <c r="R173" s="19">
        <v>2024</v>
      </c>
      <c r="S173" s="19">
        <v>5</v>
      </c>
    </row>
    <row r="174" spans="1:19" x14ac:dyDescent="0.3">
      <c r="A174" t="s">
        <v>222</v>
      </c>
      <c r="B174" s="2">
        <v>45432</v>
      </c>
      <c r="C174" t="s">
        <v>33</v>
      </c>
      <c r="D174" t="s">
        <v>34</v>
      </c>
      <c r="E174" t="s">
        <v>22</v>
      </c>
      <c r="F174" t="s">
        <v>37</v>
      </c>
      <c r="G174" t="s">
        <v>31</v>
      </c>
      <c r="H174" t="s">
        <v>25</v>
      </c>
      <c r="I174">
        <v>5</v>
      </c>
      <c r="J174" s="5">
        <v>40707</v>
      </c>
      <c r="K174" s="5">
        <v>203535</v>
      </c>
      <c r="L174" s="5">
        <v>0</v>
      </c>
      <c r="M174" s="12">
        <v>0</v>
      </c>
      <c r="N174" s="5">
        <f t="shared" si="4"/>
        <v>203535</v>
      </c>
      <c r="O174" s="5">
        <v>131881.1</v>
      </c>
      <c r="P174" s="5">
        <f t="shared" si="5"/>
        <v>71653.899999999994</v>
      </c>
      <c r="Q174" t="s">
        <v>201</v>
      </c>
      <c r="R174">
        <v>2024</v>
      </c>
      <c r="S174">
        <v>5</v>
      </c>
    </row>
    <row r="175" spans="1:19" x14ac:dyDescent="0.3">
      <c r="A175" s="19" t="s">
        <v>223</v>
      </c>
      <c r="B175" s="20">
        <v>45434</v>
      </c>
      <c r="C175" s="19" t="s">
        <v>82</v>
      </c>
      <c r="D175" s="19" t="s">
        <v>21</v>
      </c>
      <c r="E175" s="19" t="s">
        <v>56</v>
      </c>
      <c r="F175" s="19" t="s">
        <v>40</v>
      </c>
      <c r="G175" s="19" t="s">
        <v>24</v>
      </c>
      <c r="H175" s="19" t="s">
        <v>25</v>
      </c>
      <c r="I175" s="19">
        <v>1</v>
      </c>
      <c r="J175" s="21">
        <v>44375</v>
      </c>
      <c r="K175" s="21">
        <v>44375</v>
      </c>
      <c r="L175" s="21">
        <v>0</v>
      </c>
      <c r="M175" s="15">
        <v>0</v>
      </c>
      <c r="N175" s="21">
        <f t="shared" si="4"/>
        <v>44375</v>
      </c>
      <c r="O175" s="21">
        <v>27331.02</v>
      </c>
      <c r="P175" s="21">
        <f t="shared" si="5"/>
        <v>17043.98</v>
      </c>
      <c r="Q175" s="19" t="s">
        <v>201</v>
      </c>
      <c r="R175" s="19">
        <v>2024</v>
      </c>
      <c r="S175" s="19">
        <v>5</v>
      </c>
    </row>
    <row r="176" spans="1:19" x14ac:dyDescent="0.3">
      <c r="A176" t="s">
        <v>224</v>
      </c>
      <c r="B176" s="2">
        <v>45435</v>
      </c>
      <c r="C176" t="s">
        <v>33</v>
      </c>
      <c r="D176" t="s">
        <v>34</v>
      </c>
      <c r="E176" t="s">
        <v>22</v>
      </c>
      <c r="F176" t="s">
        <v>23</v>
      </c>
      <c r="G176" t="s">
        <v>24</v>
      </c>
      <c r="H176" t="s">
        <v>25</v>
      </c>
      <c r="I176">
        <v>2</v>
      </c>
      <c r="J176" s="5">
        <v>38738</v>
      </c>
      <c r="K176" s="5">
        <v>77476</v>
      </c>
      <c r="L176" s="5">
        <v>7747.6</v>
      </c>
      <c r="M176" s="12">
        <v>0.1</v>
      </c>
      <c r="N176" s="5">
        <f t="shared" si="4"/>
        <v>69728.399999999994</v>
      </c>
      <c r="O176" s="5">
        <v>42415.72</v>
      </c>
      <c r="P176" s="5">
        <f t="shared" si="5"/>
        <v>27312.679999999993</v>
      </c>
      <c r="Q176" t="s">
        <v>201</v>
      </c>
      <c r="R176">
        <v>2024</v>
      </c>
      <c r="S176">
        <v>5</v>
      </c>
    </row>
    <row r="177" spans="1:19" x14ac:dyDescent="0.3">
      <c r="A177" s="19" t="s">
        <v>225</v>
      </c>
      <c r="B177" s="20">
        <v>45435</v>
      </c>
      <c r="C177" s="19" t="s">
        <v>28</v>
      </c>
      <c r="D177" s="19" t="s">
        <v>29</v>
      </c>
      <c r="E177" s="19" t="s">
        <v>56</v>
      </c>
      <c r="F177" s="19" t="s">
        <v>23</v>
      </c>
      <c r="G177" s="19" t="s">
        <v>31</v>
      </c>
      <c r="H177" s="19" t="s">
        <v>25</v>
      </c>
      <c r="I177" s="19">
        <v>1</v>
      </c>
      <c r="J177" s="21">
        <v>68141</v>
      </c>
      <c r="K177" s="21">
        <v>68141</v>
      </c>
      <c r="L177" s="21">
        <v>0</v>
      </c>
      <c r="M177" s="15">
        <v>0</v>
      </c>
      <c r="N177" s="21">
        <f t="shared" si="4"/>
        <v>68141</v>
      </c>
      <c r="O177" s="21">
        <v>40030.660000000003</v>
      </c>
      <c r="P177" s="21">
        <f t="shared" si="5"/>
        <v>28110.339999999997</v>
      </c>
      <c r="Q177" s="19" t="s">
        <v>201</v>
      </c>
      <c r="R177" s="19">
        <v>2024</v>
      </c>
      <c r="S177" s="19">
        <v>5</v>
      </c>
    </row>
    <row r="178" spans="1:19" x14ac:dyDescent="0.3">
      <c r="A178" t="s">
        <v>226</v>
      </c>
      <c r="B178" s="2">
        <v>45435</v>
      </c>
      <c r="C178" t="s">
        <v>48</v>
      </c>
      <c r="D178" t="s">
        <v>34</v>
      </c>
      <c r="E178" t="s">
        <v>22</v>
      </c>
      <c r="F178" t="s">
        <v>40</v>
      </c>
      <c r="G178" t="s">
        <v>31</v>
      </c>
      <c r="H178" t="s">
        <v>25</v>
      </c>
      <c r="I178">
        <v>4</v>
      </c>
      <c r="J178" s="5">
        <v>26359</v>
      </c>
      <c r="K178" s="5">
        <v>105436</v>
      </c>
      <c r="L178" s="5">
        <v>10543.6</v>
      </c>
      <c r="M178" s="12">
        <v>0.1</v>
      </c>
      <c r="N178" s="5">
        <f t="shared" si="4"/>
        <v>94892.4</v>
      </c>
      <c r="O178" s="5">
        <v>55431.8</v>
      </c>
      <c r="P178" s="5">
        <f t="shared" si="5"/>
        <v>39460.599999999991</v>
      </c>
      <c r="Q178" t="s">
        <v>201</v>
      </c>
      <c r="R178">
        <v>2024</v>
      </c>
      <c r="S178">
        <v>5</v>
      </c>
    </row>
    <row r="179" spans="1:19" x14ac:dyDescent="0.3">
      <c r="A179" s="19" t="s">
        <v>227</v>
      </c>
      <c r="B179" s="20">
        <v>45436</v>
      </c>
      <c r="C179" s="19" t="s">
        <v>50</v>
      </c>
      <c r="D179" s="19" t="s">
        <v>34</v>
      </c>
      <c r="E179" s="19" t="s">
        <v>44</v>
      </c>
      <c r="F179" s="19" t="s">
        <v>23</v>
      </c>
      <c r="G179" s="19" t="s">
        <v>24</v>
      </c>
      <c r="H179" s="19" t="s">
        <v>25</v>
      </c>
      <c r="I179" s="19">
        <v>3</v>
      </c>
      <c r="J179" s="21">
        <v>18880</v>
      </c>
      <c r="K179" s="21">
        <v>56640</v>
      </c>
      <c r="L179" s="21">
        <v>0</v>
      </c>
      <c r="M179" s="15">
        <v>0</v>
      </c>
      <c r="N179" s="21">
        <f t="shared" si="4"/>
        <v>56640</v>
      </c>
      <c r="O179" s="21">
        <v>30538.28</v>
      </c>
      <c r="P179" s="21">
        <f t="shared" si="5"/>
        <v>26101.72</v>
      </c>
      <c r="Q179" s="19" t="s">
        <v>201</v>
      </c>
      <c r="R179" s="19">
        <v>2024</v>
      </c>
      <c r="S179" s="19">
        <v>5</v>
      </c>
    </row>
    <row r="180" spans="1:19" x14ac:dyDescent="0.3">
      <c r="A180" t="s">
        <v>228</v>
      </c>
      <c r="B180" s="2">
        <v>45436</v>
      </c>
      <c r="C180" t="s">
        <v>33</v>
      </c>
      <c r="D180" t="s">
        <v>34</v>
      </c>
      <c r="E180" t="s">
        <v>44</v>
      </c>
      <c r="F180" t="s">
        <v>40</v>
      </c>
      <c r="G180" t="s">
        <v>31</v>
      </c>
      <c r="H180" t="s">
        <v>25</v>
      </c>
      <c r="I180">
        <v>2</v>
      </c>
      <c r="J180" s="5">
        <v>40090</v>
      </c>
      <c r="K180" s="5">
        <v>80180</v>
      </c>
      <c r="L180" s="5">
        <v>0</v>
      </c>
      <c r="M180" s="12">
        <v>0</v>
      </c>
      <c r="N180" s="5">
        <f t="shared" si="4"/>
        <v>80180</v>
      </c>
      <c r="O180" s="5">
        <v>43500.58</v>
      </c>
      <c r="P180" s="5">
        <f t="shared" si="5"/>
        <v>36679.42</v>
      </c>
      <c r="Q180" t="s">
        <v>201</v>
      </c>
      <c r="R180">
        <v>2024</v>
      </c>
      <c r="S180">
        <v>5</v>
      </c>
    </row>
    <row r="181" spans="1:19" x14ac:dyDescent="0.3">
      <c r="A181" s="19" t="s">
        <v>229</v>
      </c>
      <c r="B181" s="20">
        <v>45437</v>
      </c>
      <c r="C181" s="19" t="s">
        <v>20</v>
      </c>
      <c r="D181" s="19" t="s">
        <v>21</v>
      </c>
      <c r="E181" s="19" t="s">
        <v>42</v>
      </c>
      <c r="F181" s="19" t="s">
        <v>40</v>
      </c>
      <c r="G181" s="19" t="s">
        <v>31</v>
      </c>
      <c r="H181" s="19" t="s">
        <v>25</v>
      </c>
      <c r="I181" s="19">
        <v>4</v>
      </c>
      <c r="J181" s="21">
        <v>14132</v>
      </c>
      <c r="K181" s="21">
        <v>56528</v>
      </c>
      <c r="L181" s="21">
        <v>0</v>
      </c>
      <c r="M181" s="15">
        <v>0</v>
      </c>
      <c r="N181" s="21">
        <f t="shared" si="4"/>
        <v>56528</v>
      </c>
      <c r="O181" s="21">
        <v>35047.25</v>
      </c>
      <c r="P181" s="21">
        <f t="shared" si="5"/>
        <v>21480.75</v>
      </c>
      <c r="Q181" s="19" t="s">
        <v>201</v>
      </c>
      <c r="R181" s="19">
        <v>2024</v>
      </c>
      <c r="S181" s="19">
        <v>5</v>
      </c>
    </row>
    <row r="182" spans="1:19" x14ac:dyDescent="0.3">
      <c r="A182" t="s">
        <v>230</v>
      </c>
      <c r="B182" s="2">
        <v>45437</v>
      </c>
      <c r="C182" t="s">
        <v>46</v>
      </c>
      <c r="D182" t="s">
        <v>21</v>
      </c>
      <c r="E182" t="s">
        <v>44</v>
      </c>
      <c r="F182" t="s">
        <v>35</v>
      </c>
      <c r="G182" t="s">
        <v>31</v>
      </c>
      <c r="H182" t="s">
        <v>25</v>
      </c>
      <c r="I182">
        <v>1</v>
      </c>
      <c r="J182" s="5">
        <v>11102</v>
      </c>
      <c r="K182" s="5">
        <v>11102</v>
      </c>
      <c r="L182" s="5">
        <v>1665.3</v>
      </c>
      <c r="M182" s="12">
        <v>0.15</v>
      </c>
      <c r="N182" s="5">
        <f t="shared" si="4"/>
        <v>9436.7000000000007</v>
      </c>
      <c r="O182" s="5">
        <v>6935.04</v>
      </c>
      <c r="P182" s="5">
        <f t="shared" si="5"/>
        <v>2501.6600000000008</v>
      </c>
      <c r="Q182" t="s">
        <v>201</v>
      </c>
      <c r="R182">
        <v>2024</v>
      </c>
      <c r="S182">
        <v>5</v>
      </c>
    </row>
    <row r="183" spans="1:19" x14ac:dyDescent="0.3">
      <c r="A183" s="19" t="s">
        <v>231</v>
      </c>
      <c r="B183" s="20">
        <v>45438</v>
      </c>
      <c r="C183" s="19" t="s">
        <v>33</v>
      </c>
      <c r="D183" s="19" t="s">
        <v>34</v>
      </c>
      <c r="E183" s="19" t="s">
        <v>44</v>
      </c>
      <c r="F183" s="19" t="s">
        <v>23</v>
      </c>
      <c r="G183" s="19" t="s">
        <v>31</v>
      </c>
      <c r="H183" s="19" t="s">
        <v>25</v>
      </c>
      <c r="I183" s="19">
        <v>2</v>
      </c>
      <c r="J183" s="21">
        <v>41271</v>
      </c>
      <c r="K183" s="21">
        <v>82542</v>
      </c>
      <c r="L183" s="21">
        <v>0</v>
      </c>
      <c r="M183" s="15">
        <v>0</v>
      </c>
      <c r="N183" s="21">
        <f t="shared" si="4"/>
        <v>82542</v>
      </c>
      <c r="O183" s="21">
        <v>41693.82</v>
      </c>
      <c r="P183" s="21">
        <f t="shared" si="5"/>
        <v>40848.18</v>
      </c>
      <c r="Q183" s="19" t="s">
        <v>201</v>
      </c>
      <c r="R183" s="19">
        <v>2024</v>
      </c>
      <c r="S183" s="19">
        <v>5</v>
      </c>
    </row>
    <row r="184" spans="1:19" x14ac:dyDescent="0.3">
      <c r="A184" t="s">
        <v>232</v>
      </c>
      <c r="B184" s="2">
        <v>45438</v>
      </c>
      <c r="C184" t="s">
        <v>20</v>
      </c>
      <c r="D184" t="s">
        <v>21</v>
      </c>
      <c r="E184" t="s">
        <v>44</v>
      </c>
      <c r="F184" t="s">
        <v>40</v>
      </c>
      <c r="G184" t="s">
        <v>24</v>
      </c>
      <c r="H184" t="s">
        <v>25</v>
      </c>
      <c r="I184">
        <v>3</v>
      </c>
      <c r="J184" s="5">
        <v>14609</v>
      </c>
      <c r="K184" s="5">
        <v>43827</v>
      </c>
      <c r="L184" s="5">
        <v>0</v>
      </c>
      <c r="M184" s="12">
        <v>0</v>
      </c>
      <c r="N184" s="5">
        <f t="shared" si="4"/>
        <v>43827</v>
      </c>
      <c r="O184" s="5">
        <v>25759.87</v>
      </c>
      <c r="P184" s="5">
        <f t="shared" si="5"/>
        <v>18067.13</v>
      </c>
      <c r="Q184" t="s">
        <v>201</v>
      </c>
      <c r="R184">
        <v>2024</v>
      </c>
      <c r="S184">
        <v>5</v>
      </c>
    </row>
    <row r="185" spans="1:19" x14ac:dyDescent="0.3">
      <c r="A185" s="19" t="s">
        <v>233</v>
      </c>
      <c r="B185" s="20">
        <v>45439</v>
      </c>
      <c r="C185" s="19" t="s">
        <v>64</v>
      </c>
      <c r="D185" s="19" t="s">
        <v>29</v>
      </c>
      <c r="E185" s="19" t="s">
        <v>42</v>
      </c>
      <c r="F185" s="19" t="s">
        <v>40</v>
      </c>
      <c r="G185" s="19" t="s">
        <v>31</v>
      </c>
      <c r="H185" s="19" t="s">
        <v>25</v>
      </c>
      <c r="I185" s="19">
        <v>1</v>
      </c>
      <c r="J185" s="21">
        <v>29512</v>
      </c>
      <c r="K185" s="21">
        <v>29512</v>
      </c>
      <c r="L185" s="21">
        <v>0</v>
      </c>
      <c r="M185" s="15">
        <v>0</v>
      </c>
      <c r="N185" s="21">
        <f t="shared" si="4"/>
        <v>29512</v>
      </c>
      <c r="O185" s="21">
        <v>18725.349999999999</v>
      </c>
      <c r="P185" s="21">
        <f t="shared" si="5"/>
        <v>10786.650000000001</v>
      </c>
      <c r="Q185" s="19" t="s">
        <v>201</v>
      </c>
      <c r="R185" s="19">
        <v>2024</v>
      </c>
      <c r="S185" s="19">
        <v>5</v>
      </c>
    </row>
    <row r="186" spans="1:19" x14ac:dyDescent="0.3">
      <c r="A186" t="s">
        <v>234</v>
      </c>
      <c r="B186" s="2">
        <v>45440</v>
      </c>
      <c r="C186" t="s">
        <v>46</v>
      </c>
      <c r="D186" t="s">
        <v>21</v>
      </c>
      <c r="E186" t="s">
        <v>56</v>
      </c>
      <c r="F186" t="s">
        <v>23</v>
      </c>
      <c r="G186" t="s">
        <v>31</v>
      </c>
      <c r="H186" t="s">
        <v>25</v>
      </c>
      <c r="I186">
        <v>1</v>
      </c>
      <c r="J186" s="5">
        <v>11824</v>
      </c>
      <c r="K186" s="5">
        <v>11824</v>
      </c>
      <c r="L186" s="5">
        <v>0</v>
      </c>
      <c r="M186" s="12">
        <v>0</v>
      </c>
      <c r="N186" s="5">
        <f t="shared" si="4"/>
        <v>11824</v>
      </c>
      <c r="O186" s="5">
        <v>7481.39</v>
      </c>
      <c r="P186" s="5">
        <f t="shared" si="5"/>
        <v>4342.6099999999997</v>
      </c>
      <c r="Q186" t="s">
        <v>201</v>
      </c>
      <c r="R186">
        <v>2024</v>
      </c>
      <c r="S186">
        <v>5</v>
      </c>
    </row>
    <row r="187" spans="1:19" x14ac:dyDescent="0.3">
      <c r="A187" s="19" t="s">
        <v>235</v>
      </c>
      <c r="B187" s="20">
        <v>45441</v>
      </c>
      <c r="C187" s="19" t="s">
        <v>71</v>
      </c>
      <c r="D187" s="19" t="s">
        <v>34</v>
      </c>
      <c r="E187" s="19" t="s">
        <v>42</v>
      </c>
      <c r="F187" s="19" t="s">
        <v>23</v>
      </c>
      <c r="G187" s="19" t="s">
        <v>31</v>
      </c>
      <c r="H187" s="19" t="s">
        <v>25</v>
      </c>
      <c r="I187" s="19">
        <v>1</v>
      </c>
      <c r="J187" s="21">
        <v>51851</v>
      </c>
      <c r="K187" s="21">
        <v>51851</v>
      </c>
      <c r="L187" s="21">
        <v>0</v>
      </c>
      <c r="M187" s="15">
        <v>0</v>
      </c>
      <c r="N187" s="21">
        <f t="shared" si="4"/>
        <v>51851</v>
      </c>
      <c r="O187" s="21">
        <v>27174.55</v>
      </c>
      <c r="P187" s="21">
        <f t="shared" si="5"/>
        <v>24676.45</v>
      </c>
      <c r="Q187" s="19" t="s">
        <v>201</v>
      </c>
      <c r="R187" s="19">
        <v>2024</v>
      </c>
      <c r="S187" s="19">
        <v>5</v>
      </c>
    </row>
    <row r="188" spans="1:19" x14ac:dyDescent="0.3">
      <c r="A188" t="s">
        <v>236</v>
      </c>
      <c r="B188" s="2">
        <v>45442</v>
      </c>
      <c r="C188" t="s">
        <v>71</v>
      </c>
      <c r="D188" t="s">
        <v>34</v>
      </c>
      <c r="E188" t="s">
        <v>44</v>
      </c>
      <c r="F188" t="s">
        <v>40</v>
      </c>
      <c r="G188" t="s">
        <v>24</v>
      </c>
      <c r="H188" t="s">
        <v>25</v>
      </c>
      <c r="I188">
        <v>5</v>
      </c>
      <c r="J188" s="5">
        <v>50101</v>
      </c>
      <c r="K188" s="5">
        <v>250505</v>
      </c>
      <c r="L188" s="5">
        <v>0</v>
      </c>
      <c r="M188" s="12">
        <v>0</v>
      </c>
      <c r="N188" s="5">
        <f t="shared" si="4"/>
        <v>250505</v>
      </c>
      <c r="O188" s="5">
        <v>152078.76</v>
      </c>
      <c r="P188" s="5">
        <f t="shared" si="5"/>
        <v>98426.239999999991</v>
      </c>
      <c r="Q188" t="s">
        <v>201</v>
      </c>
      <c r="R188">
        <v>2024</v>
      </c>
      <c r="S188">
        <v>5</v>
      </c>
    </row>
    <row r="189" spans="1:19" x14ac:dyDescent="0.3">
      <c r="A189" s="19" t="s">
        <v>237</v>
      </c>
      <c r="B189" s="20">
        <v>45442</v>
      </c>
      <c r="C189" s="19" t="s">
        <v>75</v>
      </c>
      <c r="D189" s="19" t="s">
        <v>34</v>
      </c>
      <c r="E189" s="19" t="s">
        <v>22</v>
      </c>
      <c r="F189" s="19" t="s">
        <v>40</v>
      </c>
      <c r="G189" s="19" t="s">
        <v>31</v>
      </c>
      <c r="H189" s="19" t="s">
        <v>25</v>
      </c>
      <c r="I189" s="19">
        <v>2</v>
      </c>
      <c r="J189" s="21">
        <v>38235</v>
      </c>
      <c r="K189" s="21">
        <v>76470</v>
      </c>
      <c r="L189" s="21">
        <v>0</v>
      </c>
      <c r="M189" s="15">
        <v>0</v>
      </c>
      <c r="N189" s="21">
        <f t="shared" si="4"/>
        <v>76470</v>
      </c>
      <c r="O189" s="21">
        <v>42306.89</v>
      </c>
      <c r="P189" s="21">
        <f t="shared" si="5"/>
        <v>34163.11</v>
      </c>
      <c r="Q189" s="19" t="s">
        <v>201</v>
      </c>
      <c r="R189" s="19">
        <v>2024</v>
      </c>
      <c r="S189" s="19">
        <v>5</v>
      </c>
    </row>
    <row r="190" spans="1:19" x14ac:dyDescent="0.3">
      <c r="A190" t="s">
        <v>238</v>
      </c>
      <c r="B190" s="2">
        <v>45443</v>
      </c>
      <c r="C190" t="s">
        <v>28</v>
      </c>
      <c r="D190" t="s">
        <v>29</v>
      </c>
      <c r="E190" t="s">
        <v>22</v>
      </c>
      <c r="F190" t="s">
        <v>23</v>
      </c>
      <c r="G190" t="s">
        <v>31</v>
      </c>
      <c r="H190" t="s">
        <v>25</v>
      </c>
      <c r="I190">
        <v>3</v>
      </c>
      <c r="J190" s="5">
        <v>63924</v>
      </c>
      <c r="K190" s="5">
        <v>191772</v>
      </c>
      <c r="L190" s="5">
        <v>0</v>
      </c>
      <c r="M190" s="12">
        <v>0</v>
      </c>
      <c r="N190" s="5">
        <f t="shared" si="4"/>
        <v>191772</v>
      </c>
      <c r="O190" s="5">
        <v>125238.46</v>
      </c>
      <c r="P190" s="5">
        <f t="shared" si="5"/>
        <v>66533.539999999994</v>
      </c>
      <c r="Q190" t="s">
        <v>201</v>
      </c>
      <c r="R190">
        <v>2024</v>
      </c>
      <c r="S190">
        <v>5</v>
      </c>
    </row>
    <row r="191" spans="1:19" x14ac:dyDescent="0.3">
      <c r="A191" s="19" t="s">
        <v>239</v>
      </c>
      <c r="B191" s="20">
        <v>45444</v>
      </c>
      <c r="C191" s="19" t="s">
        <v>33</v>
      </c>
      <c r="D191" s="19" t="s">
        <v>34</v>
      </c>
      <c r="E191" s="19" t="s">
        <v>22</v>
      </c>
      <c r="F191" s="19" t="s">
        <v>35</v>
      </c>
      <c r="G191" s="19" t="s">
        <v>31</v>
      </c>
      <c r="H191" s="19" t="s">
        <v>240</v>
      </c>
      <c r="I191" s="19">
        <v>5</v>
      </c>
      <c r="J191" s="21">
        <v>43182</v>
      </c>
      <c r="K191" s="21">
        <v>215910</v>
      </c>
      <c r="L191" s="21">
        <v>21591</v>
      </c>
      <c r="M191" s="15">
        <v>0.1</v>
      </c>
      <c r="N191" s="21">
        <f t="shared" si="4"/>
        <v>194319</v>
      </c>
      <c r="O191" s="21">
        <v>129978.14</v>
      </c>
      <c r="P191" s="21">
        <f t="shared" si="5"/>
        <v>64340.86</v>
      </c>
      <c r="Q191" s="19" t="s">
        <v>241</v>
      </c>
      <c r="R191" s="19">
        <v>2024</v>
      </c>
      <c r="S191" s="19">
        <v>6</v>
      </c>
    </row>
    <row r="192" spans="1:19" x14ac:dyDescent="0.3">
      <c r="A192" t="s">
        <v>242</v>
      </c>
      <c r="B192" s="2">
        <v>45445</v>
      </c>
      <c r="C192" t="s">
        <v>28</v>
      </c>
      <c r="D192" t="s">
        <v>29</v>
      </c>
      <c r="E192" t="s">
        <v>22</v>
      </c>
      <c r="F192" t="s">
        <v>40</v>
      </c>
      <c r="G192" t="s">
        <v>24</v>
      </c>
      <c r="H192" t="s">
        <v>240</v>
      </c>
      <c r="I192">
        <v>1</v>
      </c>
      <c r="J192" s="5">
        <v>66637</v>
      </c>
      <c r="K192" s="5">
        <v>66637</v>
      </c>
      <c r="L192" s="5">
        <v>6663.7</v>
      </c>
      <c r="M192" s="12">
        <v>0.1</v>
      </c>
      <c r="N192" s="5">
        <f t="shared" si="4"/>
        <v>59973.3</v>
      </c>
      <c r="O192" s="5">
        <v>37193.01</v>
      </c>
      <c r="P192" s="5">
        <f t="shared" si="5"/>
        <v>22780.29</v>
      </c>
      <c r="Q192" t="s">
        <v>241</v>
      </c>
      <c r="R192">
        <v>2024</v>
      </c>
      <c r="S192">
        <v>6</v>
      </c>
    </row>
    <row r="193" spans="1:19" x14ac:dyDescent="0.3">
      <c r="A193" s="19" t="s">
        <v>243</v>
      </c>
      <c r="B193" s="20">
        <v>45445</v>
      </c>
      <c r="C193" s="19" t="s">
        <v>20</v>
      </c>
      <c r="D193" s="19" t="s">
        <v>21</v>
      </c>
      <c r="E193" s="19" t="s">
        <v>44</v>
      </c>
      <c r="F193" s="19" t="s">
        <v>37</v>
      </c>
      <c r="G193" s="19" t="s">
        <v>31</v>
      </c>
      <c r="H193" s="19" t="s">
        <v>25</v>
      </c>
      <c r="I193" s="19">
        <v>1</v>
      </c>
      <c r="J193" s="21">
        <v>14157</v>
      </c>
      <c r="K193" s="21">
        <v>14157</v>
      </c>
      <c r="L193" s="21">
        <v>0</v>
      </c>
      <c r="M193" s="15">
        <v>0</v>
      </c>
      <c r="N193" s="21">
        <f t="shared" si="4"/>
        <v>14157</v>
      </c>
      <c r="O193" s="21">
        <v>8544.9699999999993</v>
      </c>
      <c r="P193" s="21">
        <f t="shared" si="5"/>
        <v>5612.0300000000007</v>
      </c>
      <c r="Q193" s="19" t="s">
        <v>241</v>
      </c>
      <c r="R193" s="19">
        <v>2024</v>
      </c>
      <c r="S193" s="19">
        <v>6</v>
      </c>
    </row>
    <row r="194" spans="1:19" x14ac:dyDescent="0.3">
      <c r="A194" t="s">
        <v>244</v>
      </c>
      <c r="B194" s="2">
        <v>45445</v>
      </c>
      <c r="C194" t="s">
        <v>71</v>
      </c>
      <c r="D194" t="s">
        <v>34</v>
      </c>
      <c r="E194" t="s">
        <v>22</v>
      </c>
      <c r="F194" t="s">
        <v>35</v>
      </c>
      <c r="G194" t="s">
        <v>24</v>
      </c>
      <c r="H194" t="s">
        <v>240</v>
      </c>
      <c r="I194">
        <v>1</v>
      </c>
      <c r="J194" s="5">
        <v>51810</v>
      </c>
      <c r="K194" s="5">
        <v>51810</v>
      </c>
      <c r="L194" s="5">
        <v>10362</v>
      </c>
      <c r="M194" s="12">
        <v>0.2</v>
      </c>
      <c r="N194" s="5">
        <f t="shared" si="4"/>
        <v>41448</v>
      </c>
      <c r="O194" s="5">
        <v>29522.2</v>
      </c>
      <c r="P194" s="5">
        <f t="shared" si="5"/>
        <v>11925.8</v>
      </c>
      <c r="Q194" t="s">
        <v>241</v>
      </c>
      <c r="R194">
        <v>2024</v>
      </c>
      <c r="S194">
        <v>6</v>
      </c>
    </row>
    <row r="195" spans="1:19" x14ac:dyDescent="0.3">
      <c r="A195" s="19" t="s">
        <v>245</v>
      </c>
      <c r="B195" s="20">
        <v>45446</v>
      </c>
      <c r="C195" s="19" t="s">
        <v>64</v>
      </c>
      <c r="D195" s="19" t="s">
        <v>29</v>
      </c>
      <c r="E195" s="19" t="s">
        <v>42</v>
      </c>
      <c r="F195" s="19" t="s">
        <v>37</v>
      </c>
      <c r="G195" s="19" t="s">
        <v>31</v>
      </c>
      <c r="H195" s="19" t="s">
        <v>240</v>
      </c>
      <c r="I195" s="19">
        <v>1</v>
      </c>
      <c r="J195" s="21">
        <v>32134</v>
      </c>
      <c r="K195" s="21">
        <v>32134</v>
      </c>
      <c r="L195" s="21">
        <v>6426.8</v>
      </c>
      <c r="M195" s="15">
        <v>0.2</v>
      </c>
      <c r="N195" s="21">
        <f t="shared" ref="N195:N258" si="6">K195-L195</f>
        <v>25707.200000000001</v>
      </c>
      <c r="O195" s="21">
        <v>21366.04</v>
      </c>
      <c r="P195" s="21">
        <f t="shared" si="5"/>
        <v>4341.16</v>
      </c>
      <c r="Q195" s="19" t="s">
        <v>241</v>
      </c>
      <c r="R195" s="19">
        <v>2024</v>
      </c>
      <c r="S195" s="19">
        <v>6</v>
      </c>
    </row>
    <row r="196" spans="1:19" x14ac:dyDescent="0.3">
      <c r="A196" t="s">
        <v>246</v>
      </c>
      <c r="B196" s="2">
        <v>45447</v>
      </c>
      <c r="C196" t="s">
        <v>28</v>
      </c>
      <c r="D196" t="s">
        <v>29</v>
      </c>
      <c r="E196" t="s">
        <v>42</v>
      </c>
      <c r="F196" t="s">
        <v>40</v>
      </c>
      <c r="G196" t="s">
        <v>31</v>
      </c>
      <c r="H196" t="s">
        <v>25</v>
      </c>
      <c r="I196">
        <v>1</v>
      </c>
      <c r="J196" s="5">
        <v>67426</v>
      </c>
      <c r="K196" s="5">
        <v>67426</v>
      </c>
      <c r="L196" s="5">
        <v>0</v>
      </c>
      <c r="M196" s="12">
        <v>0</v>
      </c>
      <c r="N196" s="5">
        <f t="shared" si="6"/>
        <v>67426</v>
      </c>
      <c r="O196" s="5">
        <v>41066.18</v>
      </c>
      <c r="P196" s="5">
        <f t="shared" ref="P196:P259" si="7">N196-O196</f>
        <v>26359.82</v>
      </c>
      <c r="Q196" t="s">
        <v>241</v>
      </c>
      <c r="R196">
        <v>2024</v>
      </c>
      <c r="S196">
        <v>6</v>
      </c>
    </row>
    <row r="197" spans="1:19" x14ac:dyDescent="0.3">
      <c r="A197" s="19" t="s">
        <v>247</v>
      </c>
      <c r="B197" s="20">
        <v>45448</v>
      </c>
      <c r="C197" s="19" t="s">
        <v>64</v>
      </c>
      <c r="D197" s="19" t="s">
        <v>29</v>
      </c>
      <c r="E197" s="19" t="s">
        <v>42</v>
      </c>
      <c r="F197" s="19" t="s">
        <v>23</v>
      </c>
      <c r="G197" s="19" t="s">
        <v>24</v>
      </c>
      <c r="H197" s="19" t="s">
        <v>240</v>
      </c>
      <c r="I197" s="19">
        <v>2</v>
      </c>
      <c r="J197" s="21">
        <v>31867</v>
      </c>
      <c r="K197" s="21">
        <v>63734</v>
      </c>
      <c r="L197" s="21">
        <v>6373.4</v>
      </c>
      <c r="M197" s="15">
        <v>0.1</v>
      </c>
      <c r="N197" s="21">
        <f t="shared" si="6"/>
        <v>57360.6</v>
      </c>
      <c r="O197" s="21">
        <v>37289.9</v>
      </c>
      <c r="P197" s="21">
        <f t="shared" si="7"/>
        <v>20070.699999999997</v>
      </c>
      <c r="Q197" s="19" t="s">
        <v>241</v>
      </c>
      <c r="R197" s="19">
        <v>2024</v>
      </c>
      <c r="S197" s="19">
        <v>6</v>
      </c>
    </row>
    <row r="198" spans="1:19" x14ac:dyDescent="0.3">
      <c r="A198" t="s">
        <v>248</v>
      </c>
      <c r="B198" s="2">
        <v>45449</v>
      </c>
      <c r="C198" t="s">
        <v>50</v>
      </c>
      <c r="D198" t="s">
        <v>34</v>
      </c>
      <c r="E198" t="s">
        <v>22</v>
      </c>
      <c r="F198" t="s">
        <v>40</v>
      </c>
      <c r="G198" t="s">
        <v>31</v>
      </c>
      <c r="H198" t="s">
        <v>25</v>
      </c>
      <c r="I198">
        <v>1</v>
      </c>
      <c r="J198" s="5">
        <v>18883</v>
      </c>
      <c r="K198" s="5">
        <v>18883</v>
      </c>
      <c r="L198" s="5">
        <v>0</v>
      </c>
      <c r="M198" s="12">
        <v>0</v>
      </c>
      <c r="N198" s="5">
        <f t="shared" si="6"/>
        <v>18883</v>
      </c>
      <c r="O198" s="5">
        <v>12831.48</v>
      </c>
      <c r="P198" s="5">
        <f t="shared" si="7"/>
        <v>6051.52</v>
      </c>
      <c r="Q198" t="s">
        <v>241</v>
      </c>
      <c r="R198">
        <v>2024</v>
      </c>
      <c r="S198">
        <v>6</v>
      </c>
    </row>
    <row r="199" spans="1:19" x14ac:dyDescent="0.3">
      <c r="A199" s="19" t="s">
        <v>249</v>
      </c>
      <c r="B199" s="20">
        <v>45451</v>
      </c>
      <c r="C199" s="19" t="s">
        <v>75</v>
      </c>
      <c r="D199" s="19" t="s">
        <v>34</v>
      </c>
      <c r="E199" s="19" t="s">
        <v>56</v>
      </c>
      <c r="F199" s="19" t="s">
        <v>40</v>
      </c>
      <c r="G199" s="19" t="s">
        <v>31</v>
      </c>
      <c r="H199" s="19" t="s">
        <v>25</v>
      </c>
      <c r="I199" s="19">
        <v>1</v>
      </c>
      <c r="J199" s="21">
        <v>36887</v>
      </c>
      <c r="K199" s="21">
        <v>36887</v>
      </c>
      <c r="L199" s="21">
        <v>0</v>
      </c>
      <c r="M199" s="15">
        <v>0</v>
      </c>
      <c r="N199" s="21">
        <f t="shared" si="6"/>
        <v>36887</v>
      </c>
      <c r="O199" s="21">
        <v>24164.59</v>
      </c>
      <c r="P199" s="21">
        <f t="shared" si="7"/>
        <v>12722.41</v>
      </c>
      <c r="Q199" s="19" t="s">
        <v>241</v>
      </c>
      <c r="R199" s="19">
        <v>2024</v>
      </c>
      <c r="S199" s="19">
        <v>6</v>
      </c>
    </row>
    <row r="200" spans="1:19" x14ac:dyDescent="0.3">
      <c r="A200" t="s">
        <v>250</v>
      </c>
      <c r="B200" s="2">
        <v>45451</v>
      </c>
      <c r="C200" t="s">
        <v>75</v>
      </c>
      <c r="D200" t="s">
        <v>34</v>
      </c>
      <c r="E200" t="s">
        <v>56</v>
      </c>
      <c r="F200" t="s">
        <v>40</v>
      </c>
      <c r="G200" t="s">
        <v>31</v>
      </c>
      <c r="H200" t="s">
        <v>25</v>
      </c>
      <c r="I200">
        <v>2</v>
      </c>
      <c r="J200" s="5">
        <v>39594</v>
      </c>
      <c r="K200" s="5">
        <v>79188</v>
      </c>
      <c r="L200" s="5">
        <v>0</v>
      </c>
      <c r="M200" s="12">
        <v>0</v>
      </c>
      <c r="N200" s="5">
        <f t="shared" si="6"/>
        <v>79188</v>
      </c>
      <c r="O200" s="5">
        <v>52833.81</v>
      </c>
      <c r="P200" s="5">
        <f t="shared" si="7"/>
        <v>26354.190000000002</v>
      </c>
      <c r="Q200" t="s">
        <v>241</v>
      </c>
      <c r="R200">
        <v>2024</v>
      </c>
      <c r="S200">
        <v>6</v>
      </c>
    </row>
    <row r="201" spans="1:19" x14ac:dyDescent="0.3">
      <c r="A201" s="19" t="s">
        <v>251</v>
      </c>
      <c r="B201" s="20">
        <v>45452</v>
      </c>
      <c r="C201" s="19" t="s">
        <v>50</v>
      </c>
      <c r="D201" s="19" t="s">
        <v>34</v>
      </c>
      <c r="E201" s="19" t="s">
        <v>42</v>
      </c>
      <c r="F201" s="19" t="s">
        <v>40</v>
      </c>
      <c r="G201" s="19" t="s">
        <v>31</v>
      </c>
      <c r="H201" s="19" t="s">
        <v>240</v>
      </c>
      <c r="I201" s="19">
        <v>2</v>
      </c>
      <c r="J201" s="21">
        <v>18307</v>
      </c>
      <c r="K201" s="21">
        <v>36614</v>
      </c>
      <c r="L201" s="21">
        <v>5492.1</v>
      </c>
      <c r="M201" s="15">
        <v>0.15</v>
      </c>
      <c r="N201" s="21">
        <f t="shared" si="6"/>
        <v>31121.9</v>
      </c>
      <c r="O201" s="21">
        <v>18168.96</v>
      </c>
      <c r="P201" s="21">
        <f t="shared" si="7"/>
        <v>12952.940000000002</v>
      </c>
      <c r="Q201" s="19" t="s">
        <v>241</v>
      </c>
      <c r="R201" s="19">
        <v>2024</v>
      </c>
      <c r="S201" s="19">
        <v>6</v>
      </c>
    </row>
    <row r="202" spans="1:19" x14ac:dyDescent="0.3">
      <c r="A202" t="s">
        <v>252</v>
      </c>
      <c r="B202" s="2">
        <v>45453</v>
      </c>
      <c r="C202" t="s">
        <v>82</v>
      </c>
      <c r="D202" t="s">
        <v>21</v>
      </c>
      <c r="E202" t="s">
        <v>42</v>
      </c>
      <c r="F202" t="s">
        <v>40</v>
      </c>
      <c r="G202" t="s">
        <v>31</v>
      </c>
      <c r="H202" t="s">
        <v>25</v>
      </c>
      <c r="I202">
        <v>2</v>
      </c>
      <c r="J202" s="5">
        <v>44258</v>
      </c>
      <c r="K202" s="5">
        <v>88516</v>
      </c>
      <c r="L202" s="5">
        <v>0</v>
      </c>
      <c r="M202" s="12">
        <v>0</v>
      </c>
      <c r="N202" s="5">
        <f t="shared" si="6"/>
        <v>88516</v>
      </c>
      <c r="O202" s="5">
        <v>53120.12</v>
      </c>
      <c r="P202" s="5">
        <f t="shared" si="7"/>
        <v>35395.879999999997</v>
      </c>
      <c r="Q202" t="s">
        <v>241</v>
      </c>
      <c r="R202">
        <v>2024</v>
      </c>
      <c r="S202">
        <v>6</v>
      </c>
    </row>
    <row r="203" spans="1:19" x14ac:dyDescent="0.3">
      <c r="A203" s="19" t="s">
        <v>253</v>
      </c>
      <c r="B203" s="20">
        <v>45453</v>
      </c>
      <c r="C203" s="19" t="s">
        <v>20</v>
      </c>
      <c r="D203" s="19" t="s">
        <v>21</v>
      </c>
      <c r="E203" s="19" t="s">
        <v>22</v>
      </c>
      <c r="F203" s="19" t="s">
        <v>40</v>
      </c>
      <c r="G203" s="19" t="s">
        <v>31</v>
      </c>
      <c r="H203" s="19" t="s">
        <v>240</v>
      </c>
      <c r="I203" s="19">
        <v>2</v>
      </c>
      <c r="J203" s="21">
        <v>14280</v>
      </c>
      <c r="K203" s="21">
        <v>28560</v>
      </c>
      <c r="L203" s="21">
        <v>2856</v>
      </c>
      <c r="M203" s="15">
        <v>0.1</v>
      </c>
      <c r="N203" s="21">
        <f t="shared" si="6"/>
        <v>25704</v>
      </c>
      <c r="O203" s="21">
        <v>18288.38</v>
      </c>
      <c r="P203" s="21">
        <f t="shared" si="7"/>
        <v>7415.619999999999</v>
      </c>
      <c r="Q203" s="19" t="s">
        <v>241</v>
      </c>
      <c r="R203" s="19">
        <v>2024</v>
      </c>
      <c r="S203" s="19">
        <v>6</v>
      </c>
    </row>
    <row r="204" spans="1:19" x14ac:dyDescent="0.3">
      <c r="A204" t="s">
        <v>254</v>
      </c>
      <c r="B204" s="2">
        <v>45456</v>
      </c>
      <c r="C204" t="s">
        <v>75</v>
      </c>
      <c r="D204" t="s">
        <v>34</v>
      </c>
      <c r="E204" t="s">
        <v>22</v>
      </c>
      <c r="F204" t="s">
        <v>37</v>
      </c>
      <c r="G204" t="s">
        <v>31</v>
      </c>
      <c r="H204" t="s">
        <v>25</v>
      </c>
      <c r="I204">
        <v>2</v>
      </c>
      <c r="J204" s="5">
        <v>36529</v>
      </c>
      <c r="K204" s="5">
        <v>73058</v>
      </c>
      <c r="L204" s="5">
        <v>0</v>
      </c>
      <c r="M204" s="12">
        <v>0</v>
      </c>
      <c r="N204" s="5">
        <f t="shared" si="6"/>
        <v>73058</v>
      </c>
      <c r="O204" s="5">
        <v>43589.25</v>
      </c>
      <c r="P204" s="5">
        <f t="shared" si="7"/>
        <v>29468.75</v>
      </c>
      <c r="Q204" t="s">
        <v>241</v>
      </c>
      <c r="R204">
        <v>2024</v>
      </c>
      <c r="S204">
        <v>6</v>
      </c>
    </row>
    <row r="205" spans="1:19" x14ac:dyDescent="0.3">
      <c r="A205" s="19" t="s">
        <v>255</v>
      </c>
      <c r="B205" s="20">
        <v>45457</v>
      </c>
      <c r="C205" s="19" t="s">
        <v>46</v>
      </c>
      <c r="D205" s="19" t="s">
        <v>21</v>
      </c>
      <c r="E205" s="19" t="s">
        <v>22</v>
      </c>
      <c r="F205" s="19" t="s">
        <v>40</v>
      </c>
      <c r="G205" s="19" t="s">
        <v>24</v>
      </c>
      <c r="H205" s="19" t="s">
        <v>240</v>
      </c>
      <c r="I205" s="19">
        <v>1</v>
      </c>
      <c r="J205" s="21">
        <v>11933</v>
      </c>
      <c r="K205" s="21">
        <v>11933</v>
      </c>
      <c r="L205" s="21">
        <v>2386.6</v>
      </c>
      <c r="M205" s="15">
        <v>0.2</v>
      </c>
      <c r="N205" s="21">
        <f t="shared" si="6"/>
        <v>9546.4</v>
      </c>
      <c r="O205" s="21">
        <v>7155.47</v>
      </c>
      <c r="P205" s="21">
        <f t="shared" si="7"/>
        <v>2390.9299999999994</v>
      </c>
      <c r="Q205" s="19" t="s">
        <v>241</v>
      </c>
      <c r="R205" s="19">
        <v>2024</v>
      </c>
      <c r="S205" s="19">
        <v>6</v>
      </c>
    </row>
    <row r="206" spans="1:19" x14ac:dyDescent="0.3">
      <c r="A206" t="s">
        <v>256</v>
      </c>
      <c r="B206" s="2">
        <v>45458</v>
      </c>
      <c r="C206" t="s">
        <v>46</v>
      </c>
      <c r="D206" t="s">
        <v>21</v>
      </c>
      <c r="E206" t="s">
        <v>22</v>
      </c>
      <c r="F206" t="s">
        <v>35</v>
      </c>
      <c r="G206" t="s">
        <v>31</v>
      </c>
      <c r="H206" t="s">
        <v>25</v>
      </c>
      <c r="I206">
        <v>2</v>
      </c>
      <c r="J206" s="5">
        <v>11244</v>
      </c>
      <c r="K206" s="5">
        <v>22488</v>
      </c>
      <c r="L206" s="5">
        <v>0</v>
      </c>
      <c r="M206" s="12">
        <v>0</v>
      </c>
      <c r="N206" s="5">
        <f t="shared" si="6"/>
        <v>22488</v>
      </c>
      <c r="O206" s="5">
        <v>15289.2</v>
      </c>
      <c r="P206" s="5">
        <f t="shared" si="7"/>
        <v>7198.7999999999993</v>
      </c>
      <c r="Q206" t="s">
        <v>241</v>
      </c>
      <c r="R206">
        <v>2024</v>
      </c>
      <c r="S206">
        <v>6</v>
      </c>
    </row>
    <row r="207" spans="1:19" x14ac:dyDescent="0.3">
      <c r="A207" s="19" t="s">
        <v>257</v>
      </c>
      <c r="B207" s="20">
        <v>45458</v>
      </c>
      <c r="C207" s="19" t="s">
        <v>20</v>
      </c>
      <c r="D207" s="19" t="s">
        <v>21</v>
      </c>
      <c r="E207" s="19" t="s">
        <v>22</v>
      </c>
      <c r="F207" s="19" t="s">
        <v>23</v>
      </c>
      <c r="G207" s="19" t="s">
        <v>24</v>
      </c>
      <c r="H207" s="19" t="s">
        <v>25</v>
      </c>
      <c r="I207" s="19">
        <v>1</v>
      </c>
      <c r="J207" s="21">
        <v>14550</v>
      </c>
      <c r="K207" s="21">
        <v>14550</v>
      </c>
      <c r="L207" s="21">
        <v>0</v>
      </c>
      <c r="M207" s="15">
        <v>0</v>
      </c>
      <c r="N207" s="21">
        <f t="shared" si="6"/>
        <v>14550</v>
      </c>
      <c r="O207" s="21">
        <v>9025.5499999999993</v>
      </c>
      <c r="P207" s="21">
        <f t="shared" si="7"/>
        <v>5524.4500000000007</v>
      </c>
      <c r="Q207" s="19" t="s">
        <v>241</v>
      </c>
      <c r="R207" s="19">
        <v>2024</v>
      </c>
      <c r="S207" s="19">
        <v>6</v>
      </c>
    </row>
    <row r="208" spans="1:19" x14ac:dyDescent="0.3">
      <c r="A208" t="s">
        <v>258</v>
      </c>
      <c r="B208" s="2">
        <v>45459</v>
      </c>
      <c r="C208" t="s">
        <v>64</v>
      </c>
      <c r="D208" t="s">
        <v>29</v>
      </c>
      <c r="E208" t="s">
        <v>22</v>
      </c>
      <c r="F208" t="s">
        <v>23</v>
      </c>
      <c r="G208" t="s">
        <v>31</v>
      </c>
      <c r="H208" t="s">
        <v>25</v>
      </c>
      <c r="I208">
        <v>4</v>
      </c>
      <c r="J208" s="5">
        <v>32136</v>
      </c>
      <c r="K208" s="5">
        <v>128544</v>
      </c>
      <c r="L208" s="5">
        <v>0</v>
      </c>
      <c r="M208" s="12">
        <v>0</v>
      </c>
      <c r="N208" s="5">
        <f t="shared" si="6"/>
        <v>128544</v>
      </c>
      <c r="O208" s="5">
        <v>63607.66</v>
      </c>
      <c r="P208" s="5">
        <f t="shared" si="7"/>
        <v>64936.34</v>
      </c>
      <c r="Q208" t="s">
        <v>241</v>
      </c>
      <c r="R208">
        <v>2024</v>
      </c>
      <c r="S208">
        <v>6</v>
      </c>
    </row>
    <row r="209" spans="1:19" x14ac:dyDescent="0.3">
      <c r="A209" s="19" t="s">
        <v>259</v>
      </c>
      <c r="B209" s="20">
        <v>45461</v>
      </c>
      <c r="C209" s="19" t="s">
        <v>33</v>
      </c>
      <c r="D209" s="19" t="s">
        <v>34</v>
      </c>
      <c r="E209" s="19" t="s">
        <v>22</v>
      </c>
      <c r="F209" s="19" t="s">
        <v>30</v>
      </c>
      <c r="G209" s="19" t="s">
        <v>31</v>
      </c>
      <c r="H209" s="19" t="s">
        <v>25</v>
      </c>
      <c r="I209" s="19">
        <v>2</v>
      </c>
      <c r="J209" s="21">
        <v>39776</v>
      </c>
      <c r="K209" s="21">
        <v>79552</v>
      </c>
      <c r="L209" s="21">
        <v>0</v>
      </c>
      <c r="M209" s="15">
        <v>0</v>
      </c>
      <c r="N209" s="21">
        <f t="shared" si="6"/>
        <v>79552</v>
      </c>
      <c r="O209" s="21">
        <v>51761.58</v>
      </c>
      <c r="P209" s="21">
        <f t="shared" si="7"/>
        <v>27790.42</v>
      </c>
      <c r="Q209" s="19" t="s">
        <v>241</v>
      </c>
      <c r="R209" s="19">
        <v>2024</v>
      </c>
      <c r="S209" s="19">
        <v>6</v>
      </c>
    </row>
    <row r="210" spans="1:19" x14ac:dyDescent="0.3">
      <c r="A210" t="s">
        <v>260</v>
      </c>
      <c r="B210" s="2">
        <v>45461</v>
      </c>
      <c r="C210" t="s">
        <v>20</v>
      </c>
      <c r="D210" t="s">
        <v>21</v>
      </c>
      <c r="E210" t="s">
        <v>22</v>
      </c>
      <c r="F210" t="s">
        <v>23</v>
      </c>
      <c r="G210" t="s">
        <v>31</v>
      </c>
      <c r="H210" t="s">
        <v>25</v>
      </c>
      <c r="I210">
        <v>1</v>
      </c>
      <c r="J210" s="5">
        <v>16165</v>
      </c>
      <c r="K210" s="5">
        <v>16165</v>
      </c>
      <c r="L210" s="5">
        <v>0</v>
      </c>
      <c r="M210" s="12">
        <v>0</v>
      </c>
      <c r="N210" s="5">
        <f t="shared" si="6"/>
        <v>16165</v>
      </c>
      <c r="O210" s="5">
        <v>10851.77</v>
      </c>
      <c r="P210" s="5">
        <f t="shared" si="7"/>
        <v>5313.23</v>
      </c>
      <c r="Q210" t="s">
        <v>241</v>
      </c>
      <c r="R210">
        <v>2024</v>
      </c>
      <c r="S210">
        <v>6</v>
      </c>
    </row>
    <row r="211" spans="1:19" x14ac:dyDescent="0.3">
      <c r="A211" s="19" t="s">
        <v>261</v>
      </c>
      <c r="B211" s="20">
        <v>45463</v>
      </c>
      <c r="C211" s="19" t="s">
        <v>64</v>
      </c>
      <c r="D211" s="19" t="s">
        <v>29</v>
      </c>
      <c r="E211" s="19" t="s">
        <v>56</v>
      </c>
      <c r="F211" s="19" t="s">
        <v>40</v>
      </c>
      <c r="G211" s="19" t="s">
        <v>31</v>
      </c>
      <c r="H211" s="19" t="s">
        <v>25</v>
      </c>
      <c r="I211" s="19">
        <v>1</v>
      </c>
      <c r="J211" s="21">
        <v>30973</v>
      </c>
      <c r="K211" s="21">
        <v>30973</v>
      </c>
      <c r="L211" s="21">
        <v>1548.65</v>
      </c>
      <c r="M211" s="15">
        <v>0.05</v>
      </c>
      <c r="N211" s="21">
        <f t="shared" si="6"/>
        <v>29424.35</v>
      </c>
      <c r="O211" s="21">
        <v>18764.169999999998</v>
      </c>
      <c r="P211" s="21">
        <f t="shared" si="7"/>
        <v>10660.18</v>
      </c>
      <c r="Q211" s="19" t="s">
        <v>241</v>
      </c>
      <c r="R211" s="19">
        <v>2024</v>
      </c>
      <c r="S211" s="19">
        <v>6</v>
      </c>
    </row>
    <row r="212" spans="1:19" x14ac:dyDescent="0.3">
      <c r="A212" t="s">
        <v>262</v>
      </c>
      <c r="B212" s="2">
        <v>45463</v>
      </c>
      <c r="C212" t="s">
        <v>75</v>
      </c>
      <c r="D212" t="s">
        <v>34</v>
      </c>
      <c r="E212" t="s">
        <v>42</v>
      </c>
      <c r="F212" t="s">
        <v>37</v>
      </c>
      <c r="G212" t="s">
        <v>24</v>
      </c>
      <c r="H212" t="s">
        <v>240</v>
      </c>
      <c r="I212">
        <v>1</v>
      </c>
      <c r="J212" s="5">
        <v>37646</v>
      </c>
      <c r="K212" s="5">
        <v>37646</v>
      </c>
      <c r="L212" s="5">
        <v>1882.3</v>
      </c>
      <c r="M212" s="12">
        <v>0.05</v>
      </c>
      <c r="N212" s="5">
        <f t="shared" si="6"/>
        <v>35763.699999999997</v>
      </c>
      <c r="O212" s="5">
        <v>20937.84</v>
      </c>
      <c r="P212" s="5">
        <f t="shared" si="7"/>
        <v>14825.859999999997</v>
      </c>
      <c r="Q212" t="s">
        <v>241</v>
      </c>
      <c r="R212">
        <v>2024</v>
      </c>
      <c r="S212">
        <v>6</v>
      </c>
    </row>
    <row r="213" spans="1:19" x14ac:dyDescent="0.3">
      <c r="A213" s="19" t="s">
        <v>263</v>
      </c>
      <c r="B213" s="20">
        <v>45464</v>
      </c>
      <c r="C213" s="19" t="s">
        <v>33</v>
      </c>
      <c r="D213" s="19" t="s">
        <v>34</v>
      </c>
      <c r="E213" s="19" t="s">
        <v>42</v>
      </c>
      <c r="F213" s="19" t="s">
        <v>23</v>
      </c>
      <c r="G213" s="19" t="s">
        <v>31</v>
      </c>
      <c r="H213" s="19" t="s">
        <v>25</v>
      </c>
      <c r="I213" s="19">
        <v>5</v>
      </c>
      <c r="J213" s="21">
        <v>38915</v>
      </c>
      <c r="K213" s="21">
        <v>194575</v>
      </c>
      <c r="L213" s="21">
        <v>0</v>
      </c>
      <c r="M213" s="15">
        <v>0</v>
      </c>
      <c r="N213" s="21">
        <f t="shared" si="6"/>
        <v>194575</v>
      </c>
      <c r="O213" s="21">
        <v>110946.14</v>
      </c>
      <c r="P213" s="21">
        <f t="shared" si="7"/>
        <v>83628.86</v>
      </c>
      <c r="Q213" s="19" t="s">
        <v>241</v>
      </c>
      <c r="R213" s="19">
        <v>2024</v>
      </c>
      <c r="S213" s="19">
        <v>6</v>
      </c>
    </row>
    <row r="214" spans="1:19" x14ac:dyDescent="0.3">
      <c r="A214" t="s">
        <v>264</v>
      </c>
      <c r="B214" s="2">
        <v>45464</v>
      </c>
      <c r="C214" t="s">
        <v>82</v>
      </c>
      <c r="D214" t="s">
        <v>21</v>
      </c>
      <c r="E214" t="s">
        <v>56</v>
      </c>
      <c r="F214" t="s">
        <v>30</v>
      </c>
      <c r="G214" t="s">
        <v>31</v>
      </c>
      <c r="H214" t="s">
        <v>25</v>
      </c>
      <c r="I214">
        <v>1</v>
      </c>
      <c r="J214" s="5">
        <v>45388</v>
      </c>
      <c r="K214" s="5">
        <v>45388</v>
      </c>
      <c r="L214" s="5">
        <v>0</v>
      </c>
      <c r="M214" s="12">
        <v>0</v>
      </c>
      <c r="N214" s="5">
        <f t="shared" si="6"/>
        <v>45388</v>
      </c>
      <c r="O214" s="5">
        <v>25917.23</v>
      </c>
      <c r="P214" s="5">
        <f t="shared" si="7"/>
        <v>19470.77</v>
      </c>
      <c r="Q214" t="s">
        <v>241</v>
      </c>
      <c r="R214">
        <v>2024</v>
      </c>
      <c r="S214">
        <v>6</v>
      </c>
    </row>
    <row r="215" spans="1:19" x14ac:dyDescent="0.3">
      <c r="A215" s="19" t="s">
        <v>265</v>
      </c>
      <c r="B215" s="20">
        <v>45464</v>
      </c>
      <c r="C215" s="19" t="s">
        <v>50</v>
      </c>
      <c r="D215" s="19" t="s">
        <v>34</v>
      </c>
      <c r="E215" s="19" t="s">
        <v>22</v>
      </c>
      <c r="F215" s="19" t="s">
        <v>40</v>
      </c>
      <c r="G215" s="19" t="s">
        <v>31</v>
      </c>
      <c r="H215" s="19" t="s">
        <v>240</v>
      </c>
      <c r="I215" s="19">
        <v>5</v>
      </c>
      <c r="J215" s="21">
        <v>17409</v>
      </c>
      <c r="K215" s="21">
        <v>87045</v>
      </c>
      <c r="L215" s="21">
        <v>8704.5</v>
      </c>
      <c r="M215" s="15">
        <v>0.1</v>
      </c>
      <c r="N215" s="21">
        <f t="shared" si="6"/>
        <v>78340.5</v>
      </c>
      <c r="O215" s="21">
        <v>51610.62</v>
      </c>
      <c r="P215" s="21">
        <f t="shared" si="7"/>
        <v>26729.879999999997</v>
      </c>
      <c r="Q215" s="19" t="s">
        <v>241</v>
      </c>
      <c r="R215" s="19">
        <v>2024</v>
      </c>
      <c r="S215" s="19">
        <v>6</v>
      </c>
    </row>
    <row r="216" spans="1:19" x14ac:dyDescent="0.3">
      <c r="A216" t="s">
        <v>266</v>
      </c>
      <c r="B216" s="2">
        <v>45468</v>
      </c>
      <c r="C216" t="s">
        <v>75</v>
      </c>
      <c r="D216" t="s">
        <v>34</v>
      </c>
      <c r="E216" t="s">
        <v>42</v>
      </c>
      <c r="F216" t="s">
        <v>37</v>
      </c>
      <c r="G216" t="s">
        <v>24</v>
      </c>
      <c r="H216" t="s">
        <v>240</v>
      </c>
      <c r="I216">
        <v>1</v>
      </c>
      <c r="J216" s="5">
        <v>37069</v>
      </c>
      <c r="K216" s="5">
        <v>37069</v>
      </c>
      <c r="L216" s="5">
        <v>3706.9</v>
      </c>
      <c r="M216" s="12">
        <v>0.1</v>
      </c>
      <c r="N216" s="5">
        <f t="shared" si="6"/>
        <v>33362.1</v>
      </c>
      <c r="O216" s="5">
        <v>24633.43</v>
      </c>
      <c r="P216" s="5">
        <f t="shared" si="7"/>
        <v>8728.6699999999983</v>
      </c>
      <c r="Q216" t="s">
        <v>241</v>
      </c>
      <c r="R216">
        <v>2024</v>
      </c>
      <c r="S216">
        <v>6</v>
      </c>
    </row>
    <row r="217" spans="1:19" x14ac:dyDescent="0.3">
      <c r="A217" s="19" t="s">
        <v>267</v>
      </c>
      <c r="B217" s="20">
        <v>45468</v>
      </c>
      <c r="C217" s="19" t="s">
        <v>75</v>
      </c>
      <c r="D217" s="19" t="s">
        <v>34</v>
      </c>
      <c r="E217" s="19" t="s">
        <v>42</v>
      </c>
      <c r="F217" s="19" t="s">
        <v>40</v>
      </c>
      <c r="G217" s="19" t="s">
        <v>31</v>
      </c>
      <c r="H217" s="19" t="s">
        <v>25</v>
      </c>
      <c r="I217" s="19">
        <v>2</v>
      </c>
      <c r="J217" s="21">
        <v>37560</v>
      </c>
      <c r="K217" s="21">
        <v>75120</v>
      </c>
      <c r="L217" s="21">
        <v>0</v>
      </c>
      <c r="M217" s="15">
        <v>0</v>
      </c>
      <c r="N217" s="21">
        <f t="shared" si="6"/>
        <v>75120</v>
      </c>
      <c r="O217" s="21">
        <v>39283.78</v>
      </c>
      <c r="P217" s="21">
        <f t="shared" si="7"/>
        <v>35836.22</v>
      </c>
      <c r="Q217" s="19" t="s">
        <v>241</v>
      </c>
      <c r="R217" s="19">
        <v>2024</v>
      </c>
      <c r="S217" s="19">
        <v>6</v>
      </c>
    </row>
    <row r="218" spans="1:19" x14ac:dyDescent="0.3">
      <c r="A218" t="s">
        <v>268</v>
      </c>
      <c r="B218" s="2">
        <v>45468</v>
      </c>
      <c r="C218" t="s">
        <v>46</v>
      </c>
      <c r="D218" t="s">
        <v>21</v>
      </c>
      <c r="E218" t="s">
        <v>44</v>
      </c>
      <c r="F218" t="s">
        <v>40</v>
      </c>
      <c r="G218" t="s">
        <v>31</v>
      </c>
      <c r="H218" t="s">
        <v>240</v>
      </c>
      <c r="I218">
        <v>2</v>
      </c>
      <c r="J218" s="5">
        <v>12645</v>
      </c>
      <c r="K218" s="5">
        <v>25290</v>
      </c>
      <c r="L218" s="5">
        <v>1264.5</v>
      </c>
      <c r="M218" s="12">
        <v>0.05</v>
      </c>
      <c r="N218" s="5">
        <f t="shared" si="6"/>
        <v>24025.5</v>
      </c>
      <c r="O218" s="5">
        <v>14804.8</v>
      </c>
      <c r="P218" s="5">
        <f t="shared" si="7"/>
        <v>9220.7000000000007</v>
      </c>
      <c r="Q218" t="s">
        <v>241</v>
      </c>
      <c r="R218">
        <v>2024</v>
      </c>
      <c r="S218">
        <v>6</v>
      </c>
    </row>
    <row r="219" spans="1:19" x14ac:dyDescent="0.3">
      <c r="A219" s="19" t="s">
        <v>269</v>
      </c>
      <c r="B219" s="20">
        <v>45472</v>
      </c>
      <c r="C219" s="19" t="s">
        <v>75</v>
      </c>
      <c r="D219" s="19" t="s">
        <v>34</v>
      </c>
      <c r="E219" s="19" t="s">
        <v>42</v>
      </c>
      <c r="F219" s="19" t="s">
        <v>23</v>
      </c>
      <c r="G219" s="19" t="s">
        <v>31</v>
      </c>
      <c r="H219" s="19" t="s">
        <v>25</v>
      </c>
      <c r="I219" s="19">
        <v>3</v>
      </c>
      <c r="J219" s="21">
        <v>35474</v>
      </c>
      <c r="K219" s="21">
        <v>106422</v>
      </c>
      <c r="L219" s="21">
        <v>10642.2</v>
      </c>
      <c r="M219" s="15">
        <v>0.1</v>
      </c>
      <c r="N219" s="21">
        <f t="shared" si="6"/>
        <v>95779.8</v>
      </c>
      <c r="O219" s="21">
        <v>69833.539999999994</v>
      </c>
      <c r="P219" s="21">
        <f t="shared" si="7"/>
        <v>25946.260000000009</v>
      </c>
      <c r="Q219" s="19" t="s">
        <v>241</v>
      </c>
      <c r="R219" s="19">
        <v>2024</v>
      </c>
      <c r="S219" s="19">
        <v>6</v>
      </c>
    </row>
    <row r="220" spans="1:19" x14ac:dyDescent="0.3">
      <c r="A220" t="s">
        <v>270</v>
      </c>
      <c r="B220" s="2">
        <v>45473</v>
      </c>
      <c r="C220" t="s">
        <v>20</v>
      </c>
      <c r="D220" t="s">
        <v>21</v>
      </c>
      <c r="E220" t="s">
        <v>22</v>
      </c>
      <c r="F220" t="s">
        <v>37</v>
      </c>
      <c r="G220" t="s">
        <v>31</v>
      </c>
      <c r="H220" t="s">
        <v>25</v>
      </c>
      <c r="I220">
        <v>3</v>
      </c>
      <c r="J220" s="5">
        <v>15764</v>
      </c>
      <c r="K220" s="5">
        <v>47292</v>
      </c>
      <c r="L220" s="5">
        <v>0</v>
      </c>
      <c r="M220" s="12">
        <v>0</v>
      </c>
      <c r="N220" s="5">
        <f t="shared" si="6"/>
        <v>47292</v>
      </c>
      <c r="O220" s="5">
        <v>24517.81</v>
      </c>
      <c r="P220" s="5">
        <f t="shared" si="7"/>
        <v>22774.19</v>
      </c>
      <c r="Q220" t="s">
        <v>241</v>
      </c>
      <c r="R220">
        <v>2024</v>
      </c>
      <c r="S220">
        <v>6</v>
      </c>
    </row>
    <row r="221" spans="1:19" x14ac:dyDescent="0.3">
      <c r="A221" s="19" t="s">
        <v>271</v>
      </c>
      <c r="B221" s="20">
        <v>45474</v>
      </c>
      <c r="C221" s="19" t="s">
        <v>20</v>
      </c>
      <c r="D221" s="19" t="s">
        <v>21</v>
      </c>
      <c r="E221" s="19" t="s">
        <v>22</v>
      </c>
      <c r="F221" s="19" t="s">
        <v>30</v>
      </c>
      <c r="G221" s="19" t="s">
        <v>31</v>
      </c>
      <c r="H221" s="19" t="s">
        <v>240</v>
      </c>
      <c r="I221" s="19">
        <v>1</v>
      </c>
      <c r="J221" s="21">
        <v>14640</v>
      </c>
      <c r="K221" s="21">
        <v>14640</v>
      </c>
      <c r="L221" s="21">
        <v>2196</v>
      </c>
      <c r="M221" s="15">
        <v>0.15</v>
      </c>
      <c r="N221" s="21">
        <f t="shared" si="6"/>
        <v>12444</v>
      </c>
      <c r="O221" s="21">
        <v>8060.33</v>
      </c>
      <c r="P221" s="21">
        <f t="shared" si="7"/>
        <v>4383.67</v>
      </c>
      <c r="Q221" s="19" t="s">
        <v>272</v>
      </c>
      <c r="R221" s="19">
        <v>2024</v>
      </c>
      <c r="S221" s="19">
        <v>7</v>
      </c>
    </row>
    <row r="222" spans="1:19" x14ac:dyDescent="0.3">
      <c r="A222" t="s">
        <v>273</v>
      </c>
      <c r="B222" s="2">
        <v>45475</v>
      </c>
      <c r="C222" t="s">
        <v>46</v>
      </c>
      <c r="D222" t="s">
        <v>21</v>
      </c>
      <c r="E222" t="s">
        <v>56</v>
      </c>
      <c r="F222" t="s">
        <v>23</v>
      </c>
      <c r="G222" t="s">
        <v>31</v>
      </c>
      <c r="H222" t="s">
        <v>25</v>
      </c>
      <c r="I222">
        <v>2</v>
      </c>
      <c r="J222" s="5">
        <v>11869</v>
      </c>
      <c r="K222" s="5">
        <v>23738</v>
      </c>
      <c r="L222" s="5">
        <v>0</v>
      </c>
      <c r="M222" s="12">
        <v>0</v>
      </c>
      <c r="N222" s="5">
        <f t="shared" si="6"/>
        <v>23738</v>
      </c>
      <c r="O222" s="5">
        <v>14669.25</v>
      </c>
      <c r="P222" s="5">
        <f t="shared" si="7"/>
        <v>9068.75</v>
      </c>
      <c r="Q222" t="s">
        <v>272</v>
      </c>
      <c r="R222">
        <v>2024</v>
      </c>
      <c r="S222">
        <v>7</v>
      </c>
    </row>
    <row r="223" spans="1:19" x14ac:dyDescent="0.3">
      <c r="A223" s="19" t="s">
        <v>274</v>
      </c>
      <c r="B223" s="20">
        <v>45478</v>
      </c>
      <c r="C223" s="19" t="s">
        <v>46</v>
      </c>
      <c r="D223" s="19" t="s">
        <v>21</v>
      </c>
      <c r="E223" s="19" t="s">
        <v>44</v>
      </c>
      <c r="F223" s="19" t="s">
        <v>37</v>
      </c>
      <c r="G223" s="19" t="s">
        <v>24</v>
      </c>
      <c r="H223" s="19" t="s">
        <v>240</v>
      </c>
      <c r="I223" s="19">
        <v>3</v>
      </c>
      <c r="J223" s="21">
        <v>12040</v>
      </c>
      <c r="K223" s="21">
        <v>36120</v>
      </c>
      <c r="L223" s="21">
        <v>5418</v>
      </c>
      <c r="M223" s="15">
        <v>0.15</v>
      </c>
      <c r="N223" s="21">
        <f t="shared" si="6"/>
        <v>30702</v>
      </c>
      <c r="O223" s="21">
        <v>18244.57</v>
      </c>
      <c r="P223" s="21">
        <f t="shared" si="7"/>
        <v>12457.43</v>
      </c>
      <c r="Q223" s="19" t="s">
        <v>272</v>
      </c>
      <c r="R223" s="19">
        <v>2024</v>
      </c>
      <c r="S223" s="19">
        <v>7</v>
      </c>
    </row>
    <row r="224" spans="1:19" x14ac:dyDescent="0.3">
      <c r="A224" t="s">
        <v>275</v>
      </c>
      <c r="B224" s="2">
        <v>45478</v>
      </c>
      <c r="C224" t="s">
        <v>75</v>
      </c>
      <c r="D224" t="s">
        <v>34</v>
      </c>
      <c r="E224" t="s">
        <v>22</v>
      </c>
      <c r="F224" t="s">
        <v>40</v>
      </c>
      <c r="G224" t="s">
        <v>31</v>
      </c>
      <c r="H224" t="s">
        <v>240</v>
      </c>
      <c r="I224">
        <v>1</v>
      </c>
      <c r="J224" s="5">
        <v>40420</v>
      </c>
      <c r="K224" s="5">
        <v>40420</v>
      </c>
      <c r="L224" s="5">
        <v>4042</v>
      </c>
      <c r="M224" s="12">
        <v>0.1</v>
      </c>
      <c r="N224" s="5">
        <f t="shared" si="6"/>
        <v>36378</v>
      </c>
      <c r="O224" s="5">
        <v>23819.64</v>
      </c>
      <c r="P224" s="5">
        <f t="shared" si="7"/>
        <v>12558.36</v>
      </c>
      <c r="Q224" t="s">
        <v>272</v>
      </c>
      <c r="R224">
        <v>2024</v>
      </c>
      <c r="S224">
        <v>7</v>
      </c>
    </row>
    <row r="225" spans="1:19" x14ac:dyDescent="0.3">
      <c r="A225" s="19" t="s">
        <v>276</v>
      </c>
      <c r="B225" s="20">
        <v>45478</v>
      </c>
      <c r="C225" s="19" t="s">
        <v>28</v>
      </c>
      <c r="D225" s="19" t="s">
        <v>29</v>
      </c>
      <c r="E225" s="19" t="s">
        <v>42</v>
      </c>
      <c r="F225" s="19" t="s">
        <v>37</v>
      </c>
      <c r="G225" s="19" t="s">
        <v>31</v>
      </c>
      <c r="H225" s="19" t="s">
        <v>240</v>
      </c>
      <c r="I225" s="19">
        <v>5</v>
      </c>
      <c r="J225" s="21">
        <v>67053</v>
      </c>
      <c r="K225" s="21">
        <v>335265</v>
      </c>
      <c r="L225" s="21">
        <v>16763.25</v>
      </c>
      <c r="M225" s="15">
        <v>0.05</v>
      </c>
      <c r="N225" s="21">
        <f t="shared" si="6"/>
        <v>318501.75</v>
      </c>
      <c r="O225" s="21">
        <v>162645.92000000001</v>
      </c>
      <c r="P225" s="21">
        <f t="shared" si="7"/>
        <v>155855.82999999999</v>
      </c>
      <c r="Q225" s="19" t="s">
        <v>272</v>
      </c>
      <c r="R225" s="19">
        <v>2024</v>
      </c>
      <c r="S225" s="19">
        <v>7</v>
      </c>
    </row>
    <row r="226" spans="1:19" x14ac:dyDescent="0.3">
      <c r="A226" t="s">
        <v>277</v>
      </c>
      <c r="B226" s="2">
        <v>45479</v>
      </c>
      <c r="C226" t="s">
        <v>50</v>
      </c>
      <c r="D226" t="s">
        <v>34</v>
      </c>
      <c r="E226" t="s">
        <v>22</v>
      </c>
      <c r="F226" t="s">
        <v>37</v>
      </c>
      <c r="G226" t="s">
        <v>31</v>
      </c>
      <c r="H226" t="s">
        <v>25</v>
      </c>
      <c r="I226">
        <v>1</v>
      </c>
      <c r="J226" s="5">
        <v>17549</v>
      </c>
      <c r="K226" s="5">
        <v>17549</v>
      </c>
      <c r="L226" s="5">
        <v>0</v>
      </c>
      <c r="M226" s="12">
        <v>0</v>
      </c>
      <c r="N226" s="5">
        <f t="shared" si="6"/>
        <v>17549</v>
      </c>
      <c r="O226" s="5">
        <v>11094.87</v>
      </c>
      <c r="P226" s="5">
        <f t="shared" si="7"/>
        <v>6454.1299999999992</v>
      </c>
      <c r="Q226" t="s">
        <v>272</v>
      </c>
      <c r="R226">
        <v>2024</v>
      </c>
      <c r="S226">
        <v>7</v>
      </c>
    </row>
    <row r="227" spans="1:19" x14ac:dyDescent="0.3">
      <c r="A227" s="19" t="s">
        <v>278</v>
      </c>
      <c r="B227" s="20">
        <v>45479</v>
      </c>
      <c r="C227" s="19" t="s">
        <v>20</v>
      </c>
      <c r="D227" s="19" t="s">
        <v>21</v>
      </c>
      <c r="E227" s="19" t="s">
        <v>42</v>
      </c>
      <c r="F227" s="19" t="s">
        <v>40</v>
      </c>
      <c r="G227" s="19" t="s">
        <v>31</v>
      </c>
      <c r="H227" s="19" t="s">
        <v>240</v>
      </c>
      <c r="I227" s="19">
        <v>2</v>
      </c>
      <c r="J227" s="21">
        <v>16129</v>
      </c>
      <c r="K227" s="21">
        <v>32258</v>
      </c>
      <c r="L227" s="21">
        <v>6451.6</v>
      </c>
      <c r="M227" s="15">
        <v>0.2</v>
      </c>
      <c r="N227" s="21">
        <f t="shared" si="6"/>
        <v>25806.400000000001</v>
      </c>
      <c r="O227" s="21">
        <v>20540.88</v>
      </c>
      <c r="P227" s="21">
        <f t="shared" si="7"/>
        <v>5265.52</v>
      </c>
      <c r="Q227" s="19" t="s">
        <v>272</v>
      </c>
      <c r="R227" s="19">
        <v>2024</v>
      </c>
      <c r="S227" s="19">
        <v>7</v>
      </c>
    </row>
    <row r="228" spans="1:19" x14ac:dyDescent="0.3">
      <c r="A228" t="s">
        <v>279</v>
      </c>
      <c r="B228" s="2">
        <v>45481</v>
      </c>
      <c r="C228" t="s">
        <v>46</v>
      </c>
      <c r="D228" t="s">
        <v>21</v>
      </c>
      <c r="E228" t="s">
        <v>22</v>
      </c>
      <c r="F228" t="s">
        <v>35</v>
      </c>
      <c r="G228" t="s">
        <v>24</v>
      </c>
      <c r="H228" t="s">
        <v>25</v>
      </c>
      <c r="I228">
        <v>2</v>
      </c>
      <c r="J228" s="5">
        <v>11568</v>
      </c>
      <c r="K228" s="5">
        <v>23136</v>
      </c>
      <c r="L228" s="5">
        <v>0</v>
      </c>
      <c r="M228" s="12">
        <v>0</v>
      </c>
      <c r="N228" s="5">
        <f t="shared" si="6"/>
        <v>23136</v>
      </c>
      <c r="O228" s="5">
        <v>14756.07</v>
      </c>
      <c r="P228" s="5">
        <f t="shared" si="7"/>
        <v>8379.93</v>
      </c>
      <c r="Q228" t="s">
        <v>272</v>
      </c>
      <c r="R228">
        <v>2024</v>
      </c>
      <c r="S228">
        <v>7</v>
      </c>
    </row>
    <row r="229" spans="1:19" x14ac:dyDescent="0.3">
      <c r="A229" s="19" t="s">
        <v>280</v>
      </c>
      <c r="B229" s="20">
        <v>45481</v>
      </c>
      <c r="C229" s="19" t="s">
        <v>20</v>
      </c>
      <c r="D229" s="19" t="s">
        <v>21</v>
      </c>
      <c r="E229" s="19" t="s">
        <v>44</v>
      </c>
      <c r="F229" s="19" t="s">
        <v>37</v>
      </c>
      <c r="G229" s="19" t="s">
        <v>24</v>
      </c>
      <c r="H229" s="19" t="s">
        <v>25</v>
      </c>
      <c r="I229" s="19">
        <v>2</v>
      </c>
      <c r="J229" s="21">
        <v>14129</v>
      </c>
      <c r="K229" s="21">
        <v>28258</v>
      </c>
      <c r="L229" s="21">
        <v>0</v>
      </c>
      <c r="M229" s="15">
        <v>0</v>
      </c>
      <c r="N229" s="21">
        <f t="shared" si="6"/>
        <v>28258</v>
      </c>
      <c r="O229" s="21">
        <v>15552.81</v>
      </c>
      <c r="P229" s="21">
        <f t="shared" si="7"/>
        <v>12705.19</v>
      </c>
      <c r="Q229" s="19" t="s">
        <v>272</v>
      </c>
      <c r="R229" s="19">
        <v>2024</v>
      </c>
      <c r="S229" s="19">
        <v>7</v>
      </c>
    </row>
    <row r="230" spans="1:19" x14ac:dyDescent="0.3">
      <c r="A230" t="s">
        <v>281</v>
      </c>
      <c r="B230" s="2">
        <v>45481</v>
      </c>
      <c r="C230" t="s">
        <v>28</v>
      </c>
      <c r="D230" t="s">
        <v>29</v>
      </c>
      <c r="E230" t="s">
        <v>44</v>
      </c>
      <c r="F230" t="s">
        <v>37</v>
      </c>
      <c r="G230" t="s">
        <v>31</v>
      </c>
      <c r="H230" t="s">
        <v>25</v>
      </c>
      <c r="I230">
        <v>2</v>
      </c>
      <c r="J230" s="5">
        <v>63536</v>
      </c>
      <c r="K230" s="5">
        <v>127072</v>
      </c>
      <c r="L230" s="5">
        <v>0</v>
      </c>
      <c r="M230" s="12">
        <v>0</v>
      </c>
      <c r="N230" s="5">
        <f t="shared" si="6"/>
        <v>127072</v>
      </c>
      <c r="O230" s="5">
        <v>65150.42</v>
      </c>
      <c r="P230" s="5">
        <f t="shared" si="7"/>
        <v>61921.58</v>
      </c>
      <c r="Q230" t="s">
        <v>272</v>
      </c>
      <c r="R230">
        <v>2024</v>
      </c>
      <c r="S230">
        <v>7</v>
      </c>
    </row>
    <row r="231" spans="1:19" x14ac:dyDescent="0.3">
      <c r="A231" s="19" t="s">
        <v>282</v>
      </c>
      <c r="B231" s="20">
        <v>45482</v>
      </c>
      <c r="C231" s="19" t="s">
        <v>48</v>
      </c>
      <c r="D231" s="19" t="s">
        <v>34</v>
      </c>
      <c r="E231" s="19" t="s">
        <v>42</v>
      </c>
      <c r="F231" s="19" t="s">
        <v>40</v>
      </c>
      <c r="G231" s="19" t="s">
        <v>31</v>
      </c>
      <c r="H231" s="19" t="s">
        <v>240</v>
      </c>
      <c r="I231" s="19">
        <v>5</v>
      </c>
      <c r="J231" s="21">
        <v>26871</v>
      </c>
      <c r="K231" s="21">
        <v>134355</v>
      </c>
      <c r="L231" s="21">
        <v>20153.25</v>
      </c>
      <c r="M231" s="15">
        <v>0.15</v>
      </c>
      <c r="N231" s="21">
        <f t="shared" si="6"/>
        <v>114201.75</v>
      </c>
      <c r="O231" s="21">
        <v>71970.44</v>
      </c>
      <c r="P231" s="21">
        <f t="shared" si="7"/>
        <v>42231.31</v>
      </c>
      <c r="Q231" s="19" t="s">
        <v>272</v>
      </c>
      <c r="R231" s="19">
        <v>2024</v>
      </c>
      <c r="S231" s="19">
        <v>7</v>
      </c>
    </row>
    <row r="232" spans="1:19" x14ac:dyDescent="0.3">
      <c r="A232" t="s">
        <v>283</v>
      </c>
      <c r="B232" s="2">
        <v>45483</v>
      </c>
      <c r="C232" t="s">
        <v>20</v>
      </c>
      <c r="D232" t="s">
        <v>21</v>
      </c>
      <c r="E232" t="s">
        <v>42</v>
      </c>
      <c r="F232" t="s">
        <v>37</v>
      </c>
      <c r="G232" t="s">
        <v>31</v>
      </c>
      <c r="H232" t="s">
        <v>25</v>
      </c>
      <c r="I232">
        <v>2</v>
      </c>
      <c r="J232" s="5">
        <v>15749</v>
      </c>
      <c r="K232" s="5">
        <v>31498</v>
      </c>
      <c r="L232" s="5">
        <v>0</v>
      </c>
      <c r="M232" s="12">
        <v>0</v>
      </c>
      <c r="N232" s="5">
        <f t="shared" si="6"/>
        <v>31498</v>
      </c>
      <c r="O232" s="5">
        <v>15821.37</v>
      </c>
      <c r="P232" s="5">
        <f t="shared" si="7"/>
        <v>15676.63</v>
      </c>
      <c r="Q232" t="s">
        <v>272</v>
      </c>
      <c r="R232">
        <v>2024</v>
      </c>
      <c r="S232">
        <v>7</v>
      </c>
    </row>
    <row r="233" spans="1:19" x14ac:dyDescent="0.3">
      <c r="A233" s="19" t="s">
        <v>284</v>
      </c>
      <c r="B233" s="20">
        <v>45485</v>
      </c>
      <c r="C233" s="19" t="s">
        <v>33</v>
      </c>
      <c r="D233" s="19" t="s">
        <v>34</v>
      </c>
      <c r="E233" s="19" t="s">
        <v>56</v>
      </c>
      <c r="F233" s="19" t="s">
        <v>30</v>
      </c>
      <c r="G233" s="19" t="s">
        <v>31</v>
      </c>
      <c r="H233" s="19" t="s">
        <v>25</v>
      </c>
      <c r="I233" s="19">
        <v>3</v>
      </c>
      <c r="J233" s="21">
        <v>39325</v>
      </c>
      <c r="K233" s="21">
        <v>117975</v>
      </c>
      <c r="L233" s="21">
        <v>11797.5</v>
      </c>
      <c r="M233" s="15">
        <v>0.1</v>
      </c>
      <c r="N233" s="21">
        <f t="shared" si="6"/>
        <v>106177.5</v>
      </c>
      <c r="O233" s="21">
        <v>58101.45</v>
      </c>
      <c r="P233" s="21">
        <f t="shared" si="7"/>
        <v>48076.05</v>
      </c>
      <c r="Q233" s="19" t="s">
        <v>272</v>
      </c>
      <c r="R233" s="19">
        <v>2024</v>
      </c>
      <c r="S233" s="19">
        <v>7</v>
      </c>
    </row>
    <row r="234" spans="1:19" x14ac:dyDescent="0.3">
      <c r="A234" t="s">
        <v>285</v>
      </c>
      <c r="B234" s="2">
        <v>45485</v>
      </c>
      <c r="C234" t="s">
        <v>50</v>
      </c>
      <c r="D234" t="s">
        <v>34</v>
      </c>
      <c r="E234" t="s">
        <v>42</v>
      </c>
      <c r="F234" t="s">
        <v>40</v>
      </c>
      <c r="G234" t="s">
        <v>31</v>
      </c>
      <c r="H234" t="s">
        <v>240</v>
      </c>
      <c r="I234">
        <v>1</v>
      </c>
      <c r="J234" s="5">
        <v>18210</v>
      </c>
      <c r="K234" s="5">
        <v>18210</v>
      </c>
      <c r="L234" s="5">
        <v>1821</v>
      </c>
      <c r="M234" s="12">
        <v>0.1</v>
      </c>
      <c r="N234" s="5">
        <f t="shared" si="6"/>
        <v>16389</v>
      </c>
      <c r="O234" s="5">
        <v>11091.15</v>
      </c>
      <c r="P234" s="5">
        <f t="shared" si="7"/>
        <v>5297.85</v>
      </c>
      <c r="Q234" t="s">
        <v>272</v>
      </c>
      <c r="R234">
        <v>2024</v>
      </c>
      <c r="S234">
        <v>7</v>
      </c>
    </row>
    <row r="235" spans="1:19" x14ac:dyDescent="0.3">
      <c r="A235" s="19" t="s">
        <v>286</v>
      </c>
      <c r="B235" s="20">
        <v>45487</v>
      </c>
      <c r="C235" s="19" t="s">
        <v>46</v>
      </c>
      <c r="D235" s="19" t="s">
        <v>21</v>
      </c>
      <c r="E235" s="19" t="s">
        <v>42</v>
      </c>
      <c r="F235" s="19" t="s">
        <v>35</v>
      </c>
      <c r="G235" s="19" t="s">
        <v>31</v>
      </c>
      <c r="H235" s="19" t="s">
        <v>240</v>
      </c>
      <c r="I235" s="19">
        <v>1</v>
      </c>
      <c r="J235" s="21">
        <v>12782</v>
      </c>
      <c r="K235" s="21">
        <v>12782</v>
      </c>
      <c r="L235" s="21">
        <v>1278.2</v>
      </c>
      <c r="M235" s="15">
        <v>0.1</v>
      </c>
      <c r="N235" s="21">
        <f t="shared" si="6"/>
        <v>11503.8</v>
      </c>
      <c r="O235" s="21">
        <v>7389.14</v>
      </c>
      <c r="P235" s="21">
        <f t="shared" si="7"/>
        <v>4114.6599999999989</v>
      </c>
      <c r="Q235" s="19" t="s">
        <v>272</v>
      </c>
      <c r="R235" s="19">
        <v>2024</v>
      </c>
      <c r="S235" s="19">
        <v>7</v>
      </c>
    </row>
    <row r="236" spans="1:19" x14ac:dyDescent="0.3">
      <c r="A236" t="s">
        <v>287</v>
      </c>
      <c r="B236" s="2">
        <v>45489</v>
      </c>
      <c r="C236" t="s">
        <v>20</v>
      </c>
      <c r="D236" t="s">
        <v>21</v>
      </c>
      <c r="E236" t="s">
        <v>22</v>
      </c>
      <c r="F236" t="s">
        <v>35</v>
      </c>
      <c r="G236" t="s">
        <v>31</v>
      </c>
      <c r="H236" t="s">
        <v>240</v>
      </c>
      <c r="I236">
        <v>2</v>
      </c>
      <c r="J236" s="5">
        <v>15741</v>
      </c>
      <c r="K236" s="5">
        <v>31482</v>
      </c>
      <c r="L236" s="5">
        <v>3148.2</v>
      </c>
      <c r="M236" s="12">
        <v>0.1</v>
      </c>
      <c r="N236" s="5">
        <f t="shared" si="6"/>
        <v>28333.8</v>
      </c>
      <c r="O236" s="5">
        <v>17988.97</v>
      </c>
      <c r="P236" s="5">
        <f t="shared" si="7"/>
        <v>10344.829999999998</v>
      </c>
      <c r="Q236" t="s">
        <v>272</v>
      </c>
      <c r="R236">
        <v>2024</v>
      </c>
      <c r="S236">
        <v>7</v>
      </c>
    </row>
    <row r="237" spans="1:19" x14ac:dyDescent="0.3">
      <c r="A237" s="19" t="s">
        <v>288</v>
      </c>
      <c r="B237" s="20">
        <v>45489</v>
      </c>
      <c r="C237" s="19" t="s">
        <v>46</v>
      </c>
      <c r="D237" s="19" t="s">
        <v>21</v>
      </c>
      <c r="E237" s="19" t="s">
        <v>56</v>
      </c>
      <c r="F237" s="19" t="s">
        <v>40</v>
      </c>
      <c r="G237" s="19" t="s">
        <v>24</v>
      </c>
      <c r="H237" s="19" t="s">
        <v>25</v>
      </c>
      <c r="I237" s="19">
        <v>1</v>
      </c>
      <c r="J237" s="21">
        <v>11397</v>
      </c>
      <c r="K237" s="21">
        <v>11397</v>
      </c>
      <c r="L237" s="21">
        <v>0</v>
      </c>
      <c r="M237" s="15">
        <v>0</v>
      </c>
      <c r="N237" s="21">
        <f t="shared" si="6"/>
        <v>11397</v>
      </c>
      <c r="O237" s="21">
        <v>6418.33</v>
      </c>
      <c r="P237" s="21">
        <f t="shared" si="7"/>
        <v>4978.67</v>
      </c>
      <c r="Q237" s="19" t="s">
        <v>272</v>
      </c>
      <c r="R237" s="19">
        <v>2024</v>
      </c>
      <c r="S237" s="19">
        <v>7</v>
      </c>
    </row>
    <row r="238" spans="1:19" x14ac:dyDescent="0.3">
      <c r="A238" t="s">
        <v>289</v>
      </c>
      <c r="B238" s="2">
        <v>45492</v>
      </c>
      <c r="C238" t="s">
        <v>46</v>
      </c>
      <c r="D238" t="s">
        <v>21</v>
      </c>
      <c r="E238" t="s">
        <v>42</v>
      </c>
      <c r="F238" t="s">
        <v>40</v>
      </c>
      <c r="G238" t="s">
        <v>24</v>
      </c>
      <c r="H238" t="s">
        <v>25</v>
      </c>
      <c r="I238">
        <v>1</v>
      </c>
      <c r="J238" s="5">
        <v>12635</v>
      </c>
      <c r="K238" s="5">
        <v>12635</v>
      </c>
      <c r="L238" s="5">
        <v>0</v>
      </c>
      <c r="M238" s="12">
        <v>0</v>
      </c>
      <c r="N238" s="5">
        <f t="shared" si="6"/>
        <v>12635</v>
      </c>
      <c r="O238" s="5">
        <v>7062.43</v>
      </c>
      <c r="P238" s="5">
        <f t="shared" si="7"/>
        <v>5572.57</v>
      </c>
      <c r="Q238" t="s">
        <v>272</v>
      </c>
      <c r="R238">
        <v>2024</v>
      </c>
      <c r="S238">
        <v>7</v>
      </c>
    </row>
    <row r="239" spans="1:19" x14ac:dyDescent="0.3">
      <c r="A239" s="19" t="s">
        <v>290</v>
      </c>
      <c r="B239" s="20">
        <v>45492</v>
      </c>
      <c r="C239" s="19" t="s">
        <v>64</v>
      </c>
      <c r="D239" s="19" t="s">
        <v>29</v>
      </c>
      <c r="E239" s="19" t="s">
        <v>22</v>
      </c>
      <c r="F239" s="19" t="s">
        <v>40</v>
      </c>
      <c r="G239" s="19" t="s">
        <v>24</v>
      </c>
      <c r="H239" s="19" t="s">
        <v>240</v>
      </c>
      <c r="I239" s="19">
        <v>2</v>
      </c>
      <c r="J239" s="21">
        <v>31641</v>
      </c>
      <c r="K239" s="21">
        <v>63282</v>
      </c>
      <c r="L239" s="21">
        <v>9492.2999999999993</v>
      </c>
      <c r="M239" s="15">
        <v>0.15</v>
      </c>
      <c r="N239" s="21">
        <f t="shared" si="6"/>
        <v>53789.7</v>
      </c>
      <c r="O239" s="21">
        <v>40533.93</v>
      </c>
      <c r="P239" s="21">
        <f t="shared" si="7"/>
        <v>13255.769999999997</v>
      </c>
      <c r="Q239" s="19" t="s">
        <v>272</v>
      </c>
      <c r="R239" s="19">
        <v>2024</v>
      </c>
      <c r="S239" s="19">
        <v>7</v>
      </c>
    </row>
    <row r="240" spans="1:19" x14ac:dyDescent="0.3">
      <c r="A240" t="s">
        <v>291</v>
      </c>
      <c r="B240" s="2">
        <v>45493</v>
      </c>
      <c r="C240" t="s">
        <v>82</v>
      </c>
      <c r="D240" t="s">
        <v>21</v>
      </c>
      <c r="E240" t="s">
        <v>42</v>
      </c>
      <c r="F240" t="s">
        <v>23</v>
      </c>
      <c r="G240" t="s">
        <v>31</v>
      </c>
      <c r="H240" t="s">
        <v>25</v>
      </c>
      <c r="I240">
        <v>2</v>
      </c>
      <c r="J240" s="5">
        <v>44259</v>
      </c>
      <c r="K240" s="5">
        <v>88518</v>
      </c>
      <c r="L240" s="5">
        <v>0</v>
      </c>
      <c r="M240" s="12">
        <v>0</v>
      </c>
      <c r="N240" s="5">
        <f t="shared" si="6"/>
        <v>88518</v>
      </c>
      <c r="O240" s="5">
        <v>53605.62</v>
      </c>
      <c r="P240" s="5">
        <f t="shared" si="7"/>
        <v>34912.379999999997</v>
      </c>
      <c r="Q240" t="s">
        <v>272</v>
      </c>
      <c r="R240">
        <v>2024</v>
      </c>
      <c r="S240">
        <v>7</v>
      </c>
    </row>
    <row r="241" spans="1:19" x14ac:dyDescent="0.3">
      <c r="A241" s="19" t="s">
        <v>292</v>
      </c>
      <c r="B241" s="20">
        <v>45493</v>
      </c>
      <c r="C241" s="19" t="s">
        <v>64</v>
      </c>
      <c r="D241" s="19" t="s">
        <v>29</v>
      </c>
      <c r="E241" s="19" t="s">
        <v>44</v>
      </c>
      <c r="F241" s="19" t="s">
        <v>30</v>
      </c>
      <c r="G241" s="19" t="s">
        <v>31</v>
      </c>
      <c r="H241" s="19" t="s">
        <v>240</v>
      </c>
      <c r="I241" s="19">
        <v>2</v>
      </c>
      <c r="J241" s="21">
        <v>30024</v>
      </c>
      <c r="K241" s="21">
        <v>60048</v>
      </c>
      <c r="L241" s="21">
        <v>9007.2000000000007</v>
      </c>
      <c r="M241" s="15">
        <v>0.15</v>
      </c>
      <c r="N241" s="21">
        <f t="shared" si="6"/>
        <v>51040.800000000003</v>
      </c>
      <c r="O241" s="21">
        <v>30491.89</v>
      </c>
      <c r="P241" s="21">
        <f t="shared" si="7"/>
        <v>20548.910000000003</v>
      </c>
      <c r="Q241" s="19" t="s">
        <v>272</v>
      </c>
      <c r="R241" s="19">
        <v>2024</v>
      </c>
      <c r="S241" s="19">
        <v>7</v>
      </c>
    </row>
    <row r="242" spans="1:19" x14ac:dyDescent="0.3">
      <c r="A242" t="s">
        <v>293</v>
      </c>
      <c r="B242" s="2">
        <v>45494</v>
      </c>
      <c r="C242" t="s">
        <v>46</v>
      </c>
      <c r="D242" t="s">
        <v>21</v>
      </c>
      <c r="E242" t="s">
        <v>56</v>
      </c>
      <c r="F242" t="s">
        <v>40</v>
      </c>
      <c r="G242" t="s">
        <v>31</v>
      </c>
      <c r="H242" t="s">
        <v>240</v>
      </c>
      <c r="I242">
        <v>1</v>
      </c>
      <c r="J242" s="5">
        <v>11370</v>
      </c>
      <c r="K242" s="5">
        <v>11370</v>
      </c>
      <c r="L242" s="5">
        <v>568.5</v>
      </c>
      <c r="M242" s="12">
        <v>0.05</v>
      </c>
      <c r="N242" s="5">
        <f t="shared" si="6"/>
        <v>10801.5</v>
      </c>
      <c r="O242" s="5">
        <v>6618.52</v>
      </c>
      <c r="P242" s="5">
        <f t="shared" si="7"/>
        <v>4182.9799999999996</v>
      </c>
      <c r="Q242" t="s">
        <v>272</v>
      </c>
      <c r="R242">
        <v>2024</v>
      </c>
      <c r="S242">
        <v>7</v>
      </c>
    </row>
    <row r="243" spans="1:19" x14ac:dyDescent="0.3">
      <c r="A243" s="19" t="s">
        <v>294</v>
      </c>
      <c r="B243" s="20">
        <v>45494</v>
      </c>
      <c r="C243" s="19" t="s">
        <v>82</v>
      </c>
      <c r="D243" s="19" t="s">
        <v>21</v>
      </c>
      <c r="E243" s="19" t="s">
        <v>44</v>
      </c>
      <c r="F243" s="19" t="s">
        <v>37</v>
      </c>
      <c r="G243" s="19" t="s">
        <v>24</v>
      </c>
      <c r="H243" s="19" t="s">
        <v>25</v>
      </c>
      <c r="I243" s="19">
        <v>2</v>
      </c>
      <c r="J243" s="21">
        <v>44734</v>
      </c>
      <c r="K243" s="21">
        <v>89468</v>
      </c>
      <c r="L243" s="21">
        <v>0</v>
      </c>
      <c r="M243" s="15">
        <v>0</v>
      </c>
      <c r="N243" s="21">
        <f t="shared" si="6"/>
        <v>89468</v>
      </c>
      <c r="O243" s="21">
        <v>48369.87</v>
      </c>
      <c r="P243" s="21">
        <f t="shared" si="7"/>
        <v>41098.129999999997</v>
      </c>
      <c r="Q243" s="19" t="s">
        <v>272</v>
      </c>
      <c r="R243" s="19">
        <v>2024</v>
      </c>
      <c r="S243" s="19">
        <v>7</v>
      </c>
    </row>
    <row r="244" spans="1:19" x14ac:dyDescent="0.3">
      <c r="A244" t="s">
        <v>295</v>
      </c>
      <c r="B244" s="2">
        <v>45496</v>
      </c>
      <c r="C244" t="s">
        <v>33</v>
      </c>
      <c r="D244" t="s">
        <v>34</v>
      </c>
      <c r="E244" t="s">
        <v>44</v>
      </c>
      <c r="F244" t="s">
        <v>35</v>
      </c>
      <c r="G244" t="s">
        <v>24</v>
      </c>
      <c r="H244" t="s">
        <v>25</v>
      </c>
      <c r="I244">
        <v>1</v>
      </c>
      <c r="J244" s="5">
        <v>44023</v>
      </c>
      <c r="K244" s="5">
        <v>44023</v>
      </c>
      <c r="L244" s="5">
        <v>0</v>
      </c>
      <c r="M244" s="12">
        <v>0</v>
      </c>
      <c r="N244" s="5">
        <f t="shared" si="6"/>
        <v>44023</v>
      </c>
      <c r="O244" s="5">
        <v>29084.55</v>
      </c>
      <c r="P244" s="5">
        <f t="shared" si="7"/>
        <v>14938.45</v>
      </c>
      <c r="Q244" t="s">
        <v>272</v>
      </c>
      <c r="R244">
        <v>2024</v>
      </c>
      <c r="S244">
        <v>7</v>
      </c>
    </row>
    <row r="245" spans="1:19" x14ac:dyDescent="0.3">
      <c r="A245" s="19" t="s">
        <v>296</v>
      </c>
      <c r="B245" s="20">
        <v>45497</v>
      </c>
      <c r="C245" s="19" t="s">
        <v>33</v>
      </c>
      <c r="D245" s="19" t="s">
        <v>34</v>
      </c>
      <c r="E245" s="19" t="s">
        <v>22</v>
      </c>
      <c r="F245" s="19" t="s">
        <v>35</v>
      </c>
      <c r="G245" s="19" t="s">
        <v>31</v>
      </c>
      <c r="H245" s="19" t="s">
        <v>240</v>
      </c>
      <c r="I245" s="19">
        <v>3</v>
      </c>
      <c r="J245" s="21">
        <v>40932</v>
      </c>
      <c r="K245" s="21">
        <v>122796</v>
      </c>
      <c r="L245" s="21">
        <v>6139.8</v>
      </c>
      <c r="M245" s="15">
        <v>0.05</v>
      </c>
      <c r="N245" s="21">
        <f t="shared" si="6"/>
        <v>116656.2</v>
      </c>
      <c r="O245" s="21">
        <v>73756.67</v>
      </c>
      <c r="P245" s="21">
        <f t="shared" si="7"/>
        <v>42899.53</v>
      </c>
      <c r="Q245" s="19" t="s">
        <v>272</v>
      </c>
      <c r="R245" s="19">
        <v>2024</v>
      </c>
      <c r="S245" s="19">
        <v>7</v>
      </c>
    </row>
    <row r="246" spans="1:19" x14ac:dyDescent="0.3">
      <c r="A246" t="s">
        <v>297</v>
      </c>
      <c r="B246" s="2">
        <v>45498</v>
      </c>
      <c r="C246" t="s">
        <v>48</v>
      </c>
      <c r="D246" t="s">
        <v>34</v>
      </c>
      <c r="E246" t="s">
        <v>56</v>
      </c>
      <c r="F246" t="s">
        <v>40</v>
      </c>
      <c r="G246" t="s">
        <v>24</v>
      </c>
      <c r="H246" t="s">
        <v>240</v>
      </c>
      <c r="I246">
        <v>2</v>
      </c>
      <c r="J246" s="5">
        <v>23290</v>
      </c>
      <c r="K246" s="5">
        <v>46580</v>
      </c>
      <c r="L246" s="5">
        <v>9316</v>
      </c>
      <c r="M246" s="12">
        <v>0.2</v>
      </c>
      <c r="N246" s="5">
        <f t="shared" si="6"/>
        <v>37264</v>
      </c>
      <c r="O246" s="5">
        <v>25529.38</v>
      </c>
      <c r="P246" s="5">
        <f t="shared" si="7"/>
        <v>11734.619999999999</v>
      </c>
      <c r="Q246" t="s">
        <v>272</v>
      </c>
      <c r="R246">
        <v>2024</v>
      </c>
      <c r="S246">
        <v>7</v>
      </c>
    </row>
    <row r="247" spans="1:19" x14ac:dyDescent="0.3">
      <c r="A247" s="19" t="s">
        <v>298</v>
      </c>
      <c r="B247" s="20">
        <v>45499</v>
      </c>
      <c r="C247" s="19" t="s">
        <v>82</v>
      </c>
      <c r="D247" s="19" t="s">
        <v>21</v>
      </c>
      <c r="E247" s="19" t="s">
        <v>22</v>
      </c>
      <c r="F247" s="19" t="s">
        <v>40</v>
      </c>
      <c r="G247" s="19" t="s">
        <v>31</v>
      </c>
      <c r="H247" s="19" t="s">
        <v>25</v>
      </c>
      <c r="I247" s="19">
        <v>2</v>
      </c>
      <c r="J247" s="21">
        <v>41515</v>
      </c>
      <c r="K247" s="21">
        <v>83030</v>
      </c>
      <c r="L247" s="21">
        <v>0</v>
      </c>
      <c r="M247" s="15">
        <v>0</v>
      </c>
      <c r="N247" s="21">
        <f t="shared" si="6"/>
        <v>83030</v>
      </c>
      <c r="O247" s="21">
        <v>41919.9</v>
      </c>
      <c r="P247" s="21">
        <f t="shared" si="7"/>
        <v>41110.1</v>
      </c>
      <c r="Q247" s="19" t="s">
        <v>272</v>
      </c>
      <c r="R247" s="19">
        <v>2024</v>
      </c>
      <c r="S247" s="19">
        <v>7</v>
      </c>
    </row>
    <row r="248" spans="1:19" x14ac:dyDescent="0.3">
      <c r="A248" t="s">
        <v>299</v>
      </c>
      <c r="B248" s="2">
        <v>45505</v>
      </c>
      <c r="C248" t="s">
        <v>50</v>
      </c>
      <c r="D248" t="s">
        <v>34</v>
      </c>
      <c r="E248" t="s">
        <v>44</v>
      </c>
      <c r="F248" t="s">
        <v>40</v>
      </c>
      <c r="G248" t="s">
        <v>31</v>
      </c>
      <c r="H248" t="s">
        <v>25</v>
      </c>
      <c r="I248">
        <v>2</v>
      </c>
      <c r="J248" s="5">
        <v>18848</v>
      </c>
      <c r="K248" s="5">
        <v>37696</v>
      </c>
      <c r="L248" s="5">
        <v>0</v>
      </c>
      <c r="M248" s="12">
        <v>0</v>
      </c>
      <c r="N248" s="5">
        <f t="shared" si="6"/>
        <v>37696</v>
      </c>
      <c r="O248" s="5">
        <v>19381.54</v>
      </c>
      <c r="P248" s="5">
        <f t="shared" si="7"/>
        <v>18314.46</v>
      </c>
      <c r="Q248" t="s">
        <v>300</v>
      </c>
      <c r="R248">
        <v>2024</v>
      </c>
      <c r="S248">
        <v>8</v>
      </c>
    </row>
    <row r="249" spans="1:19" x14ac:dyDescent="0.3">
      <c r="A249" s="19" t="s">
        <v>301</v>
      </c>
      <c r="B249" s="20">
        <v>45506</v>
      </c>
      <c r="C249" s="19" t="s">
        <v>75</v>
      </c>
      <c r="D249" s="19" t="s">
        <v>34</v>
      </c>
      <c r="E249" s="19" t="s">
        <v>42</v>
      </c>
      <c r="F249" s="19" t="s">
        <v>40</v>
      </c>
      <c r="G249" s="19" t="s">
        <v>31</v>
      </c>
      <c r="H249" s="19" t="s">
        <v>25</v>
      </c>
      <c r="I249" s="19">
        <v>3</v>
      </c>
      <c r="J249" s="21">
        <v>38479</v>
      </c>
      <c r="K249" s="21">
        <v>115437</v>
      </c>
      <c r="L249" s="21">
        <v>17315.55</v>
      </c>
      <c r="M249" s="15">
        <v>0.15</v>
      </c>
      <c r="N249" s="21">
        <f t="shared" si="6"/>
        <v>98121.45</v>
      </c>
      <c r="O249" s="21">
        <v>68748.179999999993</v>
      </c>
      <c r="P249" s="21">
        <f t="shared" si="7"/>
        <v>29373.270000000004</v>
      </c>
      <c r="Q249" s="19" t="s">
        <v>300</v>
      </c>
      <c r="R249" s="19">
        <v>2024</v>
      </c>
      <c r="S249" s="19">
        <v>8</v>
      </c>
    </row>
    <row r="250" spans="1:19" x14ac:dyDescent="0.3">
      <c r="A250" t="s">
        <v>302</v>
      </c>
      <c r="B250" s="2">
        <v>45507</v>
      </c>
      <c r="C250" t="s">
        <v>71</v>
      </c>
      <c r="D250" t="s">
        <v>34</v>
      </c>
      <c r="E250" t="s">
        <v>56</v>
      </c>
      <c r="F250" t="s">
        <v>37</v>
      </c>
      <c r="G250" t="s">
        <v>24</v>
      </c>
      <c r="H250" t="s">
        <v>25</v>
      </c>
      <c r="I250">
        <v>1</v>
      </c>
      <c r="J250" s="5">
        <v>46602</v>
      </c>
      <c r="K250" s="5">
        <v>46602</v>
      </c>
      <c r="L250" s="5">
        <v>0</v>
      </c>
      <c r="M250" s="12">
        <v>0</v>
      </c>
      <c r="N250" s="5">
        <f t="shared" si="6"/>
        <v>46602</v>
      </c>
      <c r="O250" s="5">
        <v>24194.26</v>
      </c>
      <c r="P250" s="5">
        <f t="shared" si="7"/>
        <v>22407.74</v>
      </c>
      <c r="Q250" t="s">
        <v>300</v>
      </c>
      <c r="R250">
        <v>2024</v>
      </c>
      <c r="S250">
        <v>8</v>
      </c>
    </row>
    <row r="251" spans="1:19" x14ac:dyDescent="0.3">
      <c r="A251" s="19" t="s">
        <v>303</v>
      </c>
      <c r="B251" s="20">
        <v>45507</v>
      </c>
      <c r="C251" s="19" t="s">
        <v>64</v>
      </c>
      <c r="D251" s="19" t="s">
        <v>29</v>
      </c>
      <c r="E251" s="19" t="s">
        <v>44</v>
      </c>
      <c r="F251" s="19" t="s">
        <v>35</v>
      </c>
      <c r="G251" s="19" t="s">
        <v>31</v>
      </c>
      <c r="H251" s="19" t="s">
        <v>25</v>
      </c>
      <c r="I251" s="19">
        <v>2</v>
      </c>
      <c r="J251" s="21">
        <v>32129</v>
      </c>
      <c r="K251" s="21">
        <v>64258</v>
      </c>
      <c r="L251" s="21">
        <v>6425.8</v>
      </c>
      <c r="M251" s="15">
        <v>0.1</v>
      </c>
      <c r="N251" s="21">
        <f t="shared" si="6"/>
        <v>57832.2</v>
      </c>
      <c r="O251" s="21">
        <v>37309.07</v>
      </c>
      <c r="P251" s="21">
        <f t="shared" si="7"/>
        <v>20523.129999999997</v>
      </c>
      <c r="Q251" s="19" t="s">
        <v>300</v>
      </c>
      <c r="R251" s="19">
        <v>2024</v>
      </c>
      <c r="S251" s="19">
        <v>8</v>
      </c>
    </row>
    <row r="252" spans="1:19" x14ac:dyDescent="0.3">
      <c r="A252" t="s">
        <v>304</v>
      </c>
      <c r="B252" s="2">
        <v>45507</v>
      </c>
      <c r="C252" t="s">
        <v>33</v>
      </c>
      <c r="D252" t="s">
        <v>34</v>
      </c>
      <c r="E252" t="s">
        <v>42</v>
      </c>
      <c r="F252" t="s">
        <v>35</v>
      </c>
      <c r="G252" t="s">
        <v>31</v>
      </c>
      <c r="H252" t="s">
        <v>25</v>
      </c>
      <c r="I252">
        <v>2</v>
      </c>
      <c r="J252" s="5">
        <v>40236</v>
      </c>
      <c r="K252" s="5">
        <v>80472</v>
      </c>
      <c r="L252" s="5">
        <v>0</v>
      </c>
      <c r="M252" s="12">
        <v>0</v>
      </c>
      <c r="N252" s="5">
        <f t="shared" si="6"/>
        <v>80472</v>
      </c>
      <c r="O252" s="5">
        <v>53415.75</v>
      </c>
      <c r="P252" s="5">
        <f t="shared" si="7"/>
        <v>27056.25</v>
      </c>
      <c r="Q252" t="s">
        <v>300</v>
      </c>
      <c r="R252">
        <v>2024</v>
      </c>
      <c r="S252">
        <v>8</v>
      </c>
    </row>
    <row r="253" spans="1:19" x14ac:dyDescent="0.3">
      <c r="A253" s="19" t="s">
        <v>305</v>
      </c>
      <c r="B253" s="20">
        <v>45508</v>
      </c>
      <c r="C253" s="19" t="s">
        <v>75</v>
      </c>
      <c r="D253" s="19" t="s">
        <v>34</v>
      </c>
      <c r="E253" s="19" t="s">
        <v>56</v>
      </c>
      <c r="F253" s="19" t="s">
        <v>40</v>
      </c>
      <c r="G253" s="19" t="s">
        <v>24</v>
      </c>
      <c r="H253" s="19" t="s">
        <v>25</v>
      </c>
      <c r="I253" s="19">
        <v>2</v>
      </c>
      <c r="J253" s="21">
        <v>35007</v>
      </c>
      <c r="K253" s="21">
        <v>70014</v>
      </c>
      <c r="L253" s="21">
        <v>0</v>
      </c>
      <c r="M253" s="15">
        <v>0</v>
      </c>
      <c r="N253" s="21">
        <f t="shared" si="6"/>
        <v>70014</v>
      </c>
      <c r="O253" s="21">
        <v>47420.31</v>
      </c>
      <c r="P253" s="21">
        <f t="shared" si="7"/>
        <v>22593.690000000002</v>
      </c>
      <c r="Q253" s="19" t="s">
        <v>300</v>
      </c>
      <c r="R253" s="19">
        <v>2024</v>
      </c>
      <c r="S253" s="19">
        <v>8</v>
      </c>
    </row>
    <row r="254" spans="1:19" x14ac:dyDescent="0.3">
      <c r="A254" t="s">
        <v>306</v>
      </c>
      <c r="B254" s="2">
        <v>45508</v>
      </c>
      <c r="C254" t="s">
        <v>48</v>
      </c>
      <c r="D254" t="s">
        <v>34</v>
      </c>
      <c r="E254" t="s">
        <v>42</v>
      </c>
      <c r="F254" t="s">
        <v>30</v>
      </c>
      <c r="G254" t="s">
        <v>31</v>
      </c>
      <c r="H254" t="s">
        <v>25</v>
      </c>
      <c r="I254">
        <v>2</v>
      </c>
      <c r="J254" s="5">
        <v>26580</v>
      </c>
      <c r="K254" s="5">
        <v>53160</v>
      </c>
      <c r="L254" s="5">
        <v>0</v>
      </c>
      <c r="M254" s="12">
        <v>0</v>
      </c>
      <c r="N254" s="5">
        <f t="shared" si="6"/>
        <v>53160</v>
      </c>
      <c r="O254" s="5">
        <v>32044.14</v>
      </c>
      <c r="P254" s="5">
        <f t="shared" si="7"/>
        <v>21115.86</v>
      </c>
      <c r="Q254" t="s">
        <v>300</v>
      </c>
      <c r="R254">
        <v>2024</v>
      </c>
      <c r="S254">
        <v>8</v>
      </c>
    </row>
    <row r="255" spans="1:19" x14ac:dyDescent="0.3">
      <c r="A255" s="19" t="s">
        <v>307</v>
      </c>
      <c r="B255" s="20">
        <v>45508</v>
      </c>
      <c r="C255" s="19" t="s">
        <v>50</v>
      </c>
      <c r="D255" s="19" t="s">
        <v>34</v>
      </c>
      <c r="E255" s="19" t="s">
        <v>44</v>
      </c>
      <c r="F255" s="19" t="s">
        <v>37</v>
      </c>
      <c r="G255" s="19" t="s">
        <v>24</v>
      </c>
      <c r="H255" s="19" t="s">
        <v>25</v>
      </c>
      <c r="I255" s="19">
        <v>1</v>
      </c>
      <c r="J255" s="21">
        <v>16915</v>
      </c>
      <c r="K255" s="21">
        <v>16915</v>
      </c>
      <c r="L255" s="21">
        <v>0</v>
      </c>
      <c r="M255" s="15">
        <v>0</v>
      </c>
      <c r="N255" s="21">
        <f t="shared" si="6"/>
        <v>16915</v>
      </c>
      <c r="O255" s="21">
        <v>8122.39</v>
      </c>
      <c r="P255" s="21">
        <f t="shared" si="7"/>
        <v>8792.61</v>
      </c>
      <c r="Q255" s="19" t="s">
        <v>300</v>
      </c>
      <c r="R255" s="19">
        <v>2024</v>
      </c>
      <c r="S255" s="19">
        <v>8</v>
      </c>
    </row>
    <row r="256" spans="1:19" x14ac:dyDescent="0.3">
      <c r="A256" t="s">
        <v>308</v>
      </c>
      <c r="B256" s="2">
        <v>45509</v>
      </c>
      <c r="C256" t="s">
        <v>64</v>
      </c>
      <c r="D256" t="s">
        <v>29</v>
      </c>
      <c r="E256" t="s">
        <v>44</v>
      </c>
      <c r="F256" t="s">
        <v>23</v>
      </c>
      <c r="G256" t="s">
        <v>31</v>
      </c>
      <c r="H256" t="s">
        <v>25</v>
      </c>
      <c r="I256">
        <v>1</v>
      </c>
      <c r="J256" s="5">
        <v>32285</v>
      </c>
      <c r="K256" s="5">
        <v>32285</v>
      </c>
      <c r="L256" s="5">
        <v>0</v>
      </c>
      <c r="M256" s="12">
        <v>0</v>
      </c>
      <c r="N256" s="5">
        <f t="shared" si="6"/>
        <v>32285</v>
      </c>
      <c r="O256" s="5">
        <v>18442.009999999998</v>
      </c>
      <c r="P256" s="5">
        <f t="shared" si="7"/>
        <v>13842.990000000002</v>
      </c>
      <c r="Q256" t="s">
        <v>300</v>
      </c>
      <c r="R256">
        <v>2024</v>
      </c>
      <c r="S256">
        <v>8</v>
      </c>
    </row>
    <row r="257" spans="1:19" x14ac:dyDescent="0.3">
      <c r="A257" s="19" t="s">
        <v>309</v>
      </c>
      <c r="B257" s="20">
        <v>45509</v>
      </c>
      <c r="C257" s="19" t="s">
        <v>71</v>
      </c>
      <c r="D257" s="19" t="s">
        <v>34</v>
      </c>
      <c r="E257" s="19" t="s">
        <v>22</v>
      </c>
      <c r="F257" s="19" t="s">
        <v>23</v>
      </c>
      <c r="G257" s="19" t="s">
        <v>31</v>
      </c>
      <c r="H257" s="19" t="s">
        <v>25</v>
      </c>
      <c r="I257" s="19">
        <v>2</v>
      </c>
      <c r="J257" s="21">
        <v>46775</v>
      </c>
      <c r="K257" s="21">
        <v>93550</v>
      </c>
      <c r="L257" s="21">
        <v>0</v>
      </c>
      <c r="M257" s="15">
        <v>0</v>
      </c>
      <c r="N257" s="21">
        <f t="shared" si="6"/>
        <v>93550</v>
      </c>
      <c r="O257" s="21">
        <v>59825.49</v>
      </c>
      <c r="P257" s="21">
        <f t="shared" si="7"/>
        <v>33724.51</v>
      </c>
      <c r="Q257" s="19" t="s">
        <v>300</v>
      </c>
      <c r="R257" s="19">
        <v>2024</v>
      </c>
      <c r="S257" s="19">
        <v>8</v>
      </c>
    </row>
    <row r="258" spans="1:19" x14ac:dyDescent="0.3">
      <c r="A258" t="s">
        <v>310</v>
      </c>
      <c r="B258" s="2">
        <v>45509</v>
      </c>
      <c r="C258" t="s">
        <v>48</v>
      </c>
      <c r="D258" t="s">
        <v>34</v>
      </c>
      <c r="E258" t="s">
        <v>42</v>
      </c>
      <c r="F258" t="s">
        <v>23</v>
      </c>
      <c r="G258" t="s">
        <v>31</v>
      </c>
      <c r="H258" t="s">
        <v>25</v>
      </c>
      <c r="I258">
        <v>1</v>
      </c>
      <c r="J258" s="5">
        <v>24010</v>
      </c>
      <c r="K258" s="5">
        <v>24010</v>
      </c>
      <c r="L258" s="5">
        <v>0</v>
      </c>
      <c r="M258" s="12">
        <v>0</v>
      </c>
      <c r="N258" s="5">
        <f t="shared" si="6"/>
        <v>24010</v>
      </c>
      <c r="O258" s="5">
        <v>14570.18</v>
      </c>
      <c r="P258" s="5">
        <f t="shared" si="7"/>
        <v>9439.82</v>
      </c>
      <c r="Q258" t="s">
        <v>300</v>
      </c>
      <c r="R258">
        <v>2024</v>
      </c>
      <c r="S258">
        <v>8</v>
      </c>
    </row>
    <row r="259" spans="1:19" x14ac:dyDescent="0.3">
      <c r="A259" s="19" t="s">
        <v>311</v>
      </c>
      <c r="B259" s="20">
        <v>45511</v>
      </c>
      <c r="C259" s="19" t="s">
        <v>64</v>
      </c>
      <c r="D259" s="19" t="s">
        <v>29</v>
      </c>
      <c r="E259" s="19" t="s">
        <v>22</v>
      </c>
      <c r="F259" s="19" t="s">
        <v>23</v>
      </c>
      <c r="G259" s="19" t="s">
        <v>24</v>
      </c>
      <c r="H259" s="19" t="s">
        <v>25</v>
      </c>
      <c r="I259" s="19">
        <v>1</v>
      </c>
      <c r="J259" s="21">
        <v>29321</v>
      </c>
      <c r="K259" s="21">
        <v>29321</v>
      </c>
      <c r="L259" s="21">
        <v>0</v>
      </c>
      <c r="M259" s="15">
        <v>0</v>
      </c>
      <c r="N259" s="21">
        <f t="shared" ref="N259:N322" si="8">K259-L259</f>
        <v>29321</v>
      </c>
      <c r="O259" s="21">
        <v>15708.78</v>
      </c>
      <c r="P259" s="21">
        <f t="shared" si="7"/>
        <v>13612.22</v>
      </c>
      <c r="Q259" s="19" t="s">
        <v>300</v>
      </c>
      <c r="R259" s="19">
        <v>2024</v>
      </c>
      <c r="S259" s="19">
        <v>8</v>
      </c>
    </row>
    <row r="260" spans="1:19" x14ac:dyDescent="0.3">
      <c r="A260" t="s">
        <v>312</v>
      </c>
      <c r="B260" s="2">
        <v>45515</v>
      </c>
      <c r="C260" t="s">
        <v>33</v>
      </c>
      <c r="D260" t="s">
        <v>34</v>
      </c>
      <c r="E260" t="s">
        <v>22</v>
      </c>
      <c r="F260" t="s">
        <v>37</v>
      </c>
      <c r="G260" t="s">
        <v>24</v>
      </c>
      <c r="H260" t="s">
        <v>25</v>
      </c>
      <c r="I260">
        <v>1</v>
      </c>
      <c r="J260" s="5">
        <v>44612</v>
      </c>
      <c r="K260" s="5">
        <v>44612</v>
      </c>
      <c r="L260" s="5">
        <v>0</v>
      </c>
      <c r="M260" s="12">
        <v>0</v>
      </c>
      <c r="N260" s="5">
        <f t="shared" si="8"/>
        <v>44612</v>
      </c>
      <c r="O260" s="5">
        <v>25429.41</v>
      </c>
      <c r="P260" s="5">
        <f t="shared" ref="P260:P323" si="9">N260-O260</f>
        <v>19182.59</v>
      </c>
      <c r="Q260" t="s">
        <v>300</v>
      </c>
      <c r="R260">
        <v>2024</v>
      </c>
      <c r="S260">
        <v>8</v>
      </c>
    </row>
    <row r="261" spans="1:19" x14ac:dyDescent="0.3">
      <c r="A261" s="19" t="s">
        <v>313</v>
      </c>
      <c r="B261" s="20">
        <v>45516</v>
      </c>
      <c r="C261" s="19" t="s">
        <v>82</v>
      </c>
      <c r="D261" s="19" t="s">
        <v>21</v>
      </c>
      <c r="E261" s="19" t="s">
        <v>56</v>
      </c>
      <c r="F261" s="19" t="s">
        <v>37</v>
      </c>
      <c r="G261" s="19" t="s">
        <v>24</v>
      </c>
      <c r="H261" s="19" t="s">
        <v>25</v>
      </c>
      <c r="I261" s="19">
        <v>2</v>
      </c>
      <c r="J261" s="21">
        <v>48250</v>
      </c>
      <c r="K261" s="21">
        <v>96500</v>
      </c>
      <c r="L261" s="21">
        <v>0</v>
      </c>
      <c r="M261" s="15">
        <v>0</v>
      </c>
      <c r="N261" s="21">
        <f t="shared" si="8"/>
        <v>96500</v>
      </c>
      <c r="O261" s="21">
        <v>61329.23</v>
      </c>
      <c r="P261" s="21">
        <f t="shared" si="9"/>
        <v>35170.769999999997</v>
      </c>
      <c r="Q261" s="19" t="s">
        <v>300</v>
      </c>
      <c r="R261" s="19">
        <v>2024</v>
      </c>
      <c r="S261" s="19">
        <v>8</v>
      </c>
    </row>
    <row r="262" spans="1:19" x14ac:dyDescent="0.3">
      <c r="A262" t="s">
        <v>314</v>
      </c>
      <c r="B262" s="2">
        <v>45517</v>
      </c>
      <c r="C262" t="s">
        <v>48</v>
      </c>
      <c r="D262" t="s">
        <v>34</v>
      </c>
      <c r="E262" t="s">
        <v>42</v>
      </c>
      <c r="F262" t="s">
        <v>23</v>
      </c>
      <c r="G262" t="s">
        <v>31</v>
      </c>
      <c r="H262" t="s">
        <v>25</v>
      </c>
      <c r="I262">
        <v>2</v>
      </c>
      <c r="J262" s="5">
        <v>23266</v>
      </c>
      <c r="K262" s="5">
        <v>46532</v>
      </c>
      <c r="L262" s="5">
        <v>0</v>
      </c>
      <c r="M262" s="12">
        <v>0</v>
      </c>
      <c r="N262" s="5">
        <f t="shared" si="8"/>
        <v>46532</v>
      </c>
      <c r="O262" s="5">
        <v>23025.01</v>
      </c>
      <c r="P262" s="5">
        <f t="shared" si="9"/>
        <v>23506.99</v>
      </c>
      <c r="Q262" t="s">
        <v>300</v>
      </c>
      <c r="R262">
        <v>2024</v>
      </c>
      <c r="S262">
        <v>8</v>
      </c>
    </row>
    <row r="263" spans="1:19" x14ac:dyDescent="0.3">
      <c r="A263" s="19" t="s">
        <v>315</v>
      </c>
      <c r="B263" s="20">
        <v>45517</v>
      </c>
      <c r="C263" s="19" t="s">
        <v>64</v>
      </c>
      <c r="D263" s="19" t="s">
        <v>29</v>
      </c>
      <c r="E263" s="19" t="s">
        <v>42</v>
      </c>
      <c r="F263" s="19" t="s">
        <v>23</v>
      </c>
      <c r="G263" s="19" t="s">
        <v>31</v>
      </c>
      <c r="H263" s="19" t="s">
        <v>25</v>
      </c>
      <c r="I263" s="19">
        <v>2</v>
      </c>
      <c r="J263" s="21">
        <v>30011</v>
      </c>
      <c r="K263" s="21">
        <v>60022</v>
      </c>
      <c r="L263" s="21">
        <v>0</v>
      </c>
      <c r="M263" s="15">
        <v>0</v>
      </c>
      <c r="N263" s="21">
        <f t="shared" si="8"/>
        <v>60022</v>
      </c>
      <c r="O263" s="21">
        <v>37898.03</v>
      </c>
      <c r="P263" s="21">
        <f t="shared" si="9"/>
        <v>22123.97</v>
      </c>
      <c r="Q263" s="19" t="s">
        <v>300</v>
      </c>
      <c r="R263" s="19">
        <v>2024</v>
      </c>
      <c r="S263" s="19">
        <v>8</v>
      </c>
    </row>
    <row r="264" spans="1:19" x14ac:dyDescent="0.3">
      <c r="A264" t="s">
        <v>316</v>
      </c>
      <c r="B264" s="2">
        <v>45517</v>
      </c>
      <c r="C264" t="s">
        <v>50</v>
      </c>
      <c r="D264" t="s">
        <v>34</v>
      </c>
      <c r="E264" t="s">
        <v>56</v>
      </c>
      <c r="F264" t="s">
        <v>40</v>
      </c>
      <c r="G264" t="s">
        <v>24</v>
      </c>
      <c r="H264" t="s">
        <v>25</v>
      </c>
      <c r="I264">
        <v>4</v>
      </c>
      <c r="J264" s="5">
        <v>17895</v>
      </c>
      <c r="K264" s="5">
        <v>71580</v>
      </c>
      <c r="L264" s="5">
        <v>0</v>
      </c>
      <c r="M264" s="12">
        <v>0</v>
      </c>
      <c r="N264" s="5">
        <f t="shared" si="8"/>
        <v>71580</v>
      </c>
      <c r="O264" s="5">
        <v>36492.85</v>
      </c>
      <c r="P264" s="5">
        <f t="shared" si="9"/>
        <v>35087.15</v>
      </c>
      <c r="Q264" t="s">
        <v>300</v>
      </c>
      <c r="R264">
        <v>2024</v>
      </c>
      <c r="S264">
        <v>8</v>
      </c>
    </row>
    <row r="265" spans="1:19" x14ac:dyDescent="0.3">
      <c r="A265" s="19" t="s">
        <v>317</v>
      </c>
      <c r="B265" s="20">
        <v>45519</v>
      </c>
      <c r="C265" s="19" t="s">
        <v>46</v>
      </c>
      <c r="D265" s="19" t="s">
        <v>21</v>
      </c>
      <c r="E265" s="19" t="s">
        <v>22</v>
      </c>
      <c r="F265" s="19" t="s">
        <v>40</v>
      </c>
      <c r="G265" s="19" t="s">
        <v>24</v>
      </c>
      <c r="H265" s="19" t="s">
        <v>25</v>
      </c>
      <c r="I265" s="19">
        <v>3</v>
      </c>
      <c r="J265" s="21">
        <v>11726</v>
      </c>
      <c r="K265" s="21">
        <v>35178</v>
      </c>
      <c r="L265" s="21">
        <v>0</v>
      </c>
      <c r="M265" s="15">
        <v>0</v>
      </c>
      <c r="N265" s="21">
        <f t="shared" si="8"/>
        <v>35178</v>
      </c>
      <c r="O265" s="21">
        <v>21407.94</v>
      </c>
      <c r="P265" s="21">
        <f t="shared" si="9"/>
        <v>13770.060000000001</v>
      </c>
      <c r="Q265" s="19" t="s">
        <v>300</v>
      </c>
      <c r="R265" s="19">
        <v>2024</v>
      </c>
      <c r="S265" s="19">
        <v>8</v>
      </c>
    </row>
    <row r="266" spans="1:19" x14ac:dyDescent="0.3">
      <c r="A266" t="s">
        <v>318</v>
      </c>
      <c r="B266" s="2">
        <v>45519</v>
      </c>
      <c r="C266" t="s">
        <v>82</v>
      </c>
      <c r="D266" t="s">
        <v>21</v>
      </c>
      <c r="E266" t="s">
        <v>22</v>
      </c>
      <c r="F266" t="s">
        <v>40</v>
      </c>
      <c r="G266" t="s">
        <v>31</v>
      </c>
      <c r="H266" t="s">
        <v>25</v>
      </c>
      <c r="I266">
        <v>5</v>
      </c>
      <c r="J266" s="5">
        <v>41920</v>
      </c>
      <c r="K266" s="5">
        <v>209600</v>
      </c>
      <c r="L266" s="5">
        <v>0</v>
      </c>
      <c r="M266" s="12">
        <v>0</v>
      </c>
      <c r="N266" s="5">
        <f t="shared" si="8"/>
        <v>209600</v>
      </c>
      <c r="O266" s="5">
        <v>113260.91</v>
      </c>
      <c r="P266" s="5">
        <f t="shared" si="9"/>
        <v>96339.09</v>
      </c>
      <c r="Q266" t="s">
        <v>300</v>
      </c>
      <c r="R266">
        <v>2024</v>
      </c>
      <c r="S266">
        <v>8</v>
      </c>
    </row>
    <row r="267" spans="1:19" x14ac:dyDescent="0.3">
      <c r="A267" s="19" t="s">
        <v>319</v>
      </c>
      <c r="B267" s="20">
        <v>45520</v>
      </c>
      <c r="C267" s="19" t="s">
        <v>48</v>
      </c>
      <c r="D267" s="19" t="s">
        <v>34</v>
      </c>
      <c r="E267" s="19" t="s">
        <v>56</v>
      </c>
      <c r="F267" s="19" t="s">
        <v>40</v>
      </c>
      <c r="G267" s="19" t="s">
        <v>31</v>
      </c>
      <c r="H267" s="19" t="s">
        <v>25</v>
      </c>
      <c r="I267" s="19">
        <v>2</v>
      </c>
      <c r="J267" s="21">
        <v>23375</v>
      </c>
      <c r="K267" s="21">
        <v>46750</v>
      </c>
      <c r="L267" s="21">
        <v>0</v>
      </c>
      <c r="M267" s="15">
        <v>0</v>
      </c>
      <c r="N267" s="21">
        <f t="shared" si="8"/>
        <v>46750</v>
      </c>
      <c r="O267" s="21">
        <v>27715.22</v>
      </c>
      <c r="P267" s="21">
        <f t="shared" si="9"/>
        <v>19034.78</v>
      </c>
      <c r="Q267" s="19" t="s">
        <v>300</v>
      </c>
      <c r="R267" s="19">
        <v>2024</v>
      </c>
      <c r="S267" s="19">
        <v>8</v>
      </c>
    </row>
    <row r="268" spans="1:19" x14ac:dyDescent="0.3">
      <c r="A268" t="s">
        <v>320</v>
      </c>
      <c r="B268" s="2">
        <v>45521</v>
      </c>
      <c r="C268" t="s">
        <v>50</v>
      </c>
      <c r="D268" t="s">
        <v>34</v>
      </c>
      <c r="E268" t="s">
        <v>22</v>
      </c>
      <c r="F268" t="s">
        <v>30</v>
      </c>
      <c r="G268" t="s">
        <v>31</v>
      </c>
      <c r="H268" t="s">
        <v>25</v>
      </c>
      <c r="I268">
        <v>5</v>
      </c>
      <c r="J268" s="5">
        <v>16889</v>
      </c>
      <c r="K268" s="5">
        <v>84445</v>
      </c>
      <c r="L268" s="5">
        <v>0</v>
      </c>
      <c r="M268" s="12">
        <v>0</v>
      </c>
      <c r="N268" s="5">
        <f t="shared" si="8"/>
        <v>84445</v>
      </c>
      <c r="O268" s="5">
        <v>51999.5</v>
      </c>
      <c r="P268" s="5">
        <f t="shared" si="9"/>
        <v>32445.5</v>
      </c>
      <c r="Q268" t="s">
        <v>300</v>
      </c>
      <c r="R268">
        <v>2024</v>
      </c>
      <c r="S268">
        <v>8</v>
      </c>
    </row>
    <row r="269" spans="1:19" x14ac:dyDescent="0.3">
      <c r="A269" s="19" t="s">
        <v>321</v>
      </c>
      <c r="B269" s="20">
        <v>45522</v>
      </c>
      <c r="C269" s="19" t="s">
        <v>48</v>
      </c>
      <c r="D269" s="19" t="s">
        <v>34</v>
      </c>
      <c r="E269" s="19" t="s">
        <v>44</v>
      </c>
      <c r="F269" s="19" t="s">
        <v>35</v>
      </c>
      <c r="G269" s="19" t="s">
        <v>31</v>
      </c>
      <c r="H269" s="19" t="s">
        <v>25</v>
      </c>
      <c r="I269" s="19">
        <v>2</v>
      </c>
      <c r="J269" s="21">
        <v>24738</v>
      </c>
      <c r="K269" s="21">
        <v>49476</v>
      </c>
      <c r="L269" s="21">
        <v>0</v>
      </c>
      <c r="M269" s="15">
        <v>0</v>
      </c>
      <c r="N269" s="21">
        <f t="shared" si="8"/>
        <v>49476</v>
      </c>
      <c r="O269" s="21">
        <v>29704.63</v>
      </c>
      <c r="P269" s="21">
        <f t="shared" si="9"/>
        <v>19771.37</v>
      </c>
      <c r="Q269" s="19" t="s">
        <v>300</v>
      </c>
      <c r="R269" s="19">
        <v>2024</v>
      </c>
      <c r="S269" s="19">
        <v>8</v>
      </c>
    </row>
    <row r="270" spans="1:19" x14ac:dyDescent="0.3">
      <c r="A270" t="s">
        <v>322</v>
      </c>
      <c r="B270" s="2">
        <v>45522</v>
      </c>
      <c r="C270" t="s">
        <v>75</v>
      </c>
      <c r="D270" t="s">
        <v>34</v>
      </c>
      <c r="E270" t="s">
        <v>22</v>
      </c>
      <c r="F270" t="s">
        <v>23</v>
      </c>
      <c r="G270" t="s">
        <v>31</v>
      </c>
      <c r="H270" t="s">
        <v>25</v>
      </c>
      <c r="I270">
        <v>1</v>
      </c>
      <c r="J270" s="5">
        <v>35281</v>
      </c>
      <c r="K270" s="5">
        <v>35281</v>
      </c>
      <c r="L270" s="5">
        <v>0</v>
      </c>
      <c r="M270" s="12">
        <v>0</v>
      </c>
      <c r="N270" s="5">
        <f t="shared" si="8"/>
        <v>35281</v>
      </c>
      <c r="O270" s="5">
        <v>21164.15</v>
      </c>
      <c r="P270" s="5">
        <f t="shared" si="9"/>
        <v>14116.849999999999</v>
      </c>
      <c r="Q270" t="s">
        <v>300</v>
      </c>
      <c r="R270">
        <v>2024</v>
      </c>
      <c r="S270">
        <v>8</v>
      </c>
    </row>
    <row r="271" spans="1:19" x14ac:dyDescent="0.3">
      <c r="A271" s="19" t="s">
        <v>323</v>
      </c>
      <c r="B271" s="20">
        <v>45524</v>
      </c>
      <c r="C271" s="19" t="s">
        <v>50</v>
      </c>
      <c r="D271" s="19" t="s">
        <v>34</v>
      </c>
      <c r="E271" s="19" t="s">
        <v>22</v>
      </c>
      <c r="F271" s="19" t="s">
        <v>30</v>
      </c>
      <c r="G271" s="19" t="s">
        <v>24</v>
      </c>
      <c r="H271" s="19" t="s">
        <v>25</v>
      </c>
      <c r="I271" s="19">
        <v>4</v>
      </c>
      <c r="J271" s="21">
        <v>16861</v>
      </c>
      <c r="K271" s="21">
        <v>67444</v>
      </c>
      <c r="L271" s="21">
        <v>0</v>
      </c>
      <c r="M271" s="15">
        <v>0</v>
      </c>
      <c r="N271" s="21">
        <f t="shared" si="8"/>
        <v>67444</v>
      </c>
      <c r="O271" s="21">
        <v>39886.47</v>
      </c>
      <c r="P271" s="21">
        <f t="shared" si="9"/>
        <v>27557.53</v>
      </c>
      <c r="Q271" s="19" t="s">
        <v>300</v>
      </c>
      <c r="R271" s="19">
        <v>2024</v>
      </c>
      <c r="S271" s="19">
        <v>8</v>
      </c>
    </row>
    <row r="272" spans="1:19" x14ac:dyDescent="0.3">
      <c r="A272" t="s">
        <v>324</v>
      </c>
      <c r="B272" s="2">
        <v>45524</v>
      </c>
      <c r="C272" t="s">
        <v>71</v>
      </c>
      <c r="D272" t="s">
        <v>34</v>
      </c>
      <c r="E272" t="s">
        <v>42</v>
      </c>
      <c r="F272" t="s">
        <v>23</v>
      </c>
      <c r="G272" t="s">
        <v>31</v>
      </c>
      <c r="H272" t="s">
        <v>25</v>
      </c>
      <c r="I272">
        <v>2</v>
      </c>
      <c r="J272" s="5">
        <v>52018</v>
      </c>
      <c r="K272" s="5">
        <v>104036</v>
      </c>
      <c r="L272" s="5">
        <v>0</v>
      </c>
      <c r="M272" s="12">
        <v>0</v>
      </c>
      <c r="N272" s="5">
        <f t="shared" si="8"/>
        <v>104036</v>
      </c>
      <c r="O272" s="5">
        <v>61467.09</v>
      </c>
      <c r="P272" s="5">
        <f t="shared" si="9"/>
        <v>42568.91</v>
      </c>
      <c r="Q272" t="s">
        <v>300</v>
      </c>
      <c r="R272">
        <v>2024</v>
      </c>
      <c r="S272">
        <v>8</v>
      </c>
    </row>
    <row r="273" spans="1:19" x14ac:dyDescent="0.3">
      <c r="A273" s="19" t="s">
        <v>325</v>
      </c>
      <c r="B273" s="20">
        <v>45526</v>
      </c>
      <c r="C273" s="19" t="s">
        <v>48</v>
      </c>
      <c r="D273" s="19" t="s">
        <v>34</v>
      </c>
      <c r="E273" s="19" t="s">
        <v>56</v>
      </c>
      <c r="F273" s="19" t="s">
        <v>30</v>
      </c>
      <c r="G273" s="19" t="s">
        <v>31</v>
      </c>
      <c r="H273" s="19" t="s">
        <v>25</v>
      </c>
      <c r="I273" s="19">
        <v>1</v>
      </c>
      <c r="J273" s="21">
        <v>24841</v>
      </c>
      <c r="K273" s="21">
        <v>24841</v>
      </c>
      <c r="L273" s="21">
        <v>0</v>
      </c>
      <c r="M273" s="15">
        <v>0</v>
      </c>
      <c r="N273" s="21">
        <f t="shared" si="8"/>
        <v>24841</v>
      </c>
      <c r="O273" s="21">
        <v>16810.96</v>
      </c>
      <c r="P273" s="21">
        <f t="shared" si="9"/>
        <v>8030.0400000000009</v>
      </c>
      <c r="Q273" s="19" t="s">
        <v>300</v>
      </c>
      <c r="R273" s="19">
        <v>2024</v>
      </c>
      <c r="S273" s="19">
        <v>8</v>
      </c>
    </row>
    <row r="274" spans="1:19" x14ac:dyDescent="0.3">
      <c r="A274" t="s">
        <v>326</v>
      </c>
      <c r="B274" s="2">
        <v>45527</v>
      </c>
      <c r="C274" t="s">
        <v>82</v>
      </c>
      <c r="D274" t="s">
        <v>21</v>
      </c>
      <c r="E274" t="s">
        <v>42</v>
      </c>
      <c r="F274" t="s">
        <v>40</v>
      </c>
      <c r="G274" t="s">
        <v>31</v>
      </c>
      <c r="H274" t="s">
        <v>25</v>
      </c>
      <c r="I274">
        <v>1</v>
      </c>
      <c r="J274" s="5">
        <v>43855</v>
      </c>
      <c r="K274" s="5">
        <v>43855</v>
      </c>
      <c r="L274" s="5">
        <v>0</v>
      </c>
      <c r="M274" s="12">
        <v>0</v>
      </c>
      <c r="N274" s="5">
        <f t="shared" si="8"/>
        <v>43855</v>
      </c>
      <c r="O274" s="5">
        <v>27292.560000000001</v>
      </c>
      <c r="P274" s="5">
        <f t="shared" si="9"/>
        <v>16562.439999999999</v>
      </c>
      <c r="Q274" t="s">
        <v>300</v>
      </c>
      <c r="R274">
        <v>2024</v>
      </c>
      <c r="S274">
        <v>8</v>
      </c>
    </row>
    <row r="275" spans="1:19" x14ac:dyDescent="0.3">
      <c r="A275" s="19" t="s">
        <v>327</v>
      </c>
      <c r="B275" s="20">
        <v>45527</v>
      </c>
      <c r="C275" s="19" t="s">
        <v>48</v>
      </c>
      <c r="D275" s="19" t="s">
        <v>34</v>
      </c>
      <c r="E275" s="19" t="s">
        <v>22</v>
      </c>
      <c r="F275" s="19" t="s">
        <v>40</v>
      </c>
      <c r="G275" s="19" t="s">
        <v>24</v>
      </c>
      <c r="H275" s="19" t="s">
        <v>25</v>
      </c>
      <c r="I275" s="19">
        <v>5</v>
      </c>
      <c r="J275" s="21">
        <v>24979</v>
      </c>
      <c r="K275" s="21">
        <v>124895</v>
      </c>
      <c r="L275" s="21">
        <v>0</v>
      </c>
      <c r="M275" s="15">
        <v>0</v>
      </c>
      <c r="N275" s="21">
        <f t="shared" si="8"/>
        <v>124895</v>
      </c>
      <c r="O275" s="21">
        <v>73916.27</v>
      </c>
      <c r="P275" s="21">
        <f t="shared" si="9"/>
        <v>50978.729999999996</v>
      </c>
      <c r="Q275" s="19" t="s">
        <v>300</v>
      </c>
      <c r="R275" s="19">
        <v>2024</v>
      </c>
      <c r="S275" s="19">
        <v>8</v>
      </c>
    </row>
    <row r="276" spans="1:19" x14ac:dyDescent="0.3">
      <c r="A276" t="s">
        <v>328</v>
      </c>
      <c r="B276" s="2">
        <v>45528</v>
      </c>
      <c r="C276" t="s">
        <v>64</v>
      </c>
      <c r="D276" t="s">
        <v>29</v>
      </c>
      <c r="E276" t="s">
        <v>56</v>
      </c>
      <c r="F276" t="s">
        <v>40</v>
      </c>
      <c r="G276" t="s">
        <v>31</v>
      </c>
      <c r="H276" t="s">
        <v>25</v>
      </c>
      <c r="I276">
        <v>2</v>
      </c>
      <c r="J276" s="5">
        <v>30929</v>
      </c>
      <c r="K276" s="5">
        <v>61858</v>
      </c>
      <c r="L276" s="5">
        <v>0</v>
      </c>
      <c r="M276" s="12">
        <v>0</v>
      </c>
      <c r="N276" s="5">
        <f t="shared" si="8"/>
        <v>61858</v>
      </c>
      <c r="O276" s="5">
        <v>40244.620000000003</v>
      </c>
      <c r="P276" s="5">
        <f t="shared" si="9"/>
        <v>21613.379999999997</v>
      </c>
      <c r="Q276" t="s">
        <v>300</v>
      </c>
      <c r="R276">
        <v>2024</v>
      </c>
      <c r="S276">
        <v>8</v>
      </c>
    </row>
    <row r="277" spans="1:19" x14ac:dyDescent="0.3">
      <c r="A277" s="19" t="s">
        <v>329</v>
      </c>
      <c r="B277" s="20">
        <v>45530</v>
      </c>
      <c r="C277" s="19" t="s">
        <v>20</v>
      </c>
      <c r="D277" s="19" t="s">
        <v>21</v>
      </c>
      <c r="E277" s="19" t="s">
        <v>44</v>
      </c>
      <c r="F277" s="19" t="s">
        <v>23</v>
      </c>
      <c r="G277" s="19" t="s">
        <v>31</v>
      </c>
      <c r="H277" s="19" t="s">
        <v>25</v>
      </c>
      <c r="I277" s="19">
        <v>1</v>
      </c>
      <c r="J277" s="21">
        <v>15989</v>
      </c>
      <c r="K277" s="21">
        <v>15989</v>
      </c>
      <c r="L277" s="21">
        <v>2398.35</v>
      </c>
      <c r="M277" s="15">
        <v>0.15</v>
      </c>
      <c r="N277" s="21">
        <f t="shared" si="8"/>
        <v>13590.65</v>
      </c>
      <c r="O277" s="21">
        <v>8457.27</v>
      </c>
      <c r="P277" s="21">
        <f t="shared" si="9"/>
        <v>5133.3799999999992</v>
      </c>
      <c r="Q277" s="19" t="s">
        <v>300</v>
      </c>
      <c r="R277" s="19">
        <v>2024</v>
      </c>
      <c r="S277" s="19">
        <v>8</v>
      </c>
    </row>
    <row r="278" spans="1:19" x14ac:dyDescent="0.3">
      <c r="A278" t="s">
        <v>330</v>
      </c>
      <c r="B278" s="2">
        <v>45533</v>
      </c>
      <c r="C278" t="s">
        <v>64</v>
      </c>
      <c r="D278" t="s">
        <v>29</v>
      </c>
      <c r="E278" t="s">
        <v>44</v>
      </c>
      <c r="F278" t="s">
        <v>23</v>
      </c>
      <c r="G278" t="s">
        <v>31</v>
      </c>
      <c r="H278" t="s">
        <v>25</v>
      </c>
      <c r="I278">
        <v>1</v>
      </c>
      <c r="J278" s="5">
        <v>28781</v>
      </c>
      <c r="K278" s="5">
        <v>28781</v>
      </c>
      <c r="L278" s="5">
        <v>0</v>
      </c>
      <c r="M278" s="12">
        <v>0</v>
      </c>
      <c r="N278" s="5">
        <f t="shared" si="8"/>
        <v>28781</v>
      </c>
      <c r="O278" s="5">
        <v>16084.93</v>
      </c>
      <c r="P278" s="5">
        <f t="shared" si="9"/>
        <v>12696.07</v>
      </c>
      <c r="Q278" t="s">
        <v>300</v>
      </c>
      <c r="R278">
        <v>2024</v>
      </c>
      <c r="S278">
        <v>8</v>
      </c>
    </row>
    <row r="279" spans="1:19" x14ac:dyDescent="0.3">
      <c r="A279" s="19" t="s">
        <v>331</v>
      </c>
      <c r="B279" s="20">
        <v>45534</v>
      </c>
      <c r="C279" s="19" t="s">
        <v>48</v>
      </c>
      <c r="D279" s="19" t="s">
        <v>34</v>
      </c>
      <c r="E279" s="19" t="s">
        <v>42</v>
      </c>
      <c r="F279" s="19" t="s">
        <v>40</v>
      </c>
      <c r="G279" s="19" t="s">
        <v>31</v>
      </c>
      <c r="H279" s="19" t="s">
        <v>25</v>
      </c>
      <c r="I279" s="19">
        <v>3</v>
      </c>
      <c r="J279" s="21">
        <v>24183</v>
      </c>
      <c r="K279" s="21">
        <v>72549</v>
      </c>
      <c r="L279" s="21">
        <v>0</v>
      </c>
      <c r="M279" s="15">
        <v>0</v>
      </c>
      <c r="N279" s="21">
        <f t="shared" si="8"/>
        <v>72549</v>
      </c>
      <c r="O279" s="21">
        <v>40933.870000000003</v>
      </c>
      <c r="P279" s="21">
        <f t="shared" si="9"/>
        <v>31615.129999999997</v>
      </c>
      <c r="Q279" s="19" t="s">
        <v>300</v>
      </c>
      <c r="R279" s="19">
        <v>2024</v>
      </c>
      <c r="S279" s="19">
        <v>8</v>
      </c>
    </row>
    <row r="280" spans="1:19" x14ac:dyDescent="0.3">
      <c r="A280" t="s">
        <v>332</v>
      </c>
      <c r="B280" s="2">
        <v>45535</v>
      </c>
      <c r="C280" t="s">
        <v>50</v>
      </c>
      <c r="D280" t="s">
        <v>34</v>
      </c>
      <c r="E280" t="s">
        <v>56</v>
      </c>
      <c r="F280" t="s">
        <v>37</v>
      </c>
      <c r="G280" t="s">
        <v>31</v>
      </c>
      <c r="H280" t="s">
        <v>25</v>
      </c>
      <c r="I280">
        <v>2</v>
      </c>
      <c r="J280" s="5">
        <v>18927</v>
      </c>
      <c r="K280" s="5">
        <v>37854</v>
      </c>
      <c r="L280" s="5">
        <v>0</v>
      </c>
      <c r="M280" s="12">
        <v>0</v>
      </c>
      <c r="N280" s="5">
        <f t="shared" si="8"/>
        <v>37854</v>
      </c>
      <c r="O280" s="5">
        <v>23510.080000000002</v>
      </c>
      <c r="P280" s="5">
        <f t="shared" si="9"/>
        <v>14343.919999999998</v>
      </c>
      <c r="Q280" t="s">
        <v>300</v>
      </c>
      <c r="R280">
        <v>2024</v>
      </c>
      <c r="S280">
        <v>8</v>
      </c>
    </row>
    <row r="281" spans="1:19" x14ac:dyDescent="0.3">
      <c r="A281" s="19" t="s">
        <v>333</v>
      </c>
      <c r="B281" s="20">
        <v>45536</v>
      </c>
      <c r="C281" s="19" t="s">
        <v>50</v>
      </c>
      <c r="D281" s="19" t="s">
        <v>34</v>
      </c>
      <c r="E281" s="19" t="s">
        <v>56</v>
      </c>
      <c r="F281" s="19" t="s">
        <v>30</v>
      </c>
      <c r="G281" s="19" t="s">
        <v>24</v>
      </c>
      <c r="H281" s="19" t="s">
        <v>25</v>
      </c>
      <c r="I281" s="19">
        <v>1</v>
      </c>
      <c r="J281" s="21">
        <v>16734</v>
      </c>
      <c r="K281" s="21">
        <v>16734</v>
      </c>
      <c r="L281" s="21">
        <v>1673.4</v>
      </c>
      <c r="M281" s="15">
        <v>0.1</v>
      </c>
      <c r="N281" s="21">
        <f t="shared" si="8"/>
        <v>15060.6</v>
      </c>
      <c r="O281" s="21">
        <v>10426.02</v>
      </c>
      <c r="P281" s="21">
        <f t="shared" si="9"/>
        <v>4634.58</v>
      </c>
      <c r="Q281" s="19" t="s">
        <v>334</v>
      </c>
      <c r="R281" s="19">
        <v>2024</v>
      </c>
      <c r="S281" s="19">
        <v>9</v>
      </c>
    </row>
    <row r="282" spans="1:19" x14ac:dyDescent="0.3">
      <c r="A282" t="s">
        <v>335</v>
      </c>
      <c r="B282" s="2">
        <v>45537</v>
      </c>
      <c r="C282" t="s">
        <v>71</v>
      </c>
      <c r="D282" t="s">
        <v>34</v>
      </c>
      <c r="E282" t="s">
        <v>22</v>
      </c>
      <c r="F282" t="s">
        <v>40</v>
      </c>
      <c r="G282" t="s">
        <v>24</v>
      </c>
      <c r="H282" t="s">
        <v>25</v>
      </c>
      <c r="I282">
        <v>1</v>
      </c>
      <c r="J282" s="5">
        <v>53427</v>
      </c>
      <c r="K282" s="5">
        <v>53427</v>
      </c>
      <c r="L282" s="5">
        <v>0</v>
      </c>
      <c r="M282" s="12">
        <v>0</v>
      </c>
      <c r="N282" s="5">
        <f t="shared" si="8"/>
        <v>53427</v>
      </c>
      <c r="O282" s="5">
        <v>34150.620000000003</v>
      </c>
      <c r="P282" s="5">
        <f t="shared" si="9"/>
        <v>19276.379999999997</v>
      </c>
      <c r="Q282" t="s">
        <v>334</v>
      </c>
      <c r="R282">
        <v>2024</v>
      </c>
      <c r="S282">
        <v>9</v>
      </c>
    </row>
    <row r="283" spans="1:19" x14ac:dyDescent="0.3">
      <c r="A283" s="19" t="s">
        <v>336</v>
      </c>
      <c r="B283" s="20">
        <v>45538</v>
      </c>
      <c r="C283" s="19" t="s">
        <v>75</v>
      </c>
      <c r="D283" s="19" t="s">
        <v>34</v>
      </c>
      <c r="E283" s="19" t="s">
        <v>22</v>
      </c>
      <c r="F283" s="19" t="s">
        <v>40</v>
      </c>
      <c r="G283" s="19" t="s">
        <v>24</v>
      </c>
      <c r="H283" s="19" t="s">
        <v>25</v>
      </c>
      <c r="I283" s="19">
        <v>1</v>
      </c>
      <c r="J283" s="21">
        <v>40863</v>
      </c>
      <c r="K283" s="21">
        <v>40863</v>
      </c>
      <c r="L283" s="21">
        <v>0</v>
      </c>
      <c r="M283" s="15">
        <v>0</v>
      </c>
      <c r="N283" s="21">
        <f t="shared" si="8"/>
        <v>40863</v>
      </c>
      <c r="O283" s="21">
        <v>25515.4</v>
      </c>
      <c r="P283" s="21">
        <f t="shared" si="9"/>
        <v>15347.599999999999</v>
      </c>
      <c r="Q283" s="19" t="s">
        <v>334</v>
      </c>
      <c r="R283" s="19">
        <v>2024</v>
      </c>
      <c r="S283" s="19">
        <v>9</v>
      </c>
    </row>
    <row r="284" spans="1:19" x14ac:dyDescent="0.3">
      <c r="A284" t="s">
        <v>337</v>
      </c>
      <c r="B284" s="2">
        <v>45538</v>
      </c>
      <c r="C284" t="s">
        <v>71</v>
      </c>
      <c r="D284" t="s">
        <v>34</v>
      </c>
      <c r="E284" t="s">
        <v>56</v>
      </c>
      <c r="F284" t="s">
        <v>40</v>
      </c>
      <c r="G284" t="s">
        <v>31</v>
      </c>
      <c r="H284" t="s">
        <v>25</v>
      </c>
      <c r="I284">
        <v>1</v>
      </c>
      <c r="J284" s="5">
        <v>53433</v>
      </c>
      <c r="K284" s="5">
        <v>53433</v>
      </c>
      <c r="L284" s="5">
        <v>0</v>
      </c>
      <c r="M284" s="12">
        <v>0</v>
      </c>
      <c r="N284" s="5">
        <f t="shared" si="8"/>
        <v>53433</v>
      </c>
      <c r="O284" s="5">
        <v>35331.089999999997</v>
      </c>
      <c r="P284" s="5">
        <f t="shared" si="9"/>
        <v>18101.910000000003</v>
      </c>
      <c r="Q284" t="s">
        <v>334</v>
      </c>
      <c r="R284">
        <v>2024</v>
      </c>
      <c r="S284">
        <v>9</v>
      </c>
    </row>
    <row r="285" spans="1:19" x14ac:dyDescent="0.3">
      <c r="A285" s="19" t="s">
        <v>338</v>
      </c>
      <c r="B285" s="20">
        <v>45540</v>
      </c>
      <c r="C285" s="19" t="s">
        <v>46</v>
      </c>
      <c r="D285" s="19" t="s">
        <v>21</v>
      </c>
      <c r="E285" s="19" t="s">
        <v>44</v>
      </c>
      <c r="F285" s="19" t="s">
        <v>35</v>
      </c>
      <c r="G285" s="19" t="s">
        <v>31</v>
      </c>
      <c r="H285" s="19" t="s">
        <v>25</v>
      </c>
      <c r="I285" s="19">
        <v>2</v>
      </c>
      <c r="J285" s="21">
        <v>12114</v>
      </c>
      <c r="K285" s="21">
        <v>24228</v>
      </c>
      <c r="L285" s="21">
        <v>0</v>
      </c>
      <c r="M285" s="15">
        <v>0</v>
      </c>
      <c r="N285" s="21">
        <f t="shared" si="8"/>
        <v>24228</v>
      </c>
      <c r="O285" s="21">
        <v>14076.14</v>
      </c>
      <c r="P285" s="21">
        <f t="shared" si="9"/>
        <v>10151.86</v>
      </c>
      <c r="Q285" s="19" t="s">
        <v>334</v>
      </c>
      <c r="R285" s="19">
        <v>2024</v>
      </c>
      <c r="S285" s="19">
        <v>9</v>
      </c>
    </row>
    <row r="286" spans="1:19" x14ac:dyDescent="0.3">
      <c r="A286" t="s">
        <v>339</v>
      </c>
      <c r="B286" s="2">
        <v>45540</v>
      </c>
      <c r="C286" t="s">
        <v>33</v>
      </c>
      <c r="D286" t="s">
        <v>34</v>
      </c>
      <c r="E286" t="s">
        <v>44</v>
      </c>
      <c r="F286" t="s">
        <v>37</v>
      </c>
      <c r="G286" t="s">
        <v>24</v>
      </c>
      <c r="H286" t="s">
        <v>25</v>
      </c>
      <c r="I286">
        <v>2</v>
      </c>
      <c r="J286" s="5">
        <v>45358</v>
      </c>
      <c r="K286" s="5">
        <v>90716</v>
      </c>
      <c r="L286" s="5">
        <v>13607.4</v>
      </c>
      <c r="M286" s="12">
        <v>0.15</v>
      </c>
      <c r="N286" s="5">
        <f t="shared" si="8"/>
        <v>77108.600000000006</v>
      </c>
      <c r="O286" s="5">
        <v>45615.34</v>
      </c>
      <c r="P286" s="5">
        <f t="shared" si="9"/>
        <v>31493.260000000009</v>
      </c>
      <c r="Q286" t="s">
        <v>334</v>
      </c>
      <c r="R286">
        <v>2024</v>
      </c>
      <c r="S286">
        <v>9</v>
      </c>
    </row>
    <row r="287" spans="1:19" x14ac:dyDescent="0.3">
      <c r="A287" s="19" t="s">
        <v>340</v>
      </c>
      <c r="B287" s="20">
        <v>45541</v>
      </c>
      <c r="C287" s="19" t="s">
        <v>28</v>
      </c>
      <c r="D287" s="19" t="s">
        <v>29</v>
      </c>
      <c r="E287" s="19" t="s">
        <v>56</v>
      </c>
      <c r="F287" s="19" t="s">
        <v>30</v>
      </c>
      <c r="G287" s="19" t="s">
        <v>24</v>
      </c>
      <c r="H287" s="19" t="s">
        <v>25</v>
      </c>
      <c r="I287" s="19">
        <v>3</v>
      </c>
      <c r="J287" s="21">
        <v>64531</v>
      </c>
      <c r="K287" s="21">
        <v>193593</v>
      </c>
      <c r="L287" s="21">
        <v>0</v>
      </c>
      <c r="M287" s="15">
        <v>0</v>
      </c>
      <c r="N287" s="21">
        <f t="shared" si="8"/>
        <v>193593</v>
      </c>
      <c r="O287" s="21">
        <v>129594.54</v>
      </c>
      <c r="P287" s="21">
        <f t="shared" si="9"/>
        <v>63998.460000000006</v>
      </c>
      <c r="Q287" s="19" t="s">
        <v>334</v>
      </c>
      <c r="R287" s="19">
        <v>2024</v>
      </c>
      <c r="S287" s="19">
        <v>9</v>
      </c>
    </row>
    <row r="288" spans="1:19" x14ac:dyDescent="0.3">
      <c r="A288" t="s">
        <v>341</v>
      </c>
      <c r="B288" s="2">
        <v>45541</v>
      </c>
      <c r="C288" t="s">
        <v>64</v>
      </c>
      <c r="D288" t="s">
        <v>29</v>
      </c>
      <c r="E288" t="s">
        <v>44</v>
      </c>
      <c r="F288" t="s">
        <v>35</v>
      </c>
      <c r="G288" t="s">
        <v>24</v>
      </c>
      <c r="H288" t="s">
        <v>25</v>
      </c>
      <c r="I288">
        <v>2</v>
      </c>
      <c r="J288" s="5">
        <v>31198</v>
      </c>
      <c r="K288" s="5">
        <v>62396</v>
      </c>
      <c r="L288" s="5">
        <v>6239.6</v>
      </c>
      <c r="M288" s="12">
        <v>0.1</v>
      </c>
      <c r="N288" s="5">
        <f t="shared" si="8"/>
        <v>56156.4</v>
      </c>
      <c r="O288" s="5">
        <v>37810.379999999997</v>
      </c>
      <c r="P288" s="5">
        <f t="shared" si="9"/>
        <v>18346.020000000004</v>
      </c>
      <c r="Q288" t="s">
        <v>334</v>
      </c>
      <c r="R288">
        <v>2024</v>
      </c>
      <c r="S288">
        <v>9</v>
      </c>
    </row>
    <row r="289" spans="1:19" x14ac:dyDescent="0.3">
      <c r="A289" s="19" t="s">
        <v>342</v>
      </c>
      <c r="B289" s="20">
        <v>45542</v>
      </c>
      <c r="C289" s="19" t="s">
        <v>50</v>
      </c>
      <c r="D289" s="19" t="s">
        <v>34</v>
      </c>
      <c r="E289" s="19" t="s">
        <v>22</v>
      </c>
      <c r="F289" s="19" t="s">
        <v>40</v>
      </c>
      <c r="G289" s="19" t="s">
        <v>31</v>
      </c>
      <c r="H289" s="19" t="s">
        <v>25</v>
      </c>
      <c r="I289" s="19">
        <v>1</v>
      </c>
      <c r="J289" s="21">
        <v>19167</v>
      </c>
      <c r="K289" s="21">
        <v>19167</v>
      </c>
      <c r="L289" s="21">
        <v>0</v>
      </c>
      <c r="M289" s="15">
        <v>0</v>
      </c>
      <c r="N289" s="21">
        <f t="shared" si="8"/>
        <v>19167</v>
      </c>
      <c r="O289" s="21">
        <v>10042.74</v>
      </c>
      <c r="P289" s="21">
        <f t="shared" si="9"/>
        <v>9124.26</v>
      </c>
      <c r="Q289" s="19" t="s">
        <v>334</v>
      </c>
      <c r="R289" s="19">
        <v>2024</v>
      </c>
      <c r="S289" s="19">
        <v>9</v>
      </c>
    </row>
    <row r="290" spans="1:19" x14ac:dyDescent="0.3">
      <c r="A290" t="s">
        <v>343</v>
      </c>
      <c r="B290" s="2">
        <v>45544</v>
      </c>
      <c r="C290" t="s">
        <v>20</v>
      </c>
      <c r="D290" t="s">
        <v>21</v>
      </c>
      <c r="E290" t="s">
        <v>22</v>
      </c>
      <c r="F290" t="s">
        <v>35</v>
      </c>
      <c r="G290" t="s">
        <v>31</v>
      </c>
      <c r="H290" t="s">
        <v>25</v>
      </c>
      <c r="I290">
        <v>4</v>
      </c>
      <c r="J290" s="5">
        <v>15501</v>
      </c>
      <c r="K290" s="5">
        <v>62004</v>
      </c>
      <c r="L290" s="5">
        <v>3100.2</v>
      </c>
      <c r="M290" s="12">
        <v>0.05</v>
      </c>
      <c r="N290" s="5">
        <f t="shared" si="8"/>
        <v>58903.8</v>
      </c>
      <c r="O290" s="5">
        <v>38617.17</v>
      </c>
      <c r="P290" s="5">
        <f t="shared" si="9"/>
        <v>20286.630000000005</v>
      </c>
      <c r="Q290" t="s">
        <v>334</v>
      </c>
      <c r="R290">
        <v>2024</v>
      </c>
      <c r="S290">
        <v>9</v>
      </c>
    </row>
    <row r="291" spans="1:19" x14ac:dyDescent="0.3">
      <c r="A291" s="19" t="s">
        <v>344</v>
      </c>
      <c r="B291" s="20">
        <v>45544</v>
      </c>
      <c r="C291" s="19" t="s">
        <v>20</v>
      </c>
      <c r="D291" s="19" t="s">
        <v>21</v>
      </c>
      <c r="E291" s="19" t="s">
        <v>42</v>
      </c>
      <c r="F291" s="19" t="s">
        <v>35</v>
      </c>
      <c r="G291" s="19" t="s">
        <v>31</v>
      </c>
      <c r="H291" s="19" t="s">
        <v>25</v>
      </c>
      <c r="I291" s="19">
        <v>1</v>
      </c>
      <c r="J291" s="21">
        <v>14677</v>
      </c>
      <c r="K291" s="21">
        <v>14677</v>
      </c>
      <c r="L291" s="21">
        <v>0</v>
      </c>
      <c r="M291" s="15">
        <v>0</v>
      </c>
      <c r="N291" s="21">
        <f t="shared" si="8"/>
        <v>14677</v>
      </c>
      <c r="O291" s="21">
        <v>7932.86</v>
      </c>
      <c r="P291" s="21">
        <f t="shared" si="9"/>
        <v>6744.14</v>
      </c>
      <c r="Q291" s="19" t="s">
        <v>334</v>
      </c>
      <c r="R291" s="19">
        <v>2024</v>
      </c>
      <c r="S291" s="19">
        <v>9</v>
      </c>
    </row>
    <row r="292" spans="1:19" x14ac:dyDescent="0.3">
      <c r="A292" t="s">
        <v>345</v>
      </c>
      <c r="B292" s="2">
        <v>45545</v>
      </c>
      <c r="C292" t="s">
        <v>75</v>
      </c>
      <c r="D292" t="s">
        <v>34</v>
      </c>
      <c r="E292" t="s">
        <v>44</v>
      </c>
      <c r="F292" t="s">
        <v>40</v>
      </c>
      <c r="G292" t="s">
        <v>24</v>
      </c>
      <c r="H292" t="s">
        <v>25</v>
      </c>
      <c r="I292">
        <v>3</v>
      </c>
      <c r="J292" s="5">
        <v>37529</v>
      </c>
      <c r="K292" s="5">
        <v>112587</v>
      </c>
      <c r="L292" s="5">
        <v>0</v>
      </c>
      <c r="M292" s="12">
        <v>0</v>
      </c>
      <c r="N292" s="5">
        <f t="shared" si="8"/>
        <v>112587</v>
      </c>
      <c r="O292" s="5">
        <v>61366.559999999998</v>
      </c>
      <c r="P292" s="5">
        <f t="shared" si="9"/>
        <v>51220.44</v>
      </c>
      <c r="Q292" t="s">
        <v>334</v>
      </c>
      <c r="R292">
        <v>2024</v>
      </c>
      <c r="S292">
        <v>9</v>
      </c>
    </row>
    <row r="293" spans="1:19" x14ac:dyDescent="0.3">
      <c r="A293" s="19" t="s">
        <v>346</v>
      </c>
      <c r="B293" s="20">
        <v>45545</v>
      </c>
      <c r="C293" s="19" t="s">
        <v>20</v>
      </c>
      <c r="D293" s="19" t="s">
        <v>21</v>
      </c>
      <c r="E293" s="19" t="s">
        <v>42</v>
      </c>
      <c r="F293" s="19" t="s">
        <v>37</v>
      </c>
      <c r="G293" s="19" t="s">
        <v>24</v>
      </c>
      <c r="H293" s="19" t="s">
        <v>25</v>
      </c>
      <c r="I293" s="19">
        <v>1</v>
      </c>
      <c r="J293" s="21">
        <v>14230</v>
      </c>
      <c r="K293" s="21">
        <v>14230</v>
      </c>
      <c r="L293" s="21">
        <v>0</v>
      </c>
      <c r="M293" s="15">
        <v>0</v>
      </c>
      <c r="N293" s="21">
        <f t="shared" si="8"/>
        <v>14230</v>
      </c>
      <c r="O293" s="21">
        <v>7152.86</v>
      </c>
      <c r="P293" s="21">
        <f t="shared" si="9"/>
        <v>7077.14</v>
      </c>
      <c r="Q293" s="19" t="s">
        <v>334</v>
      </c>
      <c r="R293" s="19">
        <v>2024</v>
      </c>
      <c r="S293" s="19">
        <v>9</v>
      </c>
    </row>
    <row r="294" spans="1:19" x14ac:dyDescent="0.3">
      <c r="A294" t="s">
        <v>347</v>
      </c>
      <c r="B294" s="2">
        <v>45547</v>
      </c>
      <c r="C294" t="s">
        <v>71</v>
      </c>
      <c r="D294" t="s">
        <v>34</v>
      </c>
      <c r="E294" t="s">
        <v>22</v>
      </c>
      <c r="F294" t="s">
        <v>23</v>
      </c>
      <c r="G294" t="s">
        <v>31</v>
      </c>
      <c r="H294" t="s">
        <v>25</v>
      </c>
      <c r="I294">
        <v>2</v>
      </c>
      <c r="J294" s="5">
        <v>53489</v>
      </c>
      <c r="K294" s="5">
        <v>106978</v>
      </c>
      <c r="L294" s="5">
        <v>0</v>
      </c>
      <c r="M294" s="12">
        <v>0</v>
      </c>
      <c r="N294" s="5">
        <f t="shared" si="8"/>
        <v>106978</v>
      </c>
      <c r="O294" s="5">
        <v>71681.23</v>
      </c>
      <c r="P294" s="5">
        <f t="shared" si="9"/>
        <v>35296.770000000004</v>
      </c>
      <c r="Q294" t="s">
        <v>334</v>
      </c>
      <c r="R294">
        <v>2024</v>
      </c>
      <c r="S294">
        <v>9</v>
      </c>
    </row>
    <row r="295" spans="1:19" x14ac:dyDescent="0.3">
      <c r="A295" s="19" t="s">
        <v>348</v>
      </c>
      <c r="B295" s="20">
        <v>45549</v>
      </c>
      <c r="C295" s="19" t="s">
        <v>71</v>
      </c>
      <c r="D295" s="19" t="s">
        <v>34</v>
      </c>
      <c r="E295" s="19" t="s">
        <v>22</v>
      </c>
      <c r="F295" s="19" t="s">
        <v>23</v>
      </c>
      <c r="G295" s="19" t="s">
        <v>24</v>
      </c>
      <c r="H295" s="19" t="s">
        <v>25</v>
      </c>
      <c r="I295" s="19">
        <v>5</v>
      </c>
      <c r="J295" s="21">
        <v>47045</v>
      </c>
      <c r="K295" s="21">
        <v>235225</v>
      </c>
      <c r="L295" s="21">
        <v>0</v>
      </c>
      <c r="M295" s="15">
        <v>0</v>
      </c>
      <c r="N295" s="21">
        <f t="shared" si="8"/>
        <v>235225</v>
      </c>
      <c r="O295" s="21">
        <v>147218.38</v>
      </c>
      <c r="P295" s="21">
        <f t="shared" si="9"/>
        <v>88006.62</v>
      </c>
      <c r="Q295" s="19" t="s">
        <v>334</v>
      </c>
      <c r="R295" s="19">
        <v>2024</v>
      </c>
      <c r="S295" s="19">
        <v>9</v>
      </c>
    </row>
    <row r="296" spans="1:19" x14ac:dyDescent="0.3">
      <c r="A296" t="s">
        <v>349</v>
      </c>
      <c r="B296" s="2">
        <v>45550</v>
      </c>
      <c r="C296" t="s">
        <v>46</v>
      </c>
      <c r="D296" t="s">
        <v>21</v>
      </c>
      <c r="E296" t="s">
        <v>44</v>
      </c>
      <c r="F296" t="s">
        <v>40</v>
      </c>
      <c r="G296" t="s">
        <v>31</v>
      </c>
      <c r="H296" t="s">
        <v>25</v>
      </c>
      <c r="I296">
        <v>1</v>
      </c>
      <c r="J296" s="5">
        <v>12942</v>
      </c>
      <c r="K296" s="5">
        <v>12942</v>
      </c>
      <c r="L296" s="5">
        <v>0</v>
      </c>
      <c r="M296" s="12">
        <v>0</v>
      </c>
      <c r="N296" s="5">
        <f t="shared" si="8"/>
        <v>12942</v>
      </c>
      <c r="O296" s="5">
        <v>6742.04</v>
      </c>
      <c r="P296" s="5">
        <f t="shared" si="9"/>
        <v>6199.96</v>
      </c>
      <c r="Q296" t="s">
        <v>334</v>
      </c>
      <c r="R296">
        <v>2024</v>
      </c>
      <c r="S296">
        <v>9</v>
      </c>
    </row>
    <row r="297" spans="1:19" x14ac:dyDescent="0.3">
      <c r="A297" s="19" t="s">
        <v>350</v>
      </c>
      <c r="B297" s="20">
        <v>45550</v>
      </c>
      <c r="C297" s="19" t="s">
        <v>75</v>
      </c>
      <c r="D297" s="19" t="s">
        <v>34</v>
      </c>
      <c r="E297" s="19" t="s">
        <v>56</v>
      </c>
      <c r="F297" s="19" t="s">
        <v>37</v>
      </c>
      <c r="G297" s="19" t="s">
        <v>24</v>
      </c>
      <c r="H297" s="19" t="s">
        <v>25</v>
      </c>
      <c r="I297" s="19">
        <v>5</v>
      </c>
      <c r="J297" s="21">
        <v>40572</v>
      </c>
      <c r="K297" s="21">
        <v>202860</v>
      </c>
      <c r="L297" s="21">
        <v>0</v>
      </c>
      <c r="M297" s="15">
        <v>0</v>
      </c>
      <c r="N297" s="21">
        <f t="shared" si="8"/>
        <v>202860</v>
      </c>
      <c r="O297" s="21">
        <v>137501.53</v>
      </c>
      <c r="P297" s="21">
        <f t="shared" si="9"/>
        <v>65358.47</v>
      </c>
      <c r="Q297" s="19" t="s">
        <v>334</v>
      </c>
      <c r="R297" s="19">
        <v>2024</v>
      </c>
      <c r="S297" s="19">
        <v>9</v>
      </c>
    </row>
    <row r="298" spans="1:19" x14ac:dyDescent="0.3">
      <c r="A298" t="s">
        <v>351</v>
      </c>
      <c r="B298" s="2">
        <v>45552</v>
      </c>
      <c r="C298" t="s">
        <v>71</v>
      </c>
      <c r="D298" t="s">
        <v>34</v>
      </c>
      <c r="E298" t="s">
        <v>42</v>
      </c>
      <c r="F298" t="s">
        <v>30</v>
      </c>
      <c r="G298" t="s">
        <v>31</v>
      </c>
      <c r="H298" t="s">
        <v>25</v>
      </c>
      <c r="I298">
        <v>2</v>
      </c>
      <c r="J298" s="5">
        <v>48883</v>
      </c>
      <c r="K298" s="5">
        <v>97766</v>
      </c>
      <c r="L298" s="5">
        <v>0</v>
      </c>
      <c r="M298" s="12">
        <v>0</v>
      </c>
      <c r="N298" s="5">
        <f t="shared" si="8"/>
        <v>97766</v>
      </c>
      <c r="O298" s="5">
        <v>54935.08</v>
      </c>
      <c r="P298" s="5">
        <f t="shared" si="9"/>
        <v>42830.92</v>
      </c>
      <c r="Q298" t="s">
        <v>334</v>
      </c>
      <c r="R298">
        <v>2024</v>
      </c>
      <c r="S298">
        <v>9</v>
      </c>
    </row>
    <row r="299" spans="1:19" x14ac:dyDescent="0.3">
      <c r="A299" s="19" t="s">
        <v>352</v>
      </c>
      <c r="B299" s="20">
        <v>45552</v>
      </c>
      <c r="C299" s="19" t="s">
        <v>28</v>
      </c>
      <c r="D299" s="19" t="s">
        <v>29</v>
      </c>
      <c r="E299" s="19" t="s">
        <v>22</v>
      </c>
      <c r="F299" s="19" t="s">
        <v>23</v>
      </c>
      <c r="G299" s="19" t="s">
        <v>31</v>
      </c>
      <c r="H299" s="19" t="s">
        <v>25</v>
      </c>
      <c r="I299" s="19">
        <v>1</v>
      </c>
      <c r="J299" s="21">
        <v>63438</v>
      </c>
      <c r="K299" s="21">
        <v>63438</v>
      </c>
      <c r="L299" s="21">
        <v>0</v>
      </c>
      <c r="M299" s="15">
        <v>0</v>
      </c>
      <c r="N299" s="21">
        <f t="shared" si="8"/>
        <v>63438</v>
      </c>
      <c r="O299" s="21">
        <v>35011.980000000003</v>
      </c>
      <c r="P299" s="21">
        <f t="shared" si="9"/>
        <v>28426.019999999997</v>
      </c>
      <c r="Q299" s="19" t="s">
        <v>334</v>
      </c>
      <c r="R299" s="19">
        <v>2024</v>
      </c>
      <c r="S299" s="19">
        <v>9</v>
      </c>
    </row>
    <row r="300" spans="1:19" x14ac:dyDescent="0.3">
      <c r="A300" t="s">
        <v>353</v>
      </c>
      <c r="B300" s="2">
        <v>45554</v>
      </c>
      <c r="C300" t="s">
        <v>75</v>
      </c>
      <c r="D300" t="s">
        <v>34</v>
      </c>
      <c r="E300" t="s">
        <v>22</v>
      </c>
      <c r="F300" t="s">
        <v>30</v>
      </c>
      <c r="G300" t="s">
        <v>24</v>
      </c>
      <c r="H300" t="s">
        <v>25</v>
      </c>
      <c r="I300">
        <v>2</v>
      </c>
      <c r="J300" s="5">
        <v>39748</v>
      </c>
      <c r="K300" s="5">
        <v>79496</v>
      </c>
      <c r="L300" s="5">
        <v>0</v>
      </c>
      <c r="M300" s="12">
        <v>0</v>
      </c>
      <c r="N300" s="5">
        <f t="shared" si="8"/>
        <v>79496</v>
      </c>
      <c r="O300" s="5">
        <v>47126.41</v>
      </c>
      <c r="P300" s="5">
        <f t="shared" si="9"/>
        <v>32369.589999999997</v>
      </c>
      <c r="Q300" t="s">
        <v>334</v>
      </c>
      <c r="R300">
        <v>2024</v>
      </c>
      <c r="S300">
        <v>9</v>
      </c>
    </row>
    <row r="301" spans="1:19" x14ac:dyDescent="0.3">
      <c r="A301" s="19" t="s">
        <v>354</v>
      </c>
      <c r="B301" s="20">
        <v>45555</v>
      </c>
      <c r="C301" s="19" t="s">
        <v>20</v>
      </c>
      <c r="D301" s="19" t="s">
        <v>21</v>
      </c>
      <c r="E301" s="19" t="s">
        <v>42</v>
      </c>
      <c r="F301" s="19" t="s">
        <v>37</v>
      </c>
      <c r="G301" s="19" t="s">
        <v>31</v>
      </c>
      <c r="H301" s="19" t="s">
        <v>25</v>
      </c>
      <c r="I301" s="19">
        <v>1</v>
      </c>
      <c r="J301" s="21">
        <v>14422</v>
      </c>
      <c r="K301" s="21">
        <v>14422</v>
      </c>
      <c r="L301" s="21">
        <v>0</v>
      </c>
      <c r="M301" s="15">
        <v>0</v>
      </c>
      <c r="N301" s="21">
        <f t="shared" si="8"/>
        <v>14422</v>
      </c>
      <c r="O301" s="21">
        <v>7181.91</v>
      </c>
      <c r="P301" s="21">
        <f t="shared" si="9"/>
        <v>7240.09</v>
      </c>
      <c r="Q301" s="19" t="s">
        <v>334</v>
      </c>
      <c r="R301" s="19">
        <v>2024</v>
      </c>
      <c r="S301" s="19">
        <v>9</v>
      </c>
    </row>
    <row r="302" spans="1:19" x14ac:dyDescent="0.3">
      <c r="A302" t="s">
        <v>355</v>
      </c>
      <c r="B302" s="2">
        <v>45556</v>
      </c>
      <c r="C302" t="s">
        <v>82</v>
      </c>
      <c r="D302" t="s">
        <v>21</v>
      </c>
      <c r="E302" t="s">
        <v>42</v>
      </c>
      <c r="F302" t="s">
        <v>40</v>
      </c>
      <c r="G302" t="s">
        <v>24</v>
      </c>
      <c r="H302" t="s">
        <v>25</v>
      </c>
      <c r="I302">
        <v>1</v>
      </c>
      <c r="J302" s="5">
        <v>47476</v>
      </c>
      <c r="K302" s="5">
        <v>47476</v>
      </c>
      <c r="L302" s="5">
        <v>2373.8000000000002</v>
      </c>
      <c r="M302" s="12">
        <v>0.05</v>
      </c>
      <c r="N302" s="5">
        <f t="shared" si="8"/>
        <v>45102.2</v>
      </c>
      <c r="O302" s="5">
        <v>26792.73</v>
      </c>
      <c r="P302" s="5">
        <f t="shared" si="9"/>
        <v>18309.469999999998</v>
      </c>
      <c r="Q302" t="s">
        <v>334</v>
      </c>
      <c r="R302">
        <v>2024</v>
      </c>
      <c r="S302">
        <v>9</v>
      </c>
    </row>
    <row r="303" spans="1:19" x14ac:dyDescent="0.3">
      <c r="A303" s="19" t="s">
        <v>356</v>
      </c>
      <c r="B303" s="20">
        <v>45557</v>
      </c>
      <c r="C303" s="19" t="s">
        <v>46</v>
      </c>
      <c r="D303" s="19" t="s">
        <v>21</v>
      </c>
      <c r="E303" s="19" t="s">
        <v>44</v>
      </c>
      <c r="F303" s="19" t="s">
        <v>40</v>
      </c>
      <c r="G303" s="19" t="s">
        <v>24</v>
      </c>
      <c r="H303" s="19" t="s">
        <v>25</v>
      </c>
      <c r="I303" s="19">
        <v>1</v>
      </c>
      <c r="J303" s="21">
        <v>12714</v>
      </c>
      <c r="K303" s="21">
        <v>12714</v>
      </c>
      <c r="L303" s="21">
        <v>0</v>
      </c>
      <c r="M303" s="15">
        <v>0</v>
      </c>
      <c r="N303" s="21">
        <f t="shared" si="8"/>
        <v>12714</v>
      </c>
      <c r="O303" s="21">
        <v>7315.11</v>
      </c>
      <c r="P303" s="21">
        <f t="shared" si="9"/>
        <v>5398.89</v>
      </c>
      <c r="Q303" s="19" t="s">
        <v>334</v>
      </c>
      <c r="R303" s="19">
        <v>2024</v>
      </c>
      <c r="S303" s="19">
        <v>9</v>
      </c>
    </row>
    <row r="304" spans="1:19" x14ac:dyDescent="0.3">
      <c r="A304" t="s">
        <v>357</v>
      </c>
      <c r="B304" s="2">
        <v>45559</v>
      </c>
      <c r="C304" t="s">
        <v>48</v>
      </c>
      <c r="D304" t="s">
        <v>34</v>
      </c>
      <c r="E304" t="s">
        <v>42</v>
      </c>
      <c r="F304" t="s">
        <v>40</v>
      </c>
      <c r="G304" t="s">
        <v>24</v>
      </c>
      <c r="H304" t="s">
        <v>25</v>
      </c>
      <c r="I304">
        <v>1</v>
      </c>
      <c r="J304" s="5">
        <v>25919</v>
      </c>
      <c r="K304" s="5">
        <v>25919</v>
      </c>
      <c r="L304" s="5">
        <v>1295.95</v>
      </c>
      <c r="M304" s="12">
        <v>0.05</v>
      </c>
      <c r="N304" s="5">
        <f t="shared" si="8"/>
        <v>24623.05</v>
      </c>
      <c r="O304" s="5">
        <v>12855.92</v>
      </c>
      <c r="P304" s="5">
        <f t="shared" si="9"/>
        <v>11767.13</v>
      </c>
      <c r="Q304" t="s">
        <v>334</v>
      </c>
      <c r="R304">
        <v>2024</v>
      </c>
      <c r="S304">
        <v>9</v>
      </c>
    </row>
    <row r="305" spans="1:19" x14ac:dyDescent="0.3">
      <c r="A305" s="19" t="s">
        <v>358</v>
      </c>
      <c r="B305" s="20">
        <v>45559</v>
      </c>
      <c r="C305" s="19" t="s">
        <v>75</v>
      </c>
      <c r="D305" s="19" t="s">
        <v>34</v>
      </c>
      <c r="E305" s="19" t="s">
        <v>42</v>
      </c>
      <c r="F305" s="19" t="s">
        <v>37</v>
      </c>
      <c r="G305" s="19" t="s">
        <v>31</v>
      </c>
      <c r="H305" s="19" t="s">
        <v>25</v>
      </c>
      <c r="I305" s="19">
        <v>3</v>
      </c>
      <c r="J305" s="21">
        <v>39306</v>
      </c>
      <c r="K305" s="21">
        <v>117918</v>
      </c>
      <c r="L305" s="21">
        <v>0</v>
      </c>
      <c r="M305" s="15">
        <v>0</v>
      </c>
      <c r="N305" s="21">
        <f t="shared" si="8"/>
        <v>117918</v>
      </c>
      <c r="O305" s="21">
        <v>68686.64</v>
      </c>
      <c r="P305" s="21">
        <f t="shared" si="9"/>
        <v>49231.360000000001</v>
      </c>
      <c r="Q305" s="19" t="s">
        <v>334</v>
      </c>
      <c r="R305" s="19">
        <v>2024</v>
      </c>
      <c r="S305" s="19">
        <v>9</v>
      </c>
    </row>
    <row r="306" spans="1:19" x14ac:dyDescent="0.3">
      <c r="A306" t="s">
        <v>359</v>
      </c>
      <c r="B306" s="2">
        <v>45560</v>
      </c>
      <c r="C306" t="s">
        <v>75</v>
      </c>
      <c r="D306" t="s">
        <v>34</v>
      </c>
      <c r="E306" t="s">
        <v>22</v>
      </c>
      <c r="F306" t="s">
        <v>23</v>
      </c>
      <c r="G306" t="s">
        <v>24</v>
      </c>
      <c r="H306" t="s">
        <v>25</v>
      </c>
      <c r="I306">
        <v>3</v>
      </c>
      <c r="J306" s="5">
        <v>38811</v>
      </c>
      <c r="K306" s="5">
        <v>116433</v>
      </c>
      <c r="L306" s="5">
        <v>0</v>
      </c>
      <c r="M306" s="12">
        <v>0</v>
      </c>
      <c r="N306" s="5">
        <f t="shared" si="8"/>
        <v>116433</v>
      </c>
      <c r="O306" s="5">
        <v>65153.21</v>
      </c>
      <c r="P306" s="5">
        <f t="shared" si="9"/>
        <v>51279.79</v>
      </c>
      <c r="Q306" t="s">
        <v>334</v>
      </c>
      <c r="R306">
        <v>2024</v>
      </c>
      <c r="S306">
        <v>9</v>
      </c>
    </row>
    <row r="307" spans="1:19" x14ac:dyDescent="0.3">
      <c r="A307" s="19" t="s">
        <v>360</v>
      </c>
      <c r="B307" s="20">
        <v>45561</v>
      </c>
      <c r="C307" s="19" t="s">
        <v>33</v>
      </c>
      <c r="D307" s="19" t="s">
        <v>34</v>
      </c>
      <c r="E307" s="19" t="s">
        <v>56</v>
      </c>
      <c r="F307" s="19" t="s">
        <v>30</v>
      </c>
      <c r="G307" s="19" t="s">
        <v>24</v>
      </c>
      <c r="H307" s="19" t="s">
        <v>25</v>
      </c>
      <c r="I307" s="19">
        <v>3</v>
      </c>
      <c r="J307" s="21">
        <v>44432</v>
      </c>
      <c r="K307" s="21">
        <v>133296</v>
      </c>
      <c r="L307" s="21">
        <v>0</v>
      </c>
      <c r="M307" s="15">
        <v>0</v>
      </c>
      <c r="N307" s="21">
        <f t="shared" si="8"/>
        <v>133296</v>
      </c>
      <c r="O307" s="21">
        <v>76966.759999999995</v>
      </c>
      <c r="P307" s="21">
        <f t="shared" si="9"/>
        <v>56329.240000000005</v>
      </c>
      <c r="Q307" s="19" t="s">
        <v>334</v>
      </c>
      <c r="R307" s="19">
        <v>2024</v>
      </c>
      <c r="S307" s="19">
        <v>9</v>
      </c>
    </row>
    <row r="308" spans="1:19" x14ac:dyDescent="0.3">
      <c r="A308" t="s">
        <v>361</v>
      </c>
      <c r="B308" s="2">
        <v>45561</v>
      </c>
      <c r="C308" t="s">
        <v>82</v>
      </c>
      <c r="D308" t="s">
        <v>21</v>
      </c>
      <c r="E308" t="s">
        <v>56</v>
      </c>
      <c r="F308" t="s">
        <v>37</v>
      </c>
      <c r="G308" t="s">
        <v>31</v>
      </c>
      <c r="H308" t="s">
        <v>25</v>
      </c>
      <c r="I308">
        <v>2</v>
      </c>
      <c r="J308" s="5">
        <v>43257</v>
      </c>
      <c r="K308" s="5">
        <v>86514</v>
      </c>
      <c r="L308" s="5">
        <v>0</v>
      </c>
      <c r="M308" s="12">
        <v>0</v>
      </c>
      <c r="N308" s="5">
        <f t="shared" si="8"/>
        <v>86514</v>
      </c>
      <c r="O308" s="5">
        <v>58406.07</v>
      </c>
      <c r="P308" s="5">
        <f t="shared" si="9"/>
        <v>28107.93</v>
      </c>
      <c r="Q308" t="s">
        <v>334</v>
      </c>
      <c r="R308">
        <v>2024</v>
      </c>
      <c r="S308">
        <v>9</v>
      </c>
    </row>
    <row r="309" spans="1:19" x14ac:dyDescent="0.3">
      <c r="A309" s="19" t="s">
        <v>362</v>
      </c>
      <c r="B309" s="20">
        <v>45563</v>
      </c>
      <c r="C309" s="19" t="s">
        <v>28</v>
      </c>
      <c r="D309" s="19" t="s">
        <v>29</v>
      </c>
      <c r="E309" s="19" t="s">
        <v>22</v>
      </c>
      <c r="F309" s="19" t="s">
        <v>30</v>
      </c>
      <c r="G309" s="19" t="s">
        <v>31</v>
      </c>
      <c r="H309" s="19" t="s">
        <v>25</v>
      </c>
      <c r="I309" s="19">
        <v>1</v>
      </c>
      <c r="J309" s="21">
        <v>61830</v>
      </c>
      <c r="K309" s="21">
        <v>61830</v>
      </c>
      <c r="L309" s="21">
        <v>0</v>
      </c>
      <c r="M309" s="15">
        <v>0</v>
      </c>
      <c r="N309" s="21">
        <f t="shared" si="8"/>
        <v>61830</v>
      </c>
      <c r="O309" s="21">
        <v>31658.15</v>
      </c>
      <c r="P309" s="21">
        <f t="shared" si="9"/>
        <v>30171.85</v>
      </c>
      <c r="Q309" s="19" t="s">
        <v>334</v>
      </c>
      <c r="R309" s="19">
        <v>2024</v>
      </c>
      <c r="S309" s="19">
        <v>9</v>
      </c>
    </row>
    <row r="310" spans="1:19" x14ac:dyDescent="0.3">
      <c r="A310" t="s">
        <v>363</v>
      </c>
      <c r="B310" s="2">
        <v>45566</v>
      </c>
      <c r="C310" t="s">
        <v>46</v>
      </c>
      <c r="D310" t="s">
        <v>21</v>
      </c>
      <c r="E310" t="s">
        <v>42</v>
      </c>
      <c r="F310" t="s">
        <v>23</v>
      </c>
      <c r="G310" t="s">
        <v>31</v>
      </c>
      <c r="H310" t="s">
        <v>25</v>
      </c>
      <c r="I310">
        <v>4</v>
      </c>
      <c r="J310" s="5">
        <v>11260</v>
      </c>
      <c r="K310" s="5">
        <v>45040</v>
      </c>
      <c r="L310" s="5">
        <v>0</v>
      </c>
      <c r="M310" s="12">
        <v>0</v>
      </c>
      <c r="N310" s="5">
        <f t="shared" si="8"/>
        <v>45040</v>
      </c>
      <c r="O310" s="5">
        <v>24936.58</v>
      </c>
      <c r="P310" s="5">
        <f t="shared" si="9"/>
        <v>20103.419999999998</v>
      </c>
      <c r="Q310" t="s">
        <v>364</v>
      </c>
      <c r="R310">
        <v>2024</v>
      </c>
      <c r="S310">
        <v>10</v>
      </c>
    </row>
    <row r="311" spans="1:19" x14ac:dyDescent="0.3">
      <c r="A311" s="19" t="s">
        <v>365</v>
      </c>
      <c r="B311" s="20">
        <v>45568</v>
      </c>
      <c r="C311" s="19" t="s">
        <v>64</v>
      </c>
      <c r="D311" s="19" t="s">
        <v>29</v>
      </c>
      <c r="E311" s="19" t="s">
        <v>56</v>
      </c>
      <c r="F311" s="19" t="s">
        <v>35</v>
      </c>
      <c r="G311" s="19" t="s">
        <v>24</v>
      </c>
      <c r="H311" s="19" t="s">
        <v>25</v>
      </c>
      <c r="I311" s="19">
        <v>3</v>
      </c>
      <c r="J311" s="21">
        <v>31195</v>
      </c>
      <c r="K311" s="21">
        <v>93585</v>
      </c>
      <c r="L311" s="21">
        <v>9358.5</v>
      </c>
      <c r="M311" s="15">
        <v>0.1</v>
      </c>
      <c r="N311" s="21">
        <f t="shared" si="8"/>
        <v>84226.5</v>
      </c>
      <c r="O311" s="21">
        <v>46844.77</v>
      </c>
      <c r="P311" s="21">
        <f t="shared" si="9"/>
        <v>37381.730000000003</v>
      </c>
      <c r="Q311" s="19" t="s">
        <v>364</v>
      </c>
      <c r="R311" s="19">
        <v>2024</v>
      </c>
      <c r="S311" s="19">
        <v>10</v>
      </c>
    </row>
    <row r="312" spans="1:19" x14ac:dyDescent="0.3">
      <c r="A312" t="s">
        <v>366</v>
      </c>
      <c r="B312" s="2">
        <v>45568</v>
      </c>
      <c r="C312" t="s">
        <v>64</v>
      </c>
      <c r="D312" t="s">
        <v>29</v>
      </c>
      <c r="E312" t="s">
        <v>22</v>
      </c>
      <c r="F312" t="s">
        <v>40</v>
      </c>
      <c r="G312" t="s">
        <v>31</v>
      </c>
      <c r="H312" t="s">
        <v>25</v>
      </c>
      <c r="I312">
        <v>1</v>
      </c>
      <c r="J312" s="5">
        <v>30626</v>
      </c>
      <c r="K312" s="5">
        <v>30626</v>
      </c>
      <c r="L312" s="5">
        <v>4593.8999999999996</v>
      </c>
      <c r="M312" s="12">
        <v>0.15</v>
      </c>
      <c r="N312" s="5">
        <f t="shared" si="8"/>
        <v>26032.1</v>
      </c>
      <c r="O312" s="5">
        <v>17379.32</v>
      </c>
      <c r="P312" s="5">
        <f t="shared" si="9"/>
        <v>8652.7799999999988</v>
      </c>
      <c r="Q312" t="s">
        <v>364</v>
      </c>
      <c r="R312">
        <v>2024</v>
      </c>
      <c r="S312">
        <v>10</v>
      </c>
    </row>
    <row r="313" spans="1:19" x14ac:dyDescent="0.3">
      <c r="A313" s="19" t="s">
        <v>367</v>
      </c>
      <c r="B313" s="20">
        <v>45570</v>
      </c>
      <c r="C313" s="19" t="s">
        <v>71</v>
      </c>
      <c r="D313" s="19" t="s">
        <v>34</v>
      </c>
      <c r="E313" s="19" t="s">
        <v>42</v>
      </c>
      <c r="F313" s="19" t="s">
        <v>40</v>
      </c>
      <c r="G313" s="19" t="s">
        <v>24</v>
      </c>
      <c r="H313" s="19" t="s">
        <v>25</v>
      </c>
      <c r="I313" s="19">
        <v>2</v>
      </c>
      <c r="J313" s="21">
        <v>53738</v>
      </c>
      <c r="K313" s="21">
        <v>107476</v>
      </c>
      <c r="L313" s="21">
        <v>0</v>
      </c>
      <c r="M313" s="15">
        <v>0</v>
      </c>
      <c r="N313" s="21">
        <f t="shared" si="8"/>
        <v>107476</v>
      </c>
      <c r="O313" s="21">
        <v>72162.28</v>
      </c>
      <c r="P313" s="21">
        <f t="shared" si="9"/>
        <v>35313.72</v>
      </c>
      <c r="Q313" s="19" t="s">
        <v>364</v>
      </c>
      <c r="R313" s="19">
        <v>2024</v>
      </c>
      <c r="S313" s="19">
        <v>10</v>
      </c>
    </row>
    <row r="314" spans="1:19" x14ac:dyDescent="0.3">
      <c r="A314" t="s">
        <v>368</v>
      </c>
      <c r="B314" s="2">
        <v>45571</v>
      </c>
      <c r="C314" t="s">
        <v>50</v>
      </c>
      <c r="D314" t="s">
        <v>34</v>
      </c>
      <c r="E314" t="s">
        <v>44</v>
      </c>
      <c r="F314" t="s">
        <v>23</v>
      </c>
      <c r="G314" t="s">
        <v>24</v>
      </c>
      <c r="H314" t="s">
        <v>25</v>
      </c>
      <c r="I314">
        <v>1</v>
      </c>
      <c r="J314" s="5">
        <v>19081</v>
      </c>
      <c r="K314" s="5">
        <v>19081</v>
      </c>
      <c r="L314" s="5">
        <v>0</v>
      </c>
      <c r="M314" s="12">
        <v>0</v>
      </c>
      <c r="N314" s="5">
        <f t="shared" si="8"/>
        <v>19081</v>
      </c>
      <c r="O314" s="5">
        <v>10221.459999999999</v>
      </c>
      <c r="P314" s="5">
        <f t="shared" si="9"/>
        <v>8859.5400000000009</v>
      </c>
      <c r="Q314" t="s">
        <v>364</v>
      </c>
      <c r="R314">
        <v>2024</v>
      </c>
      <c r="S314">
        <v>10</v>
      </c>
    </row>
    <row r="315" spans="1:19" x14ac:dyDescent="0.3">
      <c r="A315" s="19" t="s">
        <v>369</v>
      </c>
      <c r="B315" s="20">
        <v>45571</v>
      </c>
      <c r="C315" s="19" t="s">
        <v>28</v>
      </c>
      <c r="D315" s="19" t="s">
        <v>29</v>
      </c>
      <c r="E315" s="19" t="s">
        <v>42</v>
      </c>
      <c r="F315" s="19" t="s">
        <v>35</v>
      </c>
      <c r="G315" s="19" t="s">
        <v>24</v>
      </c>
      <c r="H315" s="19" t="s">
        <v>25</v>
      </c>
      <c r="I315" s="19">
        <v>1</v>
      </c>
      <c r="J315" s="21">
        <v>67577</v>
      </c>
      <c r="K315" s="21">
        <v>67577</v>
      </c>
      <c r="L315" s="21">
        <v>0</v>
      </c>
      <c r="M315" s="15">
        <v>0</v>
      </c>
      <c r="N315" s="21">
        <f t="shared" si="8"/>
        <v>67577</v>
      </c>
      <c r="O315" s="21">
        <v>38030</v>
      </c>
      <c r="P315" s="21">
        <f t="shared" si="9"/>
        <v>29547</v>
      </c>
      <c r="Q315" s="19" t="s">
        <v>364</v>
      </c>
      <c r="R315" s="19">
        <v>2024</v>
      </c>
      <c r="S315" s="19">
        <v>10</v>
      </c>
    </row>
    <row r="316" spans="1:19" x14ac:dyDescent="0.3">
      <c r="A316" t="s">
        <v>370</v>
      </c>
      <c r="B316" s="2">
        <v>45572</v>
      </c>
      <c r="C316" t="s">
        <v>50</v>
      </c>
      <c r="D316" t="s">
        <v>34</v>
      </c>
      <c r="E316" t="s">
        <v>44</v>
      </c>
      <c r="F316" t="s">
        <v>40</v>
      </c>
      <c r="G316" t="s">
        <v>24</v>
      </c>
      <c r="H316" t="s">
        <v>25</v>
      </c>
      <c r="I316">
        <v>2</v>
      </c>
      <c r="J316" s="5">
        <v>18547</v>
      </c>
      <c r="K316" s="5">
        <v>37094</v>
      </c>
      <c r="L316" s="5">
        <v>0</v>
      </c>
      <c r="M316" s="12">
        <v>0</v>
      </c>
      <c r="N316" s="5">
        <f t="shared" si="8"/>
        <v>37094</v>
      </c>
      <c r="O316" s="5">
        <v>20372.830000000002</v>
      </c>
      <c r="P316" s="5">
        <f t="shared" si="9"/>
        <v>16721.169999999998</v>
      </c>
      <c r="Q316" t="s">
        <v>364</v>
      </c>
      <c r="R316">
        <v>2024</v>
      </c>
      <c r="S316">
        <v>10</v>
      </c>
    </row>
    <row r="317" spans="1:19" x14ac:dyDescent="0.3">
      <c r="A317" s="19" t="s">
        <v>371</v>
      </c>
      <c r="B317" s="20">
        <v>45575</v>
      </c>
      <c r="C317" s="19" t="s">
        <v>82</v>
      </c>
      <c r="D317" s="19" t="s">
        <v>21</v>
      </c>
      <c r="E317" s="19" t="s">
        <v>56</v>
      </c>
      <c r="F317" s="19" t="s">
        <v>37</v>
      </c>
      <c r="G317" s="19" t="s">
        <v>24</v>
      </c>
      <c r="H317" s="19" t="s">
        <v>25</v>
      </c>
      <c r="I317" s="19">
        <v>2</v>
      </c>
      <c r="J317" s="21">
        <v>41460</v>
      </c>
      <c r="K317" s="21">
        <v>82920</v>
      </c>
      <c r="L317" s="21">
        <v>0</v>
      </c>
      <c r="M317" s="15">
        <v>0</v>
      </c>
      <c r="N317" s="21">
        <f t="shared" si="8"/>
        <v>82920</v>
      </c>
      <c r="O317" s="21">
        <v>50774.97</v>
      </c>
      <c r="P317" s="21">
        <f t="shared" si="9"/>
        <v>32145.03</v>
      </c>
      <c r="Q317" s="19" t="s">
        <v>364</v>
      </c>
      <c r="R317" s="19">
        <v>2024</v>
      </c>
      <c r="S317" s="19">
        <v>10</v>
      </c>
    </row>
    <row r="318" spans="1:19" x14ac:dyDescent="0.3">
      <c r="A318" t="s">
        <v>372</v>
      </c>
      <c r="B318" s="2">
        <v>45576</v>
      </c>
      <c r="C318" t="s">
        <v>28</v>
      </c>
      <c r="D318" t="s">
        <v>29</v>
      </c>
      <c r="E318" t="s">
        <v>42</v>
      </c>
      <c r="F318" t="s">
        <v>30</v>
      </c>
      <c r="G318" t="s">
        <v>24</v>
      </c>
      <c r="H318" t="s">
        <v>25</v>
      </c>
      <c r="I318">
        <v>2</v>
      </c>
      <c r="J318" s="5">
        <v>61666</v>
      </c>
      <c r="K318" s="5">
        <v>123332</v>
      </c>
      <c r="L318" s="5">
        <v>0</v>
      </c>
      <c r="M318" s="12">
        <v>0</v>
      </c>
      <c r="N318" s="5">
        <f t="shared" si="8"/>
        <v>123332</v>
      </c>
      <c r="O318" s="5">
        <v>60171.45</v>
      </c>
      <c r="P318" s="5">
        <f t="shared" si="9"/>
        <v>63160.55</v>
      </c>
      <c r="Q318" t="s">
        <v>364</v>
      </c>
      <c r="R318">
        <v>2024</v>
      </c>
      <c r="S318">
        <v>10</v>
      </c>
    </row>
    <row r="319" spans="1:19" x14ac:dyDescent="0.3">
      <c r="A319" s="19" t="s">
        <v>373</v>
      </c>
      <c r="B319" s="20">
        <v>45576</v>
      </c>
      <c r="C319" s="19" t="s">
        <v>33</v>
      </c>
      <c r="D319" s="19" t="s">
        <v>34</v>
      </c>
      <c r="E319" s="19" t="s">
        <v>42</v>
      </c>
      <c r="F319" s="19" t="s">
        <v>40</v>
      </c>
      <c r="G319" s="19" t="s">
        <v>24</v>
      </c>
      <c r="H319" s="19" t="s">
        <v>25</v>
      </c>
      <c r="I319" s="19">
        <v>3</v>
      </c>
      <c r="J319" s="21">
        <v>43438</v>
      </c>
      <c r="K319" s="21">
        <v>130314</v>
      </c>
      <c r="L319" s="21">
        <v>0</v>
      </c>
      <c r="M319" s="15">
        <v>0</v>
      </c>
      <c r="N319" s="21">
        <f t="shared" si="8"/>
        <v>130314</v>
      </c>
      <c r="O319" s="21">
        <v>66154.570000000007</v>
      </c>
      <c r="P319" s="21">
        <f t="shared" si="9"/>
        <v>64159.429999999993</v>
      </c>
      <c r="Q319" s="19" t="s">
        <v>364</v>
      </c>
      <c r="R319" s="19">
        <v>2024</v>
      </c>
      <c r="S319" s="19">
        <v>10</v>
      </c>
    </row>
    <row r="320" spans="1:19" x14ac:dyDescent="0.3">
      <c r="A320" t="s">
        <v>374</v>
      </c>
      <c r="B320" s="2">
        <v>45576</v>
      </c>
      <c r="C320" t="s">
        <v>48</v>
      </c>
      <c r="D320" t="s">
        <v>34</v>
      </c>
      <c r="E320" t="s">
        <v>56</v>
      </c>
      <c r="F320" t="s">
        <v>40</v>
      </c>
      <c r="G320" t="s">
        <v>31</v>
      </c>
      <c r="H320" t="s">
        <v>25</v>
      </c>
      <c r="I320">
        <v>1</v>
      </c>
      <c r="J320" s="5">
        <v>23932</v>
      </c>
      <c r="K320" s="5">
        <v>23932</v>
      </c>
      <c r="L320" s="5">
        <v>0</v>
      </c>
      <c r="M320" s="12">
        <v>0</v>
      </c>
      <c r="N320" s="5">
        <f t="shared" si="8"/>
        <v>23932</v>
      </c>
      <c r="O320" s="5">
        <v>14501.01</v>
      </c>
      <c r="P320" s="5">
        <f t="shared" si="9"/>
        <v>9430.99</v>
      </c>
      <c r="Q320" t="s">
        <v>364</v>
      </c>
      <c r="R320">
        <v>2024</v>
      </c>
      <c r="S320">
        <v>10</v>
      </c>
    </row>
    <row r="321" spans="1:19" x14ac:dyDescent="0.3">
      <c r="A321" s="19" t="s">
        <v>375</v>
      </c>
      <c r="B321" s="20">
        <v>45577</v>
      </c>
      <c r="C321" s="19" t="s">
        <v>33</v>
      </c>
      <c r="D321" s="19" t="s">
        <v>34</v>
      </c>
      <c r="E321" s="19" t="s">
        <v>22</v>
      </c>
      <c r="F321" s="19" t="s">
        <v>35</v>
      </c>
      <c r="G321" s="19" t="s">
        <v>31</v>
      </c>
      <c r="H321" s="19" t="s">
        <v>25</v>
      </c>
      <c r="I321" s="19">
        <v>1</v>
      </c>
      <c r="J321" s="21">
        <v>38702</v>
      </c>
      <c r="K321" s="21">
        <v>38702</v>
      </c>
      <c r="L321" s="21">
        <v>0</v>
      </c>
      <c r="M321" s="15">
        <v>0</v>
      </c>
      <c r="N321" s="21">
        <f t="shared" si="8"/>
        <v>38702</v>
      </c>
      <c r="O321" s="21">
        <v>25170.91</v>
      </c>
      <c r="P321" s="21">
        <f t="shared" si="9"/>
        <v>13531.09</v>
      </c>
      <c r="Q321" s="19" t="s">
        <v>364</v>
      </c>
      <c r="R321" s="19">
        <v>2024</v>
      </c>
      <c r="S321" s="19">
        <v>10</v>
      </c>
    </row>
    <row r="322" spans="1:19" x14ac:dyDescent="0.3">
      <c r="A322" t="s">
        <v>376</v>
      </c>
      <c r="B322" s="2">
        <v>45580</v>
      </c>
      <c r="C322" t="s">
        <v>64</v>
      </c>
      <c r="D322" t="s">
        <v>29</v>
      </c>
      <c r="E322" t="s">
        <v>44</v>
      </c>
      <c r="F322" t="s">
        <v>40</v>
      </c>
      <c r="G322" t="s">
        <v>31</v>
      </c>
      <c r="H322" t="s">
        <v>25</v>
      </c>
      <c r="I322">
        <v>1</v>
      </c>
      <c r="J322" s="5">
        <v>27694</v>
      </c>
      <c r="K322" s="5">
        <v>27694</v>
      </c>
      <c r="L322" s="5">
        <v>0</v>
      </c>
      <c r="M322" s="12">
        <v>0</v>
      </c>
      <c r="N322" s="5">
        <f t="shared" si="8"/>
        <v>27694</v>
      </c>
      <c r="O322" s="5">
        <v>16190.79</v>
      </c>
      <c r="P322" s="5">
        <f t="shared" si="9"/>
        <v>11503.21</v>
      </c>
      <c r="Q322" t="s">
        <v>364</v>
      </c>
      <c r="R322">
        <v>2024</v>
      </c>
      <c r="S322">
        <v>10</v>
      </c>
    </row>
    <row r="323" spans="1:19" x14ac:dyDescent="0.3">
      <c r="A323" s="19" t="s">
        <v>377</v>
      </c>
      <c r="B323" s="20">
        <v>45580</v>
      </c>
      <c r="C323" s="19" t="s">
        <v>82</v>
      </c>
      <c r="D323" s="19" t="s">
        <v>21</v>
      </c>
      <c r="E323" s="19" t="s">
        <v>56</v>
      </c>
      <c r="F323" s="19" t="s">
        <v>37</v>
      </c>
      <c r="G323" s="19" t="s">
        <v>31</v>
      </c>
      <c r="H323" s="19" t="s">
        <v>25</v>
      </c>
      <c r="I323" s="19">
        <v>2</v>
      </c>
      <c r="J323" s="21">
        <v>47018</v>
      </c>
      <c r="K323" s="21">
        <v>94036</v>
      </c>
      <c r="L323" s="21">
        <v>0</v>
      </c>
      <c r="M323" s="15">
        <v>0</v>
      </c>
      <c r="N323" s="21">
        <f t="shared" ref="N323:N386" si="10">K323-L323</f>
        <v>94036</v>
      </c>
      <c r="O323" s="21">
        <v>47729.34</v>
      </c>
      <c r="P323" s="21">
        <f t="shared" si="9"/>
        <v>46306.66</v>
      </c>
      <c r="Q323" s="19" t="s">
        <v>364</v>
      </c>
      <c r="R323" s="19">
        <v>2024</v>
      </c>
      <c r="S323" s="19">
        <v>10</v>
      </c>
    </row>
    <row r="324" spans="1:19" x14ac:dyDescent="0.3">
      <c r="A324" t="s">
        <v>378</v>
      </c>
      <c r="B324" s="2">
        <v>45584</v>
      </c>
      <c r="C324" t="s">
        <v>75</v>
      </c>
      <c r="D324" t="s">
        <v>34</v>
      </c>
      <c r="E324" t="s">
        <v>42</v>
      </c>
      <c r="F324" t="s">
        <v>40</v>
      </c>
      <c r="G324" t="s">
        <v>24</v>
      </c>
      <c r="H324" t="s">
        <v>25</v>
      </c>
      <c r="I324">
        <v>1</v>
      </c>
      <c r="J324" s="5">
        <v>36771</v>
      </c>
      <c r="K324" s="5">
        <v>36771</v>
      </c>
      <c r="L324" s="5">
        <v>0</v>
      </c>
      <c r="M324" s="12">
        <v>0</v>
      </c>
      <c r="N324" s="5">
        <f t="shared" si="10"/>
        <v>36771</v>
      </c>
      <c r="O324" s="5">
        <v>20576.740000000002</v>
      </c>
      <c r="P324" s="5">
        <f t="shared" ref="P324:P387" si="11">N324-O324</f>
        <v>16194.259999999998</v>
      </c>
      <c r="Q324" t="s">
        <v>364</v>
      </c>
      <c r="R324">
        <v>2024</v>
      </c>
      <c r="S324">
        <v>10</v>
      </c>
    </row>
    <row r="325" spans="1:19" x14ac:dyDescent="0.3">
      <c r="A325" s="19" t="s">
        <v>379</v>
      </c>
      <c r="B325" s="20">
        <v>45585</v>
      </c>
      <c r="C325" s="19" t="s">
        <v>48</v>
      </c>
      <c r="D325" s="19" t="s">
        <v>34</v>
      </c>
      <c r="E325" s="19" t="s">
        <v>44</v>
      </c>
      <c r="F325" s="19" t="s">
        <v>37</v>
      </c>
      <c r="G325" s="19" t="s">
        <v>24</v>
      </c>
      <c r="H325" s="19" t="s">
        <v>25</v>
      </c>
      <c r="I325" s="19">
        <v>1</v>
      </c>
      <c r="J325" s="21">
        <v>23357</v>
      </c>
      <c r="K325" s="21">
        <v>23357</v>
      </c>
      <c r="L325" s="21">
        <v>0</v>
      </c>
      <c r="M325" s="15">
        <v>0</v>
      </c>
      <c r="N325" s="21">
        <f t="shared" si="10"/>
        <v>23357</v>
      </c>
      <c r="O325" s="21">
        <v>13518.16</v>
      </c>
      <c r="P325" s="21">
        <f t="shared" si="11"/>
        <v>9838.84</v>
      </c>
      <c r="Q325" s="19" t="s">
        <v>364</v>
      </c>
      <c r="R325" s="19">
        <v>2024</v>
      </c>
      <c r="S325" s="19">
        <v>10</v>
      </c>
    </row>
    <row r="326" spans="1:19" x14ac:dyDescent="0.3">
      <c r="A326" t="s">
        <v>380</v>
      </c>
      <c r="B326" s="2">
        <v>45587</v>
      </c>
      <c r="C326" t="s">
        <v>50</v>
      </c>
      <c r="D326" t="s">
        <v>34</v>
      </c>
      <c r="E326" t="s">
        <v>56</v>
      </c>
      <c r="F326" t="s">
        <v>30</v>
      </c>
      <c r="G326" t="s">
        <v>31</v>
      </c>
      <c r="H326" t="s">
        <v>25</v>
      </c>
      <c r="I326">
        <v>5</v>
      </c>
      <c r="J326" s="5">
        <v>18160</v>
      </c>
      <c r="K326" s="5">
        <v>90800</v>
      </c>
      <c r="L326" s="5">
        <v>0</v>
      </c>
      <c r="M326" s="12">
        <v>0</v>
      </c>
      <c r="N326" s="5">
        <f t="shared" si="10"/>
        <v>90800</v>
      </c>
      <c r="O326" s="5">
        <v>49324.46</v>
      </c>
      <c r="P326" s="5">
        <f t="shared" si="11"/>
        <v>41475.54</v>
      </c>
      <c r="Q326" t="s">
        <v>364</v>
      </c>
      <c r="R326">
        <v>2024</v>
      </c>
      <c r="S326">
        <v>10</v>
      </c>
    </row>
    <row r="327" spans="1:19" x14ac:dyDescent="0.3">
      <c r="A327" s="19" t="s">
        <v>381</v>
      </c>
      <c r="B327" s="20">
        <v>45587</v>
      </c>
      <c r="C327" s="19" t="s">
        <v>33</v>
      </c>
      <c r="D327" s="19" t="s">
        <v>34</v>
      </c>
      <c r="E327" s="19" t="s">
        <v>42</v>
      </c>
      <c r="F327" s="19" t="s">
        <v>35</v>
      </c>
      <c r="G327" s="19" t="s">
        <v>24</v>
      </c>
      <c r="H327" s="19" t="s">
        <v>25</v>
      </c>
      <c r="I327" s="19">
        <v>2</v>
      </c>
      <c r="J327" s="21">
        <v>40203</v>
      </c>
      <c r="K327" s="21">
        <v>80406</v>
      </c>
      <c r="L327" s="21">
        <v>0</v>
      </c>
      <c r="M327" s="15">
        <v>0</v>
      </c>
      <c r="N327" s="21">
        <f t="shared" si="10"/>
        <v>80406</v>
      </c>
      <c r="O327" s="21">
        <v>41389.03</v>
      </c>
      <c r="P327" s="21">
        <f t="shared" si="11"/>
        <v>39016.97</v>
      </c>
      <c r="Q327" s="19" t="s">
        <v>364</v>
      </c>
      <c r="R327" s="19">
        <v>2024</v>
      </c>
      <c r="S327" s="19">
        <v>10</v>
      </c>
    </row>
    <row r="328" spans="1:19" x14ac:dyDescent="0.3">
      <c r="A328" t="s">
        <v>382</v>
      </c>
      <c r="B328" s="2">
        <v>45587</v>
      </c>
      <c r="C328" t="s">
        <v>33</v>
      </c>
      <c r="D328" t="s">
        <v>34</v>
      </c>
      <c r="E328" t="s">
        <v>22</v>
      </c>
      <c r="F328" t="s">
        <v>23</v>
      </c>
      <c r="G328" t="s">
        <v>31</v>
      </c>
      <c r="H328" t="s">
        <v>25</v>
      </c>
      <c r="I328">
        <v>4</v>
      </c>
      <c r="J328" s="5">
        <v>44867</v>
      </c>
      <c r="K328" s="5">
        <v>179468</v>
      </c>
      <c r="L328" s="5">
        <v>0</v>
      </c>
      <c r="M328" s="12">
        <v>0</v>
      </c>
      <c r="N328" s="5">
        <f t="shared" si="10"/>
        <v>179468</v>
      </c>
      <c r="O328" s="5">
        <v>95375.65</v>
      </c>
      <c r="P328" s="5">
        <f t="shared" si="11"/>
        <v>84092.35</v>
      </c>
      <c r="Q328" t="s">
        <v>364</v>
      </c>
      <c r="R328">
        <v>2024</v>
      </c>
      <c r="S328">
        <v>10</v>
      </c>
    </row>
    <row r="329" spans="1:19" x14ac:dyDescent="0.3">
      <c r="A329" s="19" t="s">
        <v>383</v>
      </c>
      <c r="B329" s="20">
        <v>45593</v>
      </c>
      <c r="C329" s="19" t="s">
        <v>50</v>
      </c>
      <c r="D329" s="19" t="s">
        <v>34</v>
      </c>
      <c r="E329" s="19" t="s">
        <v>56</v>
      </c>
      <c r="F329" s="19" t="s">
        <v>40</v>
      </c>
      <c r="G329" s="19" t="s">
        <v>31</v>
      </c>
      <c r="H329" s="19" t="s">
        <v>25</v>
      </c>
      <c r="I329" s="19">
        <v>1</v>
      </c>
      <c r="J329" s="21">
        <v>16773</v>
      </c>
      <c r="K329" s="21">
        <v>16773</v>
      </c>
      <c r="L329" s="21">
        <v>0</v>
      </c>
      <c r="M329" s="15">
        <v>0</v>
      </c>
      <c r="N329" s="21">
        <f t="shared" si="10"/>
        <v>16773</v>
      </c>
      <c r="O329" s="21">
        <v>10778.09</v>
      </c>
      <c r="P329" s="21">
        <f t="shared" si="11"/>
        <v>5994.91</v>
      </c>
      <c r="Q329" s="19" t="s">
        <v>364</v>
      </c>
      <c r="R329" s="19">
        <v>2024</v>
      </c>
      <c r="S329" s="19">
        <v>10</v>
      </c>
    </row>
    <row r="330" spans="1:19" x14ac:dyDescent="0.3">
      <c r="A330" t="s">
        <v>384</v>
      </c>
      <c r="B330" s="2">
        <v>45593</v>
      </c>
      <c r="C330" t="s">
        <v>20</v>
      </c>
      <c r="D330" t="s">
        <v>21</v>
      </c>
      <c r="E330" t="s">
        <v>44</v>
      </c>
      <c r="F330" t="s">
        <v>30</v>
      </c>
      <c r="G330" t="s">
        <v>31</v>
      </c>
      <c r="H330" t="s">
        <v>25</v>
      </c>
      <c r="I330">
        <v>2</v>
      </c>
      <c r="J330" s="5">
        <v>14168</v>
      </c>
      <c r="K330" s="5">
        <v>28336</v>
      </c>
      <c r="L330" s="5">
        <v>0</v>
      </c>
      <c r="M330" s="12">
        <v>0</v>
      </c>
      <c r="N330" s="5">
        <f t="shared" si="10"/>
        <v>28336</v>
      </c>
      <c r="O330" s="5">
        <v>15171.17</v>
      </c>
      <c r="P330" s="5">
        <f t="shared" si="11"/>
        <v>13164.83</v>
      </c>
      <c r="Q330" t="s">
        <v>364</v>
      </c>
      <c r="R330">
        <v>2024</v>
      </c>
      <c r="S330">
        <v>10</v>
      </c>
    </row>
    <row r="331" spans="1:19" x14ac:dyDescent="0.3">
      <c r="A331" s="19" t="s">
        <v>385</v>
      </c>
      <c r="B331" s="20">
        <v>45594</v>
      </c>
      <c r="C331" s="19" t="s">
        <v>46</v>
      </c>
      <c r="D331" s="19" t="s">
        <v>21</v>
      </c>
      <c r="E331" s="19" t="s">
        <v>42</v>
      </c>
      <c r="F331" s="19" t="s">
        <v>40</v>
      </c>
      <c r="G331" s="19" t="s">
        <v>31</v>
      </c>
      <c r="H331" s="19" t="s">
        <v>25</v>
      </c>
      <c r="I331" s="19">
        <v>5</v>
      </c>
      <c r="J331" s="21">
        <v>12810</v>
      </c>
      <c r="K331" s="21">
        <v>64050</v>
      </c>
      <c r="L331" s="21">
        <v>0</v>
      </c>
      <c r="M331" s="15">
        <v>0</v>
      </c>
      <c r="N331" s="21">
        <f t="shared" si="10"/>
        <v>64050</v>
      </c>
      <c r="O331" s="21">
        <v>43048.88</v>
      </c>
      <c r="P331" s="21">
        <f t="shared" si="11"/>
        <v>21001.120000000003</v>
      </c>
      <c r="Q331" s="19" t="s">
        <v>364</v>
      </c>
      <c r="R331" s="19">
        <v>2024</v>
      </c>
      <c r="S331" s="19">
        <v>10</v>
      </c>
    </row>
    <row r="332" spans="1:19" x14ac:dyDescent="0.3">
      <c r="A332" t="s">
        <v>386</v>
      </c>
      <c r="B332" s="2">
        <v>45596</v>
      </c>
      <c r="C332" t="s">
        <v>71</v>
      </c>
      <c r="D332" t="s">
        <v>34</v>
      </c>
      <c r="E332" t="s">
        <v>44</v>
      </c>
      <c r="F332" t="s">
        <v>37</v>
      </c>
      <c r="G332" t="s">
        <v>31</v>
      </c>
      <c r="H332" t="s">
        <v>25</v>
      </c>
      <c r="I332">
        <v>1</v>
      </c>
      <c r="J332" s="5">
        <v>48601</v>
      </c>
      <c r="K332" s="5">
        <v>48601</v>
      </c>
      <c r="L332" s="5">
        <v>0</v>
      </c>
      <c r="M332" s="12">
        <v>0</v>
      </c>
      <c r="N332" s="5">
        <f t="shared" si="10"/>
        <v>48601</v>
      </c>
      <c r="O332" s="5">
        <v>25972.36</v>
      </c>
      <c r="P332" s="5">
        <f t="shared" si="11"/>
        <v>22628.639999999999</v>
      </c>
      <c r="Q332" t="s">
        <v>364</v>
      </c>
      <c r="R332">
        <v>2024</v>
      </c>
      <c r="S332">
        <v>10</v>
      </c>
    </row>
    <row r="333" spans="1:19" x14ac:dyDescent="0.3">
      <c r="A333" s="19" t="s">
        <v>387</v>
      </c>
      <c r="B333" s="20">
        <v>45602</v>
      </c>
      <c r="C333" s="19" t="s">
        <v>48</v>
      </c>
      <c r="D333" s="19" t="s">
        <v>34</v>
      </c>
      <c r="E333" s="19" t="s">
        <v>56</v>
      </c>
      <c r="F333" s="19" t="s">
        <v>40</v>
      </c>
      <c r="G333" s="19" t="s">
        <v>31</v>
      </c>
      <c r="H333" s="19" t="s">
        <v>388</v>
      </c>
      <c r="I333" s="19">
        <v>1</v>
      </c>
      <c r="J333" s="21">
        <v>25777</v>
      </c>
      <c r="K333" s="21">
        <v>25777</v>
      </c>
      <c r="L333" s="21">
        <v>3866.55</v>
      </c>
      <c r="M333" s="15">
        <v>0.15</v>
      </c>
      <c r="N333" s="21">
        <f t="shared" si="10"/>
        <v>21910.45</v>
      </c>
      <c r="O333" s="21">
        <v>16682.79</v>
      </c>
      <c r="P333" s="21">
        <f t="shared" si="11"/>
        <v>5227.66</v>
      </c>
      <c r="Q333" s="19" t="s">
        <v>389</v>
      </c>
      <c r="R333" s="19">
        <v>2024</v>
      </c>
      <c r="S333" s="19">
        <v>11</v>
      </c>
    </row>
    <row r="334" spans="1:19" x14ac:dyDescent="0.3">
      <c r="A334" t="s">
        <v>390</v>
      </c>
      <c r="B334" s="2">
        <v>45604</v>
      </c>
      <c r="C334" t="s">
        <v>48</v>
      </c>
      <c r="D334" t="s">
        <v>34</v>
      </c>
      <c r="E334" t="s">
        <v>42</v>
      </c>
      <c r="F334" t="s">
        <v>40</v>
      </c>
      <c r="G334" t="s">
        <v>31</v>
      </c>
      <c r="H334" t="s">
        <v>388</v>
      </c>
      <c r="I334">
        <v>2</v>
      </c>
      <c r="J334" s="5">
        <v>25996</v>
      </c>
      <c r="K334" s="5">
        <v>51992</v>
      </c>
      <c r="L334" s="5">
        <v>7798.8</v>
      </c>
      <c r="M334" s="12">
        <v>0.15</v>
      </c>
      <c r="N334" s="5">
        <f t="shared" si="10"/>
        <v>44193.2</v>
      </c>
      <c r="O334" s="5">
        <v>25516.62</v>
      </c>
      <c r="P334" s="5">
        <f t="shared" si="11"/>
        <v>18676.579999999998</v>
      </c>
      <c r="Q334" t="s">
        <v>389</v>
      </c>
      <c r="R334">
        <v>2024</v>
      </c>
      <c r="S334">
        <v>11</v>
      </c>
    </row>
    <row r="335" spans="1:19" x14ac:dyDescent="0.3">
      <c r="A335" s="19" t="s">
        <v>391</v>
      </c>
      <c r="B335" s="20">
        <v>45604</v>
      </c>
      <c r="C335" s="19" t="s">
        <v>71</v>
      </c>
      <c r="D335" s="19" t="s">
        <v>34</v>
      </c>
      <c r="E335" s="19" t="s">
        <v>22</v>
      </c>
      <c r="F335" s="19" t="s">
        <v>30</v>
      </c>
      <c r="G335" s="19" t="s">
        <v>31</v>
      </c>
      <c r="H335" s="19" t="s">
        <v>388</v>
      </c>
      <c r="I335" s="19">
        <v>1</v>
      </c>
      <c r="J335" s="21">
        <v>50440</v>
      </c>
      <c r="K335" s="21">
        <v>50440</v>
      </c>
      <c r="L335" s="21">
        <v>7566</v>
      </c>
      <c r="M335" s="15">
        <v>0.15</v>
      </c>
      <c r="N335" s="21">
        <f t="shared" si="10"/>
        <v>42874</v>
      </c>
      <c r="O335" s="21">
        <v>30285.88</v>
      </c>
      <c r="P335" s="21">
        <f t="shared" si="11"/>
        <v>12588.119999999999</v>
      </c>
      <c r="Q335" s="19" t="s">
        <v>389</v>
      </c>
      <c r="R335" s="19">
        <v>2024</v>
      </c>
      <c r="S335" s="19">
        <v>11</v>
      </c>
    </row>
    <row r="336" spans="1:19" x14ac:dyDescent="0.3">
      <c r="A336" t="s">
        <v>392</v>
      </c>
      <c r="B336" s="2">
        <v>45605</v>
      </c>
      <c r="C336" t="s">
        <v>20</v>
      </c>
      <c r="D336" t="s">
        <v>21</v>
      </c>
      <c r="E336" t="s">
        <v>42</v>
      </c>
      <c r="F336" t="s">
        <v>37</v>
      </c>
      <c r="G336" t="s">
        <v>31</v>
      </c>
      <c r="H336" t="s">
        <v>388</v>
      </c>
      <c r="I336">
        <v>1</v>
      </c>
      <c r="J336" s="5">
        <v>14555</v>
      </c>
      <c r="K336" s="5">
        <v>14555</v>
      </c>
      <c r="L336" s="5">
        <v>727.75</v>
      </c>
      <c r="M336" s="12">
        <v>0.05</v>
      </c>
      <c r="N336" s="5">
        <f t="shared" si="10"/>
        <v>13827.25</v>
      </c>
      <c r="O336" s="5">
        <v>9259.7900000000009</v>
      </c>
      <c r="P336" s="5">
        <f t="shared" si="11"/>
        <v>4567.4599999999991</v>
      </c>
      <c r="Q336" t="s">
        <v>389</v>
      </c>
      <c r="R336">
        <v>2024</v>
      </c>
      <c r="S336">
        <v>11</v>
      </c>
    </row>
    <row r="337" spans="1:19" x14ac:dyDescent="0.3">
      <c r="A337" s="19" t="s">
        <v>393</v>
      </c>
      <c r="B337" s="20">
        <v>45606</v>
      </c>
      <c r="C337" s="19" t="s">
        <v>20</v>
      </c>
      <c r="D337" s="19" t="s">
        <v>21</v>
      </c>
      <c r="E337" s="19" t="s">
        <v>44</v>
      </c>
      <c r="F337" s="19" t="s">
        <v>40</v>
      </c>
      <c r="G337" s="19" t="s">
        <v>31</v>
      </c>
      <c r="H337" s="19" t="s">
        <v>388</v>
      </c>
      <c r="I337" s="19">
        <v>1</v>
      </c>
      <c r="J337" s="21">
        <v>14108</v>
      </c>
      <c r="K337" s="21">
        <v>14108</v>
      </c>
      <c r="L337" s="21">
        <v>2821.6</v>
      </c>
      <c r="M337" s="15">
        <v>0.2</v>
      </c>
      <c r="N337" s="21">
        <f t="shared" si="10"/>
        <v>11286.4</v>
      </c>
      <c r="O337" s="21">
        <v>9072.44</v>
      </c>
      <c r="P337" s="21">
        <f t="shared" si="11"/>
        <v>2213.9599999999991</v>
      </c>
      <c r="Q337" s="19" t="s">
        <v>389</v>
      </c>
      <c r="R337" s="19">
        <v>2024</v>
      </c>
      <c r="S337" s="19">
        <v>11</v>
      </c>
    </row>
    <row r="338" spans="1:19" x14ac:dyDescent="0.3">
      <c r="A338" t="s">
        <v>394</v>
      </c>
      <c r="B338" s="2">
        <v>45607</v>
      </c>
      <c r="C338" t="s">
        <v>46</v>
      </c>
      <c r="D338" t="s">
        <v>21</v>
      </c>
      <c r="E338" t="s">
        <v>56</v>
      </c>
      <c r="F338" t="s">
        <v>35</v>
      </c>
      <c r="G338" t="s">
        <v>24</v>
      </c>
      <c r="H338" t="s">
        <v>388</v>
      </c>
      <c r="I338">
        <v>2</v>
      </c>
      <c r="J338" s="5">
        <v>12185</v>
      </c>
      <c r="K338" s="5">
        <v>24370</v>
      </c>
      <c r="L338" s="5">
        <v>2437</v>
      </c>
      <c r="M338" s="12">
        <v>0.1</v>
      </c>
      <c r="N338" s="5">
        <f t="shared" si="10"/>
        <v>21933</v>
      </c>
      <c r="O338" s="5">
        <v>13863.7</v>
      </c>
      <c r="P338" s="5">
        <f t="shared" si="11"/>
        <v>8069.2999999999993</v>
      </c>
      <c r="Q338" t="s">
        <v>389</v>
      </c>
      <c r="R338">
        <v>2024</v>
      </c>
      <c r="S338">
        <v>11</v>
      </c>
    </row>
    <row r="339" spans="1:19" x14ac:dyDescent="0.3">
      <c r="A339" s="19" t="s">
        <v>395</v>
      </c>
      <c r="B339" s="20">
        <v>45609</v>
      </c>
      <c r="C339" s="19" t="s">
        <v>33</v>
      </c>
      <c r="D339" s="19" t="s">
        <v>34</v>
      </c>
      <c r="E339" s="19" t="s">
        <v>56</v>
      </c>
      <c r="F339" s="19" t="s">
        <v>37</v>
      </c>
      <c r="G339" s="19" t="s">
        <v>31</v>
      </c>
      <c r="H339" s="19" t="s">
        <v>388</v>
      </c>
      <c r="I339" s="19">
        <v>1</v>
      </c>
      <c r="J339" s="21">
        <v>42706</v>
      </c>
      <c r="K339" s="21">
        <v>42706</v>
      </c>
      <c r="L339" s="21">
        <v>2135.3000000000002</v>
      </c>
      <c r="M339" s="15">
        <v>0.05</v>
      </c>
      <c r="N339" s="21">
        <f t="shared" si="10"/>
        <v>40570.699999999997</v>
      </c>
      <c r="O339" s="21">
        <v>23049.9</v>
      </c>
      <c r="P339" s="21">
        <f t="shared" si="11"/>
        <v>17520.799999999996</v>
      </c>
      <c r="Q339" s="19" t="s">
        <v>389</v>
      </c>
      <c r="R339" s="19">
        <v>2024</v>
      </c>
      <c r="S339" s="19">
        <v>11</v>
      </c>
    </row>
    <row r="340" spans="1:19" x14ac:dyDescent="0.3">
      <c r="A340" t="s">
        <v>396</v>
      </c>
      <c r="B340" s="2">
        <v>45609</v>
      </c>
      <c r="C340" t="s">
        <v>71</v>
      </c>
      <c r="D340" t="s">
        <v>34</v>
      </c>
      <c r="E340" t="s">
        <v>44</v>
      </c>
      <c r="F340" t="s">
        <v>40</v>
      </c>
      <c r="G340" t="s">
        <v>24</v>
      </c>
      <c r="H340" t="s">
        <v>388</v>
      </c>
      <c r="I340">
        <v>4</v>
      </c>
      <c r="J340" s="5">
        <v>52613</v>
      </c>
      <c r="K340" s="5">
        <v>210452</v>
      </c>
      <c r="L340" s="5">
        <v>31567.8</v>
      </c>
      <c r="M340" s="12">
        <v>0.15</v>
      </c>
      <c r="N340" s="5">
        <f t="shared" si="10"/>
        <v>178884.2</v>
      </c>
      <c r="O340" s="5">
        <v>113156.06</v>
      </c>
      <c r="P340" s="5">
        <f t="shared" si="11"/>
        <v>65728.140000000014</v>
      </c>
      <c r="Q340" t="s">
        <v>389</v>
      </c>
      <c r="R340">
        <v>2024</v>
      </c>
      <c r="S340">
        <v>11</v>
      </c>
    </row>
    <row r="341" spans="1:19" x14ac:dyDescent="0.3">
      <c r="A341" s="19" t="s">
        <v>397</v>
      </c>
      <c r="B341" s="20">
        <v>45609</v>
      </c>
      <c r="C341" s="19" t="s">
        <v>28</v>
      </c>
      <c r="D341" s="19" t="s">
        <v>29</v>
      </c>
      <c r="E341" s="19" t="s">
        <v>22</v>
      </c>
      <c r="F341" s="19" t="s">
        <v>30</v>
      </c>
      <c r="G341" s="19" t="s">
        <v>24</v>
      </c>
      <c r="H341" s="19" t="s">
        <v>388</v>
      </c>
      <c r="I341" s="19">
        <v>4</v>
      </c>
      <c r="J341" s="21">
        <v>69463</v>
      </c>
      <c r="K341" s="21">
        <v>277852</v>
      </c>
      <c r="L341" s="21">
        <v>41677.800000000003</v>
      </c>
      <c r="M341" s="15">
        <v>0.15</v>
      </c>
      <c r="N341" s="21">
        <f t="shared" si="10"/>
        <v>236174.2</v>
      </c>
      <c r="O341" s="21">
        <v>176078.99</v>
      </c>
      <c r="P341" s="21">
        <f t="shared" si="11"/>
        <v>60095.210000000021</v>
      </c>
      <c r="Q341" s="19" t="s">
        <v>389</v>
      </c>
      <c r="R341" s="19">
        <v>2024</v>
      </c>
      <c r="S341" s="19">
        <v>11</v>
      </c>
    </row>
    <row r="342" spans="1:19" x14ac:dyDescent="0.3">
      <c r="A342" t="s">
        <v>398</v>
      </c>
      <c r="B342" s="2">
        <v>45611</v>
      </c>
      <c r="C342" t="s">
        <v>46</v>
      </c>
      <c r="D342" t="s">
        <v>21</v>
      </c>
      <c r="E342" t="s">
        <v>42</v>
      </c>
      <c r="F342" t="s">
        <v>35</v>
      </c>
      <c r="G342" t="s">
        <v>31</v>
      </c>
      <c r="H342" t="s">
        <v>25</v>
      </c>
      <c r="I342">
        <v>1</v>
      </c>
      <c r="J342" s="5">
        <v>11999</v>
      </c>
      <c r="K342" s="5">
        <v>11999</v>
      </c>
      <c r="L342" s="5">
        <v>0</v>
      </c>
      <c r="M342" s="12">
        <v>0</v>
      </c>
      <c r="N342" s="5">
        <f t="shared" si="10"/>
        <v>11999</v>
      </c>
      <c r="O342" s="5">
        <v>6062.36</v>
      </c>
      <c r="P342" s="5">
        <f t="shared" si="11"/>
        <v>5936.64</v>
      </c>
      <c r="Q342" t="s">
        <v>389</v>
      </c>
      <c r="R342">
        <v>2024</v>
      </c>
      <c r="S342">
        <v>11</v>
      </c>
    </row>
    <row r="343" spans="1:19" x14ac:dyDescent="0.3">
      <c r="A343" s="19" t="s">
        <v>399</v>
      </c>
      <c r="B343" s="20">
        <v>45612</v>
      </c>
      <c r="C343" s="19" t="s">
        <v>20</v>
      </c>
      <c r="D343" s="19" t="s">
        <v>21</v>
      </c>
      <c r="E343" s="19" t="s">
        <v>42</v>
      </c>
      <c r="F343" s="19" t="s">
        <v>40</v>
      </c>
      <c r="G343" s="19" t="s">
        <v>31</v>
      </c>
      <c r="H343" s="19" t="s">
        <v>388</v>
      </c>
      <c r="I343" s="19">
        <v>2</v>
      </c>
      <c r="J343" s="21">
        <v>13883</v>
      </c>
      <c r="K343" s="21">
        <v>27766</v>
      </c>
      <c r="L343" s="21">
        <v>5553.2</v>
      </c>
      <c r="M343" s="15">
        <v>0.2</v>
      </c>
      <c r="N343" s="21">
        <f t="shared" si="10"/>
        <v>22212.799999999999</v>
      </c>
      <c r="O343" s="21">
        <v>16641.04</v>
      </c>
      <c r="P343" s="21">
        <f t="shared" si="11"/>
        <v>5571.7599999999984</v>
      </c>
      <c r="Q343" s="19" t="s">
        <v>389</v>
      </c>
      <c r="R343" s="19">
        <v>2024</v>
      </c>
      <c r="S343" s="19">
        <v>11</v>
      </c>
    </row>
    <row r="344" spans="1:19" x14ac:dyDescent="0.3">
      <c r="A344" t="s">
        <v>400</v>
      </c>
      <c r="B344" s="2">
        <v>45612</v>
      </c>
      <c r="C344" t="s">
        <v>82</v>
      </c>
      <c r="D344" t="s">
        <v>21</v>
      </c>
      <c r="E344" t="s">
        <v>22</v>
      </c>
      <c r="F344" t="s">
        <v>30</v>
      </c>
      <c r="G344" t="s">
        <v>24</v>
      </c>
      <c r="H344" t="s">
        <v>388</v>
      </c>
      <c r="I344">
        <v>2</v>
      </c>
      <c r="J344" s="5">
        <v>44276</v>
      </c>
      <c r="K344" s="5">
        <v>88552</v>
      </c>
      <c r="L344" s="5">
        <v>13282.8</v>
      </c>
      <c r="M344" s="12">
        <v>0.15</v>
      </c>
      <c r="N344" s="5">
        <f t="shared" si="10"/>
        <v>75269.2</v>
      </c>
      <c r="O344" s="5">
        <v>42696.43</v>
      </c>
      <c r="P344" s="5">
        <f t="shared" si="11"/>
        <v>32572.769999999997</v>
      </c>
      <c r="Q344" t="s">
        <v>389</v>
      </c>
      <c r="R344">
        <v>2024</v>
      </c>
      <c r="S344">
        <v>11</v>
      </c>
    </row>
    <row r="345" spans="1:19" x14ac:dyDescent="0.3">
      <c r="A345" s="19" t="s">
        <v>401</v>
      </c>
      <c r="B345" s="20">
        <v>45615</v>
      </c>
      <c r="C345" s="19" t="s">
        <v>28</v>
      </c>
      <c r="D345" s="19" t="s">
        <v>29</v>
      </c>
      <c r="E345" s="19" t="s">
        <v>56</v>
      </c>
      <c r="F345" s="19" t="s">
        <v>35</v>
      </c>
      <c r="G345" s="19" t="s">
        <v>24</v>
      </c>
      <c r="H345" s="19" t="s">
        <v>388</v>
      </c>
      <c r="I345" s="19">
        <v>4</v>
      </c>
      <c r="J345" s="21">
        <v>66783</v>
      </c>
      <c r="K345" s="21">
        <v>267132</v>
      </c>
      <c r="L345" s="21">
        <v>13356.6</v>
      </c>
      <c r="M345" s="15">
        <v>0.05</v>
      </c>
      <c r="N345" s="21">
        <f t="shared" si="10"/>
        <v>253775.4</v>
      </c>
      <c r="O345" s="21">
        <v>177624.14</v>
      </c>
      <c r="P345" s="21">
        <f t="shared" si="11"/>
        <v>76151.25999999998</v>
      </c>
      <c r="Q345" s="19" t="s">
        <v>389</v>
      </c>
      <c r="R345" s="19">
        <v>2024</v>
      </c>
      <c r="S345" s="19">
        <v>11</v>
      </c>
    </row>
    <row r="346" spans="1:19" x14ac:dyDescent="0.3">
      <c r="A346" t="s">
        <v>402</v>
      </c>
      <c r="B346" s="2">
        <v>45615</v>
      </c>
      <c r="C346" t="s">
        <v>50</v>
      </c>
      <c r="D346" t="s">
        <v>34</v>
      </c>
      <c r="E346" t="s">
        <v>22</v>
      </c>
      <c r="F346" t="s">
        <v>40</v>
      </c>
      <c r="G346" t="s">
        <v>31</v>
      </c>
      <c r="H346" t="s">
        <v>388</v>
      </c>
      <c r="I346">
        <v>2</v>
      </c>
      <c r="J346" s="5">
        <v>19402</v>
      </c>
      <c r="K346" s="5">
        <v>38804</v>
      </c>
      <c r="L346" s="5">
        <v>5820.6</v>
      </c>
      <c r="M346" s="12">
        <v>0.15</v>
      </c>
      <c r="N346" s="5">
        <f t="shared" si="10"/>
        <v>32983.4</v>
      </c>
      <c r="O346" s="5">
        <v>21201.78</v>
      </c>
      <c r="P346" s="5">
        <f t="shared" si="11"/>
        <v>11781.620000000003</v>
      </c>
      <c r="Q346" t="s">
        <v>389</v>
      </c>
      <c r="R346">
        <v>2024</v>
      </c>
      <c r="S346">
        <v>11</v>
      </c>
    </row>
    <row r="347" spans="1:19" x14ac:dyDescent="0.3">
      <c r="A347" s="19" t="s">
        <v>403</v>
      </c>
      <c r="B347" s="20">
        <v>45617</v>
      </c>
      <c r="C347" s="19" t="s">
        <v>28</v>
      </c>
      <c r="D347" s="19" t="s">
        <v>29</v>
      </c>
      <c r="E347" s="19" t="s">
        <v>22</v>
      </c>
      <c r="F347" s="19" t="s">
        <v>40</v>
      </c>
      <c r="G347" s="19" t="s">
        <v>24</v>
      </c>
      <c r="H347" s="19" t="s">
        <v>388</v>
      </c>
      <c r="I347" s="19">
        <v>1</v>
      </c>
      <c r="J347" s="21">
        <v>69786</v>
      </c>
      <c r="K347" s="21">
        <v>69786</v>
      </c>
      <c r="L347" s="21">
        <v>3489.3</v>
      </c>
      <c r="M347" s="15">
        <v>0.05</v>
      </c>
      <c r="N347" s="21">
        <f t="shared" si="10"/>
        <v>66296.7</v>
      </c>
      <c r="O347" s="21">
        <v>44682.18</v>
      </c>
      <c r="P347" s="21">
        <f t="shared" si="11"/>
        <v>21614.519999999997</v>
      </c>
      <c r="Q347" s="19" t="s">
        <v>389</v>
      </c>
      <c r="R347" s="19">
        <v>2024</v>
      </c>
      <c r="S347" s="19">
        <v>11</v>
      </c>
    </row>
    <row r="348" spans="1:19" x14ac:dyDescent="0.3">
      <c r="A348" t="s">
        <v>404</v>
      </c>
      <c r="B348" s="2">
        <v>45618</v>
      </c>
      <c r="C348" t="s">
        <v>71</v>
      </c>
      <c r="D348" t="s">
        <v>34</v>
      </c>
      <c r="E348" t="s">
        <v>42</v>
      </c>
      <c r="F348" t="s">
        <v>37</v>
      </c>
      <c r="G348" t="s">
        <v>31</v>
      </c>
      <c r="H348" t="s">
        <v>388</v>
      </c>
      <c r="I348">
        <v>3</v>
      </c>
      <c r="J348" s="5">
        <v>48543</v>
      </c>
      <c r="K348" s="5">
        <v>145629</v>
      </c>
      <c r="L348" s="5">
        <v>29125.8</v>
      </c>
      <c r="M348" s="12">
        <v>0.2</v>
      </c>
      <c r="N348" s="5">
        <f t="shared" si="10"/>
        <v>116503.2</v>
      </c>
      <c r="O348" s="5">
        <v>84793.88</v>
      </c>
      <c r="P348" s="5">
        <f t="shared" si="11"/>
        <v>31709.319999999992</v>
      </c>
      <c r="Q348" t="s">
        <v>389</v>
      </c>
      <c r="R348">
        <v>2024</v>
      </c>
      <c r="S348">
        <v>11</v>
      </c>
    </row>
    <row r="349" spans="1:19" x14ac:dyDescent="0.3">
      <c r="A349" s="19" t="s">
        <v>405</v>
      </c>
      <c r="B349" s="20">
        <v>45619</v>
      </c>
      <c r="C349" s="19" t="s">
        <v>71</v>
      </c>
      <c r="D349" s="19" t="s">
        <v>34</v>
      </c>
      <c r="E349" s="19" t="s">
        <v>44</v>
      </c>
      <c r="F349" s="19" t="s">
        <v>40</v>
      </c>
      <c r="G349" s="19" t="s">
        <v>24</v>
      </c>
      <c r="H349" s="19" t="s">
        <v>388</v>
      </c>
      <c r="I349" s="19">
        <v>2</v>
      </c>
      <c r="J349" s="21">
        <v>51896</v>
      </c>
      <c r="K349" s="21">
        <v>103792</v>
      </c>
      <c r="L349" s="21">
        <v>10379.200000000001</v>
      </c>
      <c r="M349" s="15">
        <v>0.1</v>
      </c>
      <c r="N349" s="21">
        <f t="shared" si="10"/>
        <v>93412.800000000003</v>
      </c>
      <c r="O349" s="21">
        <v>55229.760000000002</v>
      </c>
      <c r="P349" s="21">
        <f t="shared" si="11"/>
        <v>38183.040000000001</v>
      </c>
      <c r="Q349" s="19" t="s">
        <v>389</v>
      </c>
      <c r="R349" s="19">
        <v>2024</v>
      </c>
      <c r="S349" s="19">
        <v>11</v>
      </c>
    </row>
    <row r="350" spans="1:19" x14ac:dyDescent="0.3">
      <c r="A350" t="s">
        <v>406</v>
      </c>
      <c r="B350" s="2">
        <v>45619</v>
      </c>
      <c r="C350" t="s">
        <v>48</v>
      </c>
      <c r="D350" t="s">
        <v>34</v>
      </c>
      <c r="E350" t="s">
        <v>22</v>
      </c>
      <c r="F350" t="s">
        <v>37</v>
      </c>
      <c r="G350" t="s">
        <v>31</v>
      </c>
      <c r="H350" t="s">
        <v>388</v>
      </c>
      <c r="I350">
        <v>2</v>
      </c>
      <c r="J350" s="5">
        <v>23438</v>
      </c>
      <c r="K350" s="5">
        <v>46876</v>
      </c>
      <c r="L350" s="5">
        <v>7031.4</v>
      </c>
      <c r="M350" s="12">
        <v>0.15</v>
      </c>
      <c r="N350" s="5">
        <f t="shared" si="10"/>
        <v>39844.6</v>
      </c>
      <c r="O350" s="5">
        <v>23774.44</v>
      </c>
      <c r="P350" s="5">
        <f t="shared" si="11"/>
        <v>16070.16</v>
      </c>
      <c r="Q350" t="s">
        <v>389</v>
      </c>
      <c r="R350">
        <v>2024</v>
      </c>
      <c r="S350">
        <v>11</v>
      </c>
    </row>
    <row r="351" spans="1:19" x14ac:dyDescent="0.3">
      <c r="A351" s="19" t="s">
        <v>407</v>
      </c>
      <c r="B351" s="20">
        <v>45620</v>
      </c>
      <c r="C351" s="19" t="s">
        <v>71</v>
      </c>
      <c r="D351" s="19" t="s">
        <v>34</v>
      </c>
      <c r="E351" s="19" t="s">
        <v>56</v>
      </c>
      <c r="F351" s="19" t="s">
        <v>23</v>
      </c>
      <c r="G351" s="19" t="s">
        <v>31</v>
      </c>
      <c r="H351" s="19" t="s">
        <v>388</v>
      </c>
      <c r="I351" s="19">
        <v>1</v>
      </c>
      <c r="J351" s="21">
        <v>51186</v>
      </c>
      <c r="K351" s="21">
        <v>51186</v>
      </c>
      <c r="L351" s="21">
        <v>7677.9</v>
      </c>
      <c r="M351" s="15">
        <v>0.15</v>
      </c>
      <c r="N351" s="21">
        <f t="shared" si="10"/>
        <v>43508.1</v>
      </c>
      <c r="O351" s="21">
        <v>26285.26</v>
      </c>
      <c r="P351" s="21">
        <f t="shared" si="11"/>
        <v>17222.84</v>
      </c>
      <c r="Q351" s="19" t="s">
        <v>389</v>
      </c>
      <c r="R351" s="19">
        <v>2024</v>
      </c>
      <c r="S351" s="19">
        <v>11</v>
      </c>
    </row>
    <row r="352" spans="1:19" x14ac:dyDescent="0.3">
      <c r="A352" t="s">
        <v>408</v>
      </c>
      <c r="B352" s="2">
        <v>45620</v>
      </c>
      <c r="C352" t="s">
        <v>75</v>
      </c>
      <c r="D352" t="s">
        <v>34</v>
      </c>
      <c r="E352" t="s">
        <v>22</v>
      </c>
      <c r="F352" t="s">
        <v>23</v>
      </c>
      <c r="G352" t="s">
        <v>31</v>
      </c>
      <c r="H352" t="s">
        <v>25</v>
      </c>
      <c r="I352">
        <v>2</v>
      </c>
      <c r="J352" s="5">
        <v>40345</v>
      </c>
      <c r="K352" s="5">
        <v>80690</v>
      </c>
      <c r="L352" s="5">
        <v>0</v>
      </c>
      <c r="M352" s="12">
        <v>0</v>
      </c>
      <c r="N352" s="5">
        <f t="shared" si="10"/>
        <v>80690</v>
      </c>
      <c r="O352" s="5">
        <v>41370.5</v>
      </c>
      <c r="P352" s="5">
        <f t="shared" si="11"/>
        <v>39319.5</v>
      </c>
      <c r="Q352" t="s">
        <v>389</v>
      </c>
      <c r="R352">
        <v>2024</v>
      </c>
      <c r="S352">
        <v>11</v>
      </c>
    </row>
    <row r="353" spans="1:19" x14ac:dyDescent="0.3">
      <c r="A353" s="19" t="s">
        <v>409</v>
      </c>
      <c r="B353" s="20">
        <v>45621</v>
      </c>
      <c r="C353" s="19" t="s">
        <v>82</v>
      </c>
      <c r="D353" s="19" t="s">
        <v>21</v>
      </c>
      <c r="E353" s="19" t="s">
        <v>42</v>
      </c>
      <c r="F353" s="19" t="s">
        <v>40</v>
      </c>
      <c r="G353" s="19" t="s">
        <v>31</v>
      </c>
      <c r="H353" s="19" t="s">
        <v>388</v>
      </c>
      <c r="I353" s="19">
        <v>2</v>
      </c>
      <c r="J353" s="21">
        <v>47357</v>
      </c>
      <c r="K353" s="21">
        <v>94714</v>
      </c>
      <c r="L353" s="21">
        <v>14207.1</v>
      </c>
      <c r="M353" s="15">
        <v>0.15</v>
      </c>
      <c r="N353" s="21">
        <f t="shared" si="10"/>
        <v>80506.899999999994</v>
      </c>
      <c r="O353" s="21">
        <v>46697.79</v>
      </c>
      <c r="P353" s="21">
        <f t="shared" si="11"/>
        <v>33809.109999999993</v>
      </c>
      <c r="Q353" s="19" t="s">
        <v>389</v>
      </c>
      <c r="R353" s="19">
        <v>2024</v>
      </c>
      <c r="S353" s="19">
        <v>11</v>
      </c>
    </row>
    <row r="354" spans="1:19" x14ac:dyDescent="0.3">
      <c r="A354" t="s">
        <v>410</v>
      </c>
      <c r="B354" s="2">
        <v>45621</v>
      </c>
      <c r="C354" t="s">
        <v>82</v>
      </c>
      <c r="D354" t="s">
        <v>21</v>
      </c>
      <c r="E354" t="s">
        <v>56</v>
      </c>
      <c r="F354" t="s">
        <v>23</v>
      </c>
      <c r="G354" t="s">
        <v>24</v>
      </c>
      <c r="H354" t="s">
        <v>388</v>
      </c>
      <c r="I354">
        <v>2</v>
      </c>
      <c r="J354" s="5">
        <v>42902</v>
      </c>
      <c r="K354" s="5">
        <v>85804</v>
      </c>
      <c r="L354" s="5">
        <v>4290.2</v>
      </c>
      <c r="M354" s="12">
        <v>0.05</v>
      </c>
      <c r="N354" s="5">
        <f t="shared" si="10"/>
        <v>81513.8</v>
      </c>
      <c r="O354" s="5">
        <v>42661.3</v>
      </c>
      <c r="P354" s="5">
        <f t="shared" si="11"/>
        <v>38852.5</v>
      </c>
      <c r="Q354" t="s">
        <v>389</v>
      </c>
      <c r="R354">
        <v>2024</v>
      </c>
      <c r="S354">
        <v>11</v>
      </c>
    </row>
    <row r="355" spans="1:19" x14ac:dyDescent="0.3">
      <c r="A355" s="19" t="s">
        <v>411</v>
      </c>
      <c r="B355" s="20">
        <v>45622</v>
      </c>
      <c r="C355" s="19" t="s">
        <v>28</v>
      </c>
      <c r="D355" s="19" t="s">
        <v>29</v>
      </c>
      <c r="E355" s="19" t="s">
        <v>42</v>
      </c>
      <c r="F355" s="19" t="s">
        <v>30</v>
      </c>
      <c r="G355" s="19" t="s">
        <v>24</v>
      </c>
      <c r="H355" s="19" t="s">
        <v>388</v>
      </c>
      <c r="I355" s="19">
        <v>1</v>
      </c>
      <c r="J355" s="21">
        <v>60500</v>
      </c>
      <c r="K355" s="21">
        <v>60500</v>
      </c>
      <c r="L355" s="21">
        <v>9075</v>
      </c>
      <c r="M355" s="15">
        <v>0.15</v>
      </c>
      <c r="N355" s="21">
        <f t="shared" si="10"/>
        <v>51425</v>
      </c>
      <c r="O355" s="21">
        <v>33225.18</v>
      </c>
      <c r="P355" s="21">
        <f t="shared" si="11"/>
        <v>18199.82</v>
      </c>
      <c r="Q355" s="19" t="s">
        <v>389</v>
      </c>
      <c r="R355" s="19">
        <v>2024</v>
      </c>
      <c r="S355" s="19">
        <v>11</v>
      </c>
    </row>
    <row r="356" spans="1:19" x14ac:dyDescent="0.3">
      <c r="A356" t="s">
        <v>412</v>
      </c>
      <c r="B356" s="2">
        <v>45625</v>
      </c>
      <c r="C356" t="s">
        <v>28</v>
      </c>
      <c r="D356" t="s">
        <v>29</v>
      </c>
      <c r="E356" t="s">
        <v>44</v>
      </c>
      <c r="F356" t="s">
        <v>40</v>
      </c>
      <c r="G356" t="s">
        <v>24</v>
      </c>
      <c r="H356" t="s">
        <v>25</v>
      </c>
      <c r="I356">
        <v>2</v>
      </c>
      <c r="J356" s="5">
        <v>66242</v>
      </c>
      <c r="K356" s="5">
        <v>132484</v>
      </c>
      <c r="L356" s="5">
        <v>0</v>
      </c>
      <c r="M356" s="12">
        <v>0</v>
      </c>
      <c r="N356" s="5">
        <f t="shared" si="10"/>
        <v>132484</v>
      </c>
      <c r="O356" s="5">
        <v>75033.77</v>
      </c>
      <c r="P356" s="5">
        <f t="shared" si="11"/>
        <v>57450.229999999996</v>
      </c>
      <c r="Q356" t="s">
        <v>389</v>
      </c>
      <c r="R356">
        <v>2024</v>
      </c>
      <c r="S356">
        <v>11</v>
      </c>
    </row>
    <row r="357" spans="1:19" x14ac:dyDescent="0.3">
      <c r="A357" s="19" t="s">
        <v>413</v>
      </c>
      <c r="B357" s="20">
        <v>45626</v>
      </c>
      <c r="C357" s="19" t="s">
        <v>64</v>
      </c>
      <c r="D357" s="19" t="s">
        <v>29</v>
      </c>
      <c r="E357" s="19" t="s">
        <v>44</v>
      </c>
      <c r="F357" s="19" t="s">
        <v>40</v>
      </c>
      <c r="G357" s="19" t="s">
        <v>24</v>
      </c>
      <c r="H357" s="19" t="s">
        <v>388</v>
      </c>
      <c r="I357" s="19">
        <v>1</v>
      </c>
      <c r="J357" s="21">
        <v>29100</v>
      </c>
      <c r="K357" s="21">
        <v>29100</v>
      </c>
      <c r="L357" s="21">
        <v>2910</v>
      </c>
      <c r="M357" s="15">
        <v>0.1</v>
      </c>
      <c r="N357" s="21">
        <f t="shared" si="10"/>
        <v>26190</v>
      </c>
      <c r="O357" s="21">
        <v>18968.439999999999</v>
      </c>
      <c r="P357" s="21">
        <f t="shared" si="11"/>
        <v>7221.5600000000013</v>
      </c>
      <c r="Q357" s="19" t="s">
        <v>389</v>
      </c>
      <c r="R357" s="19">
        <v>2024</v>
      </c>
      <c r="S357" s="19">
        <v>11</v>
      </c>
    </row>
    <row r="358" spans="1:19" x14ac:dyDescent="0.3">
      <c r="A358" t="s">
        <v>414</v>
      </c>
      <c r="B358" s="2">
        <v>45627</v>
      </c>
      <c r="C358" t="s">
        <v>28</v>
      </c>
      <c r="D358" t="s">
        <v>29</v>
      </c>
      <c r="E358" t="s">
        <v>42</v>
      </c>
      <c r="F358" t="s">
        <v>23</v>
      </c>
      <c r="G358" t="s">
        <v>24</v>
      </c>
      <c r="H358" t="s">
        <v>415</v>
      </c>
      <c r="I358">
        <v>2</v>
      </c>
      <c r="J358" s="5">
        <v>69956</v>
      </c>
      <c r="K358" s="5">
        <v>139912</v>
      </c>
      <c r="L358" s="5">
        <v>13991.2</v>
      </c>
      <c r="M358" s="12">
        <v>0.1</v>
      </c>
      <c r="N358" s="5">
        <f t="shared" si="10"/>
        <v>125920.8</v>
      </c>
      <c r="O358" s="5">
        <v>93308.54</v>
      </c>
      <c r="P358" s="5">
        <f t="shared" si="11"/>
        <v>32612.260000000009</v>
      </c>
      <c r="Q358" t="s">
        <v>416</v>
      </c>
      <c r="R358">
        <v>2024</v>
      </c>
      <c r="S358">
        <v>12</v>
      </c>
    </row>
    <row r="359" spans="1:19" x14ac:dyDescent="0.3">
      <c r="A359" s="19" t="s">
        <v>417</v>
      </c>
      <c r="B359" s="20">
        <v>45628</v>
      </c>
      <c r="C359" s="19" t="s">
        <v>75</v>
      </c>
      <c r="D359" s="19" t="s">
        <v>34</v>
      </c>
      <c r="E359" s="19" t="s">
        <v>42</v>
      </c>
      <c r="F359" s="19" t="s">
        <v>40</v>
      </c>
      <c r="G359" s="19" t="s">
        <v>31</v>
      </c>
      <c r="H359" s="19" t="s">
        <v>415</v>
      </c>
      <c r="I359" s="19">
        <v>2</v>
      </c>
      <c r="J359" s="21">
        <v>39602</v>
      </c>
      <c r="K359" s="21">
        <v>79204</v>
      </c>
      <c r="L359" s="21">
        <v>7920.4</v>
      </c>
      <c r="M359" s="15">
        <v>0.1</v>
      </c>
      <c r="N359" s="21">
        <f t="shared" si="10"/>
        <v>71283.600000000006</v>
      </c>
      <c r="O359" s="21">
        <v>48457.56</v>
      </c>
      <c r="P359" s="21">
        <f t="shared" si="11"/>
        <v>22826.040000000008</v>
      </c>
      <c r="Q359" s="19" t="s">
        <v>416</v>
      </c>
      <c r="R359" s="19">
        <v>2024</v>
      </c>
      <c r="S359" s="19">
        <v>12</v>
      </c>
    </row>
    <row r="360" spans="1:19" x14ac:dyDescent="0.3">
      <c r="A360" t="s">
        <v>418</v>
      </c>
      <c r="B360" s="2">
        <v>45629</v>
      </c>
      <c r="C360" t="s">
        <v>75</v>
      </c>
      <c r="D360" t="s">
        <v>34</v>
      </c>
      <c r="E360" t="s">
        <v>44</v>
      </c>
      <c r="F360" t="s">
        <v>40</v>
      </c>
      <c r="G360" t="s">
        <v>24</v>
      </c>
      <c r="H360" t="s">
        <v>415</v>
      </c>
      <c r="I360">
        <v>3</v>
      </c>
      <c r="J360" s="5">
        <v>39003</v>
      </c>
      <c r="K360" s="5">
        <v>117009</v>
      </c>
      <c r="L360" s="5">
        <v>11700.9</v>
      </c>
      <c r="M360" s="12">
        <v>0.1</v>
      </c>
      <c r="N360" s="5">
        <f t="shared" si="10"/>
        <v>105308.1</v>
      </c>
      <c r="O360" s="5">
        <v>73547.759999999995</v>
      </c>
      <c r="P360" s="5">
        <f t="shared" si="11"/>
        <v>31760.340000000011</v>
      </c>
      <c r="Q360" t="s">
        <v>416</v>
      </c>
      <c r="R360">
        <v>2024</v>
      </c>
      <c r="S360">
        <v>12</v>
      </c>
    </row>
    <row r="361" spans="1:19" x14ac:dyDescent="0.3">
      <c r="A361" s="19" t="s">
        <v>419</v>
      </c>
      <c r="B361" s="20">
        <v>45629</v>
      </c>
      <c r="C361" s="19" t="s">
        <v>28</v>
      </c>
      <c r="D361" s="19" t="s">
        <v>29</v>
      </c>
      <c r="E361" s="19" t="s">
        <v>56</v>
      </c>
      <c r="F361" s="19" t="s">
        <v>30</v>
      </c>
      <c r="G361" s="19" t="s">
        <v>31</v>
      </c>
      <c r="H361" s="19" t="s">
        <v>415</v>
      </c>
      <c r="I361" s="19">
        <v>2</v>
      </c>
      <c r="J361" s="21">
        <v>65854</v>
      </c>
      <c r="K361" s="21">
        <v>131708</v>
      </c>
      <c r="L361" s="21">
        <v>19756.2</v>
      </c>
      <c r="M361" s="15">
        <v>0.15</v>
      </c>
      <c r="N361" s="21">
        <f t="shared" si="10"/>
        <v>111951.8</v>
      </c>
      <c r="O361" s="21">
        <v>68216.710000000006</v>
      </c>
      <c r="P361" s="21">
        <f t="shared" si="11"/>
        <v>43735.09</v>
      </c>
      <c r="Q361" s="19" t="s">
        <v>416</v>
      </c>
      <c r="R361" s="19">
        <v>2024</v>
      </c>
      <c r="S361" s="19">
        <v>12</v>
      </c>
    </row>
    <row r="362" spans="1:19" x14ac:dyDescent="0.3">
      <c r="A362" t="s">
        <v>420</v>
      </c>
      <c r="B362" s="2">
        <v>45629</v>
      </c>
      <c r="C362" t="s">
        <v>82</v>
      </c>
      <c r="D362" t="s">
        <v>21</v>
      </c>
      <c r="E362" t="s">
        <v>42</v>
      </c>
      <c r="F362" t="s">
        <v>35</v>
      </c>
      <c r="G362" t="s">
        <v>24</v>
      </c>
      <c r="H362" t="s">
        <v>415</v>
      </c>
      <c r="I362">
        <v>3</v>
      </c>
      <c r="J362" s="5">
        <v>48194</v>
      </c>
      <c r="K362" s="5">
        <v>144582</v>
      </c>
      <c r="L362" s="5">
        <v>28916.400000000001</v>
      </c>
      <c r="M362" s="12">
        <v>0.2</v>
      </c>
      <c r="N362" s="5">
        <f t="shared" si="10"/>
        <v>115665.60000000001</v>
      </c>
      <c r="O362" s="5">
        <v>84478.1</v>
      </c>
      <c r="P362" s="5">
        <f t="shared" si="11"/>
        <v>31187.5</v>
      </c>
      <c r="Q362" t="s">
        <v>416</v>
      </c>
      <c r="R362">
        <v>2024</v>
      </c>
      <c r="S362">
        <v>12</v>
      </c>
    </row>
    <row r="363" spans="1:19" x14ac:dyDescent="0.3">
      <c r="A363" s="19" t="s">
        <v>421</v>
      </c>
      <c r="B363" s="20">
        <v>45630</v>
      </c>
      <c r="C363" s="19" t="s">
        <v>82</v>
      </c>
      <c r="D363" s="19" t="s">
        <v>21</v>
      </c>
      <c r="E363" s="19" t="s">
        <v>22</v>
      </c>
      <c r="F363" s="19" t="s">
        <v>35</v>
      </c>
      <c r="G363" s="19" t="s">
        <v>31</v>
      </c>
      <c r="H363" s="19" t="s">
        <v>415</v>
      </c>
      <c r="I363" s="19">
        <v>2</v>
      </c>
      <c r="J363" s="21">
        <v>43309</v>
      </c>
      <c r="K363" s="21">
        <v>86618</v>
      </c>
      <c r="L363" s="21">
        <v>4330.8999999999996</v>
      </c>
      <c r="M363" s="15">
        <v>0.05</v>
      </c>
      <c r="N363" s="21">
        <f t="shared" si="10"/>
        <v>82287.100000000006</v>
      </c>
      <c r="O363" s="21">
        <v>47243.040000000001</v>
      </c>
      <c r="P363" s="21">
        <f t="shared" si="11"/>
        <v>35044.060000000005</v>
      </c>
      <c r="Q363" s="19" t="s">
        <v>416</v>
      </c>
      <c r="R363" s="19">
        <v>2024</v>
      </c>
      <c r="S363" s="19">
        <v>12</v>
      </c>
    </row>
    <row r="364" spans="1:19" x14ac:dyDescent="0.3">
      <c r="A364" t="s">
        <v>422</v>
      </c>
      <c r="B364" s="2">
        <v>45630</v>
      </c>
      <c r="C364" t="s">
        <v>46</v>
      </c>
      <c r="D364" t="s">
        <v>21</v>
      </c>
      <c r="E364" t="s">
        <v>44</v>
      </c>
      <c r="F364" t="s">
        <v>40</v>
      </c>
      <c r="G364" t="s">
        <v>24</v>
      </c>
      <c r="H364" t="s">
        <v>25</v>
      </c>
      <c r="I364">
        <v>1</v>
      </c>
      <c r="J364" s="5">
        <v>12759</v>
      </c>
      <c r="K364" s="5">
        <v>12759</v>
      </c>
      <c r="L364" s="5">
        <v>0</v>
      </c>
      <c r="M364" s="12">
        <v>0</v>
      </c>
      <c r="N364" s="5">
        <f t="shared" si="10"/>
        <v>12759</v>
      </c>
      <c r="O364" s="5">
        <v>7255.89</v>
      </c>
      <c r="P364" s="5">
        <f t="shared" si="11"/>
        <v>5503.11</v>
      </c>
      <c r="Q364" t="s">
        <v>416</v>
      </c>
      <c r="R364">
        <v>2024</v>
      </c>
      <c r="S364">
        <v>12</v>
      </c>
    </row>
    <row r="365" spans="1:19" x14ac:dyDescent="0.3">
      <c r="A365" s="19" t="s">
        <v>423</v>
      </c>
      <c r="B365" s="20">
        <v>45631</v>
      </c>
      <c r="C365" s="19" t="s">
        <v>28</v>
      </c>
      <c r="D365" s="19" t="s">
        <v>29</v>
      </c>
      <c r="E365" s="19" t="s">
        <v>22</v>
      </c>
      <c r="F365" s="19" t="s">
        <v>35</v>
      </c>
      <c r="G365" s="19" t="s">
        <v>31</v>
      </c>
      <c r="H365" s="19" t="s">
        <v>415</v>
      </c>
      <c r="I365" s="19">
        <v>2</v>
      </c>
      <c r="J365" s="21">
        <v>61760</v>
      </c>
      <c r="K365" s="21">
        <v>123520</v>
      </c>
      <c r="L365" s="21">
        <v>24704</v>
      </c>
      <c r="M365" s="15">
        <v>0.2</v>
      </c>
      <c r="N365" s="21">
        <f t="shared" si="10"/>
        <v>98816</v>
      </c>
      <c r="O365" s="21">
        <v>62516.55</v>
      </c>
      <c r="P365" s="21">
        <f t="shared" si="11"/>
        <v>36299.449999999997</v>
      </c>
      <c r="Q365" s="19" t="s">
        <v>416</v>
      </c>
      <c r="R365" s="19">
        <v>2024</v>
      </c>
      <c r="S365" s="19">
        <v>12</v>
      </c>
    </row>
    <row r="366" spans="1:19" x14ac:dyDescent="0.3">
      <c r="A366" t="s">
        <v>424</v>
      </c>
      <c r="B366" s="2">
        <v>45632</v>
      </c>
      <c r="C366" t="s">
        <v>82</v>
      </c>
      <c r="D366" t="s">
        <v>21</v>
      </c>
      <c r="E366" t="s">
        <v>42</v>
      </c>
      <c r="F366" t="s">
        <v>23</v>
      </c>
      <c r="G366" t="s">
        <v>31</v>
      </c>
      <c r="H366" t="s">
        <v>415</v>
      </c>
      <c r="I366">
        <v>1</v>
      </c>
      <c r="J366" s="5">
        <v>48291</v>
      </c>
      <c r="K366" s="5">
        <v>48291</v>
      </c>
      <c r="L366" s="5">
        <v>2414.5500000000002</v>
      </c>
      <c r="M366" s="12">
        <v>0.05</v>
      </c>
      <c r="N366" s="5">
        <f t="shared" si="10"/>
        <v>45876.45</v>
      </c>
      <c r="O366" s="5">
        <v>29479.48</v>
      </c>
      <c r="P366" s="5">
        <f t="shared" si="11"/>
        <v>16396.969999999998</v>
      </c>
      <c r="Q366" t="s">
        <v>416</v>
      </c>
      <c r="R366">
        <v>2024</v>
      </c>
      <c r="S366">
        <v>12</v>
      </c>
    </row>
    <row r="367" spans="1:19" x14ac:dyDescent="0.3">
      <c r="A367" s="19" t="s">
        <v>425</v>
      </c>
      <c r="B367" s="20">
        <v>45633</v>
      </c>
      <c r="C367" s="19" t="s">
        <v>20</v>
      </c>
      <c r="D367" s="19" t="s">
        <v>21</v>
      </c>
      <c r="E367" s="19" t="s">
        <v>42</v>
      </c>
      <c r="F367" s="19" t="s">
        <v>40</v>
      </c>
      <c r="G367" s="19" t="s">
        <v>24</v>
      </c>
      <c r="H367" s="19" t="s">
        <v>25</v>
      </c>
      <c r="I367" s="19">
        <v>2</v>
      </c>
      <c r="J367" s="21">
        <v>15356</v>
      </c>
      <c r="K367" s="21">
        <v>30712</v>
      </c>
      <c r="L367" s="21">
        <v>0</v>
      </c>
      <c r="M367" s="15">
        <v>0</v>
      </c>
      <c r="N367" s="21">
        <f t="shared" si="10"/>
        <v>30712</v>
      </c>
      <c r="O367" s="21">
        <v>19338.23</v>
      </c>
      <c r="P367" s="21">
        <f t="shared" si="11"/>
        <v>11373.77</v>
      </c>
      <c r="Q367" s="19" t="s">
        <v>416</v>
      </c>
      <c r="R367" s="19">
        <v>2024</v>
      </c>
      <c r="S367" s="19">
        <v>12</v>
      </c>
    </row>
    <row r="368" spans="1:19" x14ac:dyDescent="0.3">
      <c r="A368" t="s">
        <v>426</v>
      </c>
      <c r="B368" s="2">
        <v>45633</v>
      </c>
      <c r="C368" t="s">
        <v>64</v>
      </c>
      <c r="D368" t="s">
        <v>29</v>
      </c>
      <c r="E368" t="s">
        <v>42</v>
      </c>
      <c r="F368" t="s">
        <v>35</v>
      </c>
      <c r="G368" t="s">
        <v>24</v>
      </c>
      <c r="H368" t="s">
        <v>25</v>
      </c>
      <c r="I368">
        <v>2</v>
      </c>
      <c r="J368" s="5">
        <v>31138</v>
      </c>
      <c r="K368" s="5">
        <v>62276</v>
      </c>
      <c r="L368" s="5">
        <v>0</v>
      </c>
      <c r="M368" s="12">
        <v>0</v>
      </c>
      <c r="N368" s="5">
        <f t="shared" si="10"/>
        <v>62276</v>
      </c>
      <c r="O368" s="5">
        <v>32959.83</v>
      </c>
      <c r="P368" s="5">
        <f t="shared" si="11"/>
        <v>29316.17</v>
      </c>
      <c r="Q368" t="s">
        <v>416</v>
      </c>
      <c r="R368">
        <v>2024</v>
      </c>
      <c r="S368">
        <v>12</v>
      </c>
    </row>
    <row r="369" spans="1:19" x14ac:dyDescent="0.3">
      <c r="A369" s="19" t="s">
        <v>427</v>
      </c>
      <c r="B369" s="20">
        <v>45635</v>
      </c>
      <c r="C369" s="19" t="s">
        <v>48</v>
      </c>
      <c r="D369" s="19" t="s">
        <v>34</v>
      </c>
      <c r="E369" s="19" t="s">
        <v>42</v>
      </c>
      <c r="F369" s="19" t="s">
        <v>40</v>
      </c>
      <c r="G369" s="19" t="s">
        <v>24</v>
      </c>
      <c r="H369" s="19" t="s">
        <v>415</v>
      </c>
      <c r="I369" s="19">
        <v>4</v>
      </c>
      <c r="J369" s="21">
        <v>26872</v>
      </c>
      <c r="K369" s="21">
        <v>107488</v>
      </c>
      <c r="L369" s="21">
        <v>10748.8</v>
      </c>
      <c r="M369" s="15">
        <v>0.1</v>
      </c>
      <c r="N369" s="21">
        <f t="shared" si="10"/>
        <v>96739.199999999997</v>
      </c>
      <c r="O369" s="21">
        <v>70267.55</v>
      </c>
      <c r="P369" s="21">
        <f t="shared" si="11"/>
        <v>26471.649999999994</v>
      </c>
      <c r="Q369" s="19" t="s">
        <v>416</v>
      </c>
      <c r="R369" s="19">
        <v>2024</v>
      </c>
      <c r="S369" s="19">
        <v>12</v>
      </c>
    </row>
    <row r="370" spans="1:19" x14ac:dyDescent="0.3">
      <c r="A370" t="s">
        <v>428</v>
      </c>
      <c r="B370" s="2">
        <v>45637</v>
      </c>
      <c r="C370" t="s">
        <v>75</v>
      </c>
      <c r="D370" t="s">
        <v>34</v>
      </c>
      <c r="E370" t="s">
        <v>42</v>
      </c>
      <c r="F370" t="s">
        <v>35</v>
      </c>
      <c r="G370" t="s">
        <v>24</v>
      </c>
      <c r="H370" t="s">
        <v>25</v>
      </c>
      <c r="I370">
        <v>2</v>
      </c>
      <c r="J370" s="5">
        <v>35592</v>
      </c>
      <c r="K370" s="5">
        <v>71184</v>
      </c>
      <c r="L370" s="5">
        <v>10677.6</v>
      </c>
      <c r="M370" s="12">
        <v>0.15</v>
      </c>
      <c r="N370" s="5">
        <f t="shared" si="10"/>
        <v>60506.400000000001</v>
      </c>
      <c r="O370" s="5">
        <v>46842.21</v>
      </c>
      <c r="P370" s="5">
        <f t="shared" si="11"/>
        <v>13664.190000000002</v>
      </c>
      <c r="Q370" t="s">
        <v>416</v>
      </c>
      <c r="R370">
        <v>2024</v>
      </c>
      <c r="S370">
        <v>12</v>
      </c>
    </row>
    <row r="371" spans="1:19" x14ac:dyDescent="0.3">
      <c r="A371" s="19" t="s">
        <v>429</v>
      </c>
      <c r="B371" s="20">
        <v>45637</v>
      </c>
      <c r="C371" s="19" t="s">
        <v>28</v>
      </c>
      <c r="D371" s="19" t="s">
        <v>29</v>
      </c>
      <c r="E371" s="19" t="s">
        <v>42</v>
      </c>
      <c r="F371" s="19" t="s">
        <v>40</v>
      </c>
      <c r="G371" s="19" t="s">
        <v>24</v>
      </c>
      <c r="H371" s="19" t="s">
        <v>25</v>
      </c>
      <c r="I371" s="19">
        <v>2</v>
      </c>
      <c r="J371" s="21">
        <v>63984</v>
      </c>
      <c r="K371" s="21">
        <v>127968</v>
      </c>
      <c r="L371" s="21">
        <v>0</v>
      </c>
      <c r="M371" s="15">
        <v>0</v>
      </c>
      <c r="N371" s="21">
        <f t="shared" si="10"/>
        <v>127968</v>
      </c>
      <c r="O371" s="21">
        <v>64453.75</v>
      </c>
      <c r="P371" s="21">
        <f t="shared" si="11"/>
        <v>63514.25</v>
      </c>
      <c r="Q371" s="19" t="s">
        <v>416</v>
      </c>
      <c r="R371" s="19">
        <v>2024</v>
      </c>
      <c r="S371" s="19">
        <v>12</v>
      </c>
    </row>
    <row r="372" spans="1:19" x14ac:dyDescent="0.3">
      <c r="A372" t="s">
        <v>430</v>
      </c>
      <c r="B372" s="2">
        <v>45637</v>
      </c>
      <c r="C372" t="s">
        <v>50</v>
      </c>
      <c r="D372" t="s">
        <v>34</v>
      </c>
      <c r="E372" t="s">
        <v>42</v>
      </c>
      <c r="F372" t="s">
        <v>23</v>
      </c>
      <c r="G372" t="s">
        <v>31</v>
      </c>
      <c r="H372" t="s">
        <v>25</v>
      </c>
      <c r="I372">
        <v>2</v>
      </c>
      <c r="J372" s="5">
        <v>18230</v>
      </c>
      <c r="K372" s="5">
        <v>36460</v>
      </c>
      <c r="L372" s="5">
        <v>0</v>
      </c>
      <c r="M372" s="12">
        <v>0</v>
      </c>
      <c r="N372" s="5">
        <f t="shared" si="10"/>
        <v>36460</v>
      </c>
      <c r="O372" s="5">
        <v>23033.8</v>
      </c>
      <c r="P372" s="5">
        <f t="shared" si="11"/>
        <v>13426.2</v>
      </c>
      <c r="Q372" t="s">
        <v>416</v>
      </c>
      <c r="R372">
        <v>2024</v>
      </c>
      <c r="S372">
        <v>12</v>
      </c>
    </row>
    <row r="373" spans="1:19" x14ac:dyDescent="0.3">
      <c r="A373" s="19" t="s">
        <v>431</v>
      </c>
      <c r="B373" s="20">
        <v>45638</v>
      </c>
      <c r="C373" s="19" t="s">
        <v>71</v>
      </c>
      <c r="D373" s="19" t="s">
        <v>34</v>
      </c>
      <c r="E373" s="19" t="s">
        <v>42</v>
      </c>
      <c r="F373" s="19" t="s">
        <v>40</v>
      </c>
      <c r="G373" s="19" t="s">
        <v>31</v>
      </c>
      <c r="H373" s="19" t="s">
        <v>415</v>
      </c>
      <c r="I373" s="19">
        <v>2</v>
      </c>
      <c r="J373" s="21">
        <v>51613</v>
      </c>
      <c r="K373" s="21">
        <v>103226</v>
      </c>
      <c r="L373" s="21">
        <v>5161.3</v>
      </c>
      <c r="M373" s="15">
        <v>0.05</v>
      </c>
      <c r="N373" s="21">
        <f t="shared" si="10"/>
        <v>98064.7</v>
      </c>
      <c r="O373" s="21">
        <v>50772.92</v>
      </c>
      <c r="P373" s="21">
        <f t="shared" si="11"/>
        <v>47291.78</v>
      </c>
      <c r="Q373" s="19" t="s">
        <v>416</v>
      </c>
      <c r="R373" s="19">
        <v>2024</v>
      </c>
      <c r="S373" s="19">
        <v>12</v>
      </c>
    </row>
    <row r="374" spans="1:19" x14ac:dyDescent="0.3">
      <c r="A374" t="s">
        <v>432</v>
      </c>
      <c r="B374" s="2">
        <v>45639</v>
      </c>
      <c r="C374" t="s">
        <v>28</v>
      </c>
      <c r="D374" t="s">
        <v>29</v>
      </c>
      <c r="E374" t="s">
        <v>22</v>
      </c>
      <c r="F374" t="s">
        <v>35</v>
      </c>
      <c r="G374" t="s">
        <v>31</v>
      </c>
      <c r="H374" t="s">
        <v>415</v>
      </c>
      <c r="I374">
        <v>1</v>
      </c>
      <c r="J374" s="5">
        <v>60213</v>
      </c>
      <c r="K374" s="5">
        <v>60213</v>
      </c>
      <c r="L374" s="5">
        <v>9031.9500000000007</v>
      </c>
      <c r="M374" s="12">
        <v>0.15</v>
      </c>
      <c r="N374" s="5">
        <f t="shared" si="10"/>
        <v>51181.05</v>
      </c>
      <c r="O374" s="5">
        <v>39375.64</v>
      </c>
      <c r="P374" s="5">
        <f t="shared" si="11"/>
        <v>11805.410000000003</v>
      </c>
      <c r="Q374" t="s">
        <v>416</v>
      </c>
      <c r="R374">
        <v>2024</v>
      </c>
      <c r="S374">
        <v>12</v>
      </c>
    </row>
    <row r="375" spans="1:19" x14ac:dyDescent="0.3">
      <c r="A375" s="19" t="s">
        <v>433</v>
      </c>
      <c r="B375" s="20">
        <v>45641</v>
      </c>
      <c r="C375" s="19" t="s">
        <v>46</v>
      </c>
      <c r="D375" s="19" t="s">
        <v>21</v>
      </c>
      <c r="E375" s="19" t="s">
        <v>44</v>
      </c>
      <c r="F375" s="19" t="s">
        <v>40</v>
      </c>
      <c r="G375" s="19" t="s">
        <v>31</v>
      </c>
      <c r="H375" s="19" t="s">
        <v>415</v>
      </c>
      <c r="I375" s="19">
        <v>1</v>
      </c>
      <c r="J375" s="21">
        <v>12898</v>
      </c>
      <c r="K375" s="21">
        <v>12898</v>
      </c>
      <c r="L375" s="21">
        <v>1934.7</v>
      </c>
      <c r="M375" s="15">
        <v>0.15</v>
      </c>
      <c r="N375" s="21">
        <f t="shared" si="10"/>
        <v>10963.3</v>
      </c>
      <c r="O375" s="21">
        <v>6248.95</v>
      </c>
      <c r="P375" s="21">
        <f t="shared" si="11"/>
        <v>4714.3499999999995</v>
      </c>
      <c r="Q375" s="19" t="s">
        <v>416</v>
      </c>
      <c r="R375" s="19">
        <v>2024</v>
      </c>
      <c r="S375" s="19">
        <v>12</v>
      </c>
    </row>
    <row r="376" spans="1:19" x14ac:dyDescent="0.3">
      <c r="A376" t="s">
        <v>434</v>
      </c>
      <c r="B376" s="2">
        <v>45641</v>
      </c>
      <c r="C376" t="s">
        <v>48</v>
      </c>
      <c r="D376" t="s">
        <v>34</v>
      </c>
      <c r="E376" t="s">
        <v>42</v>
      </c>
      <c r="F376" t="s">
        <v>40</v>
      </c>
      <c r="G376" t="s">
        <v>31</v>
      </c>
      <c r="H376" t="s">
        <v>415</v>
      </c>
      <c r="I376">
        <v>1</v>
      </c>
      <c r="J376" s="5">
        <v>23919</v>
      </c>
      <c r="K376" s="5">
        <v>23919</v>
      </c>
      <c r="L376" s="5">
        <v>2391.9</v>
      </c>
      <c r="M376" s="12">
        <v>0.1</v>
      </c>
      <c r="N376" s="5">
        <f t="shared" si="10"/>
        <v>21527.1</v>
      </c>
      <c r="O376" s="5">
        <v>12693.78</v>
      </c>
      <c r="P376" s="5">
        <f t="shared" si="11"/>
        <v>8833.3199999999979</v>
      </c>
      <c r="Q376" t="s">
        <v>416</v>
      </c>
      <c r="R376">
        <v>2024</v>
      </c>
      <c r="S376">
        <v>12</v>
      </c>
    </row>
    <row r="377" spans="1:19" x14ac:dyDescent="0.3">
      <c r="A377" s="19" t="s">
        <v>435</v>
      </c>
      <c r="B377" s="20">
        <v>45647</v>
      </c>
      <c r="C377" s="19" t="s">
        <v>48</v>
      </c>
      <c r="D377" s="19" t="s">
        <v>34</v>
      </c>
      <c r="E377" s="19" t="s">
        <v>22</v>
      </c>
      <c r="F377" s="19" t="s">
        <v>37</v>
      </c>
      <c r="G377" s="19" t="s">
        <v>31</v>
      </c>
      <c r="H377" s="19" t="s">
        <v>415</v>
      </c>
      <c r="I377" s="19">
        <v>2</v>
      </c>
      <c r="J377" s="21">
        <v>26943</v>
      </c>
      <c r="K377" s="21">
        <v>53886</v>
      </c>
      <c r="L377" s="21">
        <v>8082.9</v>
      </c>
      <c r="M377" s="15">
        <v>0.15</v>
      </c>
      <c r="N377" s="21">
        <f t="shared" si="10"/>
        <v>45803.1</v>
      </c>
      <c r="O377" s="21">
        <v>35156.870000000003</v>
      </c>
      <c r="P377" s="21">
        <f t="shared" si="11"/>
        <v>10646.229999999996</v>
      </c>
      <c r="Q377" s="19" t="s">
        <v>416</v>
      </c>
      <c r="R377" s="19">
        <v>2024</v>
      </c>
      <c r="S377" s="19">
        <v>12</v>
      </c>
    </row>
    <row r="378" spans="1:19" x14ac:dyDescent="0.3">
      <c r="A378" t="s">
        <v>436</v>
      </c>
      <c r="B378" s="2">
        <v>45648</v>
      </c>
      <c r="C378" t="s">
        <v>82</v>
      </c>
      <c r="D378" t="s">
        <v>21</v>
      </c>
      <c r="E378" t="s">
        <v>22</v>
      </c>
      <c r="F378" t="s">
        <v>37</v>
      </c>
      <c r="G378" t="s">
        <v>31</v>
      </c>
      <c r="H378" t="s">
        <v>415</v>
      </c>
      <c r="I378">
        <v>1</v>
      </c>
      <c r="J378" s="5">
        <v>46662</v>
      </c>
      <c r="K378" s="5">
        <v>46662</v>
      </c>
      <c r="L378" s="5">
        <v>4666.2</v>
      </c>
      <c r="M378" s="12">
        <v>0.1</v>
      </c>
      <c r="N378" s="5">
        <f t="shared" si="10"/>
        <v>41995.8</v>
      </c>
      <c r="O378" s="5">
        <v>27894.73</v>
      </c>
      <c r="P378" s="5">
        <f t="shared" si="11"/>
        <v>14101.070000000003</v>
      </c>
      <c r="Q378" t="s">
        <v>416</v>
      </c>
      <c r="R378">
        <v>2024</v>
      </c>
      <c r="S378">
        <v>12</v>
      </c>
    </row>
    <row r="379" spans="1:19" x14ac:dyDescent="0.3">
      <c r="A379" s="19" t="s">
        <v>437</v>
      </c>
      <c r="B379" s="20">
        <v>45649</v>
      </c>
      <c r="C379" s="19" t="s">
        <v>82</v>
      </c>
      <c r="D379" s="19" t="s">
        <v>21</v>
      </c>
      <c r="E379" s="19" t="s">
        <v>42</v>
      </c>
      <c r="F379" s="19" t="s">
        <v>35</v>
      </c>
      <c r="G379" s="19" t="s">
        <v>31</v>
      </c>
      <c r="H379" s="19" t="s">
        <v>415</v>
      </c>
      <c r="I379" s="19">
        <v>2</v>
      </c>
      <c r="J379" s="21">
        <v>43882</v>
      </c>
      <c r="K379" s="21">
        <v>87764</v>
      </c>
      <c r="L379" s="21">
        <v>13164.6</v>
      </c>
      <c r="M379" s="15">
        <v>0.15</v>
      </c>
      <c r="N379" s="21">
        <f t="shared" si="10"/>
        <v>74599.399999999994</v>
      </c>
      <c r="O379" s="21">
        <v>57766.65</v>
      </c>
      <c r="P379" s="21">
        <f t="shared" si="11"/>
        <v>16832.749999999993</v>
      </c>
      <c r="Q379" s="19" t="s">
        <v>416</v>
      </c>
      <c r="R379" s="19">
        <v>2024</v>
      </c>
      <c r="S379" s="19">
        <v>12</v>
      </c>
    </row>
    <row r="380" spans="1:19" x14ac:dyDescent="0.3">
      <c r="A380" t="s">
        <v>438</v>
      </c>
      <c r="B380" s="2">
        <v>45651</v>
      </c>
      <c r="C380" t="s">
        <v>20</v>
      </c>
      <c r="D380" t="s">
        <v>21</v>
      </c>
      <c r="E380" t="s">
        <v>42</v>
      </c>
      <c r="F380" t="s">
        <v>40</v>
      </c>
      <c r="G380" t="s">
        <v>31</v>
      </c>
      <c r="H380" t="s">
        <v>25</v>
      </c>
      <c r="I380">
        <v>3</v>
      </c>
      <c r="J380" s="5">
        <v>14527</v>
      </c>
      <c r="K380" s="5">
        <v>43581</v>
      </c>
      <c r="L380" s="5">
        <v>0</v>
      </c>
      <c r="M380" s="12">
        <v>0</v>
      </c>
      <c r="N380" s="5">
        <f t="shared" si="10"/>
        <v>43581</v>
      </c>
      <c r="O380" s="5">
        <v>25021.65</v>
      </c>
      <c r="P380" s="5">
        <f t="shared" si="11"/>
        <v>18559.349999999999</v>
      </c>
      <c r="Q380" t="s">
        <v>416</v>
      </c>
      <c r="R380">
        <v>2024</v>
      </c>
      <c r="S380">
        <v>12</v>
      </c>
    </row>
    <row r="381" spans="1:19" x14ac:dyDescent="0.3">
      <c r="A381" s="19" t="s">
        <v>439</v>
      </c>
      <c r="B381" s="20">
        <v>45654</v>
      </c>
      <c r="C381" s="19" t="s">
        <v>64</v>
      </c>
      <c r="D381" s="19" t="s">
        <v>29</v>
      </c>
      <c r="E381" s="19" t="s">
        <v>22</v>
      </c>
      <c r="F381" s="19" t="s">
        <v>40</v>
      </c>
      <c r="G381" s="19" t="s">
        <v>31</v>
      </c>
      <c r="H381" s="19" t="s">
        <v>415</v>
      </c>
      <c r="I381" s="19">
        <v>2</v>
      </c>
      <c r="J381" s="21">
        <v>31761</v>
      </c>
      <c r="K381" s="21">
        <v>63522</v>
      </c>
      <c r="L381" s="21">
        <v>6352.2</v>
      </c>
      <c r="M381" s="15">
        <v>0.1</v>
      </c>
      <c r="N381" s="21">
        <f t="shared" si="10"/>
        <v>57169.8</v>
      </c>
      <c r="O381" s="21">
        <v>35634.06</v>
      </c>
      <c r="P381" s="21">
        <f t="shared" si="11"/>
        <v>21535.740000000005</v>
      </c>
      <c r="Q381" s="19" t="s">
        <v>416</v>
      </c>
      <c r="R381" s="19">
        <v>2024</v>
      </c>
      <c r="S381" s="19">
        <v>12</v>
      </c>
    </row>
    <row r="382" spans="1:19" x14ac:dyDescent="0.3">
      <c r="A382" t="s">
        <v>440</v>
      </c>
      <c r="B382" s="2">
        <v>45654</v>
      </c>
      <c r="C382" t="s">
        <v>33</v>
      </c>
      <c r="D382" t="s">
        <v>34</v>
      </c>
      <c r="E382" t="s">
        <v>22</v>
      </c>
      <c r="F382" t="s">
        <v>40</v>
      </c>
      <c r="G382" t="s">
        <v>24</v>
      </c>
      <c r="H382" t="s">
        <v>415</v>
      </c>
      <c r="I382">
        <v>1</v>
      </c>
      <c r="J382" s="5">
        <v>41206</v>
      </c>
      <c r="K382" s="5">
        <v>41206</v>
      </c>
      <c r="L382" s="5">
        <v>4120.6000000000004</v>
      </c>
      <c r="M382" s="12">
        <v>0.1</v>
      </c>
      <c r="N382" s="5">
        <f t="shared" si="10"/>
        <v>37085.4</v>
      </c>
      <c r="O382" s="5">
        <v>20722.77</v>
      </c>
      <c r="P382" s="5">
        <f t="shared" si="11"/>
        <v>16362.630000000001</v>
      </c>
      <c r="Q382" t="s">
        <v>416</v>
      </c>
      <c r="R382">
        <v>2024</v>
      </c>
      <c r="S382">
        <v>12</v>
      </c>
    </row>
    <row r="383" spans="1:19" x14ac:dyDescent="0.3">
      <c r="A383" s="19" t="s">
        <v>441</v>
      </c>
      <c r="B383" s="20">
        <v>45655</v>
      </c>
      <c r="C383" s="19" t="s">
        <v>28</v>
      </c>
      <c r="D383" s="19" t="s">
        <v>29</v>
      </c>
      <c r="E383" s="19" t="s">
        <v>44</v>
      </c>
      <c r="F383" s="19" t="s">
        <v>37</v>
      </c>
      <c r="G383" s="19" t="s">
        <v>24</v>
      </c>
      <c r="H383" s="19" t="s">
        <v>415</v>
      </c>
      <c r="I383" s="19">
        <v>3</v>
      </c>
      <c r="J383" s="21">
        <v>66862</v>
      </c>
      <c r="K383" s="21">
        <v>200586</v>
      </c>
      <c r="L383" s="21">
        <v>30087.9</v>
      </c>
      <c r="M383" s="15">
        <v>0.15</v>
      </c>
      <c r="N383" s="21">
        <f t="shared" si="10"/>
        <v>170498.1</v>
      </c>
      <c r="O383" s="21">
        <v>118939.99</v>
      </c>
      <c r="P383" s="21">
        <f t="shared" si="11"/>
        <v>51558.11</v>
      </c>
      <c r="Q383" s="19" t="s">
        <v>416</v>
      </c>
      <c r="R383" s="19">
        <v>2024</v>
      </c>
      <c r="S383" s="19">
        <v>12</v>
      </c>
    </row>
    <row r="384" spans="1:19" x14ac:dyDescent="0.3">
      <c r="A384" t="s">
        <v>442</v>
      </c>
      <c r="B384" s="2">
        <v>45656</v>
      </c>
      <c r="C384" t="s">
        <v>75</v>
      </c>
      <c r="D384" t="s">
        <v>34</v>
      </c>
      <c r="E384" t="s">
        <v>56</v>
      </c>
      <c r="F384" t="s">
        <v>40</v>
      </c>
      <c r="G384" t="s">
        <v>24</v>
      </c>
      <c r="H384" t="s">
        <v>415</v>
      </c>
      <c r="I384">
        <v>1</v>
      </c>
      <c r="J384" s="5">
        <v>36164</v>
      </c>
      <c r="K384" s="5">
        <v>36164</v>
      </c>
      <c r="L384" s="5">
        <v>7232.8</v>
      </c>
      <c r="M384" s="12">
        <v>0.2</v>
      </c>
      <c r="N384" s="5">
        <f t="shared" si="10"/>
        <v>28931.200000000001</v>
      </c>
      <c r="O384" s="5">
        <v>17505.400000000001</v>
      </c>
      <c r="P384" s="5">
        <f t="shared" si="11"/>
        <v>11425.8</v>
      </c>
      <c r="Q384" t="s">
        <v>416</v>
      </c>
      <c r="R384">
        <v>2024</v>
      </c>
      <c r="S384">
        <v>12</v>
      </c>
    </row>
    <row r="385" spans="1:19" x14ac:dyDescent="0.3">
      <c r="A385" s="19" t="s">
        <v>443</v>
      </c>
      <c r="B385" s="20">
        <v>45656</v>
      </c>
      <c r="C385" s="19" t="s">
        <v>20</v>
      </c>
      <c r="D385" s="19" t="s">
        <v>21</v>
      </c>
      <c r="E385" s="19" t="s">
        <v>42</v>
      </c>
      <c r="F385" s="19" t="s">
        <v>35</v>
      </c>
      <c r="G385" s="19" t="s">
        <v>31</v>
      </c>
      <c r="H385" s="19" t="s">
        <v>415</v>
      </c>
      <c r="I385" s="19">
        <v>1</v>
      </c>
      <c r="J385" s="21">
        <v>14964</v>
      </c>
      <c r="K385" s="21">
        <v>14964</v>
      </c>
      <c r="L385" s="21">
        <v>2244.6</v>
      </c>
      <c r="M385" s="15">
        <v>0.15</v>
      </c>
      <c r="N385" s="21">
        <f t="shared" si="10"/>
        <v>12719.4</v>
      </c>
      <c r="O385" s="21">
        <v>8094.81</v>
      </c>
      <c r="P385" s="21">
        <f t="shared" si="11"/>
        <v>4624.5899999999992</v>
      </c>
      <c r="Q385" s="19" t="s">
        <v>416</v>
      </c>
      <c r="R385" s="19">
        <v>2024</v>
      </c>
      <c r="S385" s="19">
        <v>12</v>
      </c>
    </row>
    <row r="386" spans="1:19" x14ac:dyDescent="0.3">
      <c r="A386" t="s">
        <v>444</v>
      </c>
      <c r="B386" s="2">
        <v>45661</v>
      </c>
      <c r="C386" t="s">
        <v>28</v>
      </c>
      <c r="D386" t="s">
        <v>29</v>
      </c>
      <c r="E386" t="s">
        <v>22</v>
      </c>
      <c r="F386" t="s">
        <v>35</v>
      </c>
      <c r="G386" t="s">
        <v>31</v>
      </c>
      <c r="H386" t="s">
        <v>25</v>
      </c>
      <c r="I386">
        <v>1</v>
      </c>
      <c r="J386" s="5">
        <v>61125</v>
      </c>
      <c r="K386" s="5">
        <v>61125</v>
      </c>
      <c r="L386" s="5">
        <v>6112.5</v>
      </c>
      <c r="M386" s="12">
        <v>0.1</v>
      </c>
      <c r="N386" s="5">
        <f t="shared" si="10"/>
        <v>55012.5</v>
      </c>
      <c r="O386" s="5">
        <v>39890.29</v>
      </c>
      <c r="P386" s="5">
        <f t="shared" si="11"/>
        <v>15122.21</v>
      </c>
      <c r="Q386" t="s">
        <v>26</v>
      </c>
      <c r="R386">
        <v>2025</v>
      </c>
      <c r="S386">
        <v>1</v>
      </c>
    </row>
    <row r="387" spans="1:19" x14ac:dyDescent="0.3">
      <c r="A387" s="19" t="s">
        <v>445</v>
      </c>
      <c r="B387" s="20">
        <v>45662</v>
      </c>
      <c r="C387" s="19" t="s">
        <v>75</v>
      </c>
      <c r="D387" s="19" t="s">
        <v>34</v>
      </c>
      <c r="E387" s="19" t="s">
        <v>56</v>
      </c>
      <c r="F387" s="19" t="s">
        <v>37</v>
      </c>
      <c r="G387" s="19" t="s">
        <v>24</v>
      </c>
      <c r="H387" s="19" t="s">
        <v>25</v>
      </c>
      <c r="I387" s="19">
        <v>2</v>
      </c>
      <c r="J387" s="21">
        <v>35232</v>
      </c>
      <c r="K387" s="21">
        <v>70464</v>
      </c>
      <c r="L387" s="21">
        <v>0</v>
      </c>
      <c r="M387" s="15">
        <v>0</v>
      </c>
      <c r="N387" s="21">
        <f t="shared" ref="N387:N450" si="12">K387-L387</f>
        <v>70464</v>
      </c>
      <c r="O387" s="21">
        <v>37770.589999999997</v>
      </c>
      <c r="P387" s="21">
        <f t="shared" si="11"/>
        <v>32693.410000000003</v>
      </c>
      <c r="Q387" s="19" t="s">
        <v>26</v>
      </c>
      <c r="R387" s="19">
        <v>2025</v>
      </c>
      <c r="S387" s="19">
        <v>1</v>
      </c>
    </row>
    <row r="388" spans="1:19" x14ac:dyDescent="0.3">
      <c r="A388" t="s">
        <v>446</v>
      </c>
      <c r="B388" s="2">
        <v>45663</v>
      </c>
      <c r="C388" t="s">
        <v>46</v>
      </c>
      <c r="D388" t="s">
        <v>21</v>
      </c>
      <c r="E388" t="s">
        <v>56</v>
      </c>
      <c r="F388" t="s">
        <v>23</v>
      </c>
      <c r="G388" t="s">
        <v>31</v>
      </c>
      <c r="H388" t="s">
        <v>25</v>
      </c>
      <c r="I388">
        <v>3</v>
      </c>
      <c r="J388" s="5">
        <v>12848</v>
      </c>
      <c r="K388" s="5">
        <v>38544</v>
      </c>
      <c r="L388" s="5">
        <v>0</v>
      </c>
      <c r="M388" s="12">
        <v>0</v>
      </c>
      <c r="N388" s="5">
        <f t="shared" si="12"/>
        <v>38544</v>
      </c>
      <c r="O388" s="5">
        <v>24909.63</v>
      </c>
      <c r="P388" s="5">
        <f t="shared" ref="P388:P451" si="13">N388-O388</f>
        <v>13634.369999999999</v>
      </c>
      <c r="Q388" t="s">
        <v>26</v>
      </c>
      <c r="R388">
        <v>2025</v>
      </c>
      <c r="S388">
        <v>1</v>
      </c>
    </row>
    <row r="389" spans="1:19" x14ac:dyDescent="0.3">
      <c r="A389" s="19" t="s">
        <v>447</v>
      </c>
      <c r="B389" s="20">
        <v>45664</v>
      </c>
      <c r="C389" s="19" t="s">
        <v>20</v>
      </c>
      <c r="D389" s="19" t="s">
        <v>21</v>
      </c>
      <c r="E389" s="19" t="s">
        <v>22</v>
      </c>
      <c r="F389" s="19" t="s">
        <v>30</v>
      </c>
      <c r="G389" s="19" t="s">
        <v>24</v>
      </c>
      <c r="H389" s="19" t="s">
        <v>25</v>
      </c>
      <c r="I389" s="19">
        <v>2</v>
      </c>
      <c r="J389" s="21">
        <v>14279</v>
      </c>
      <c r="K389" s="21">
        <v>28558</v>
      </c>
      <c r="L389" s="21">
        <v>0</v>
      </c>
      <c r="M389" s="15">
        <v>0</v>
      </c>
      <c r="N389" s="21">
        <f t="shared" si="12"/>
        <v>28558</v>
      </c>
      <c r="O389" s="21">
        <v>17971.09</v>
      </c>
      <c r="P389" s="21">
        <f t="shared" si="13"/>
        <v>10586.91</v>
      </c>
      <c r="Q389" s="19" t="s">
        <v>26</v>
      </c>
      <c r="R389" s="19">
        <v>2025</v>
      </c>
      <c r="S389" s="19">
        <v>1</v>
      </c>
    </row>
    <row r="390" spans="1:19" x14ac:dyDescent="0.3">
      <c r="A390" t="s">
        <v>448</v>
      </c>
      <c r="B390" s="2">
        <v>45665</v>
      </c>
      <c r="C390" t="s">
        <v>28</v>
      </c>
      <c r="D390" t="s">
        <v>29</v>
      </c>
      <c r="E390" t="s">
        <v>42</v>
      </c>
      <c r="F390" t="s">
        <v>30</v>
      </c>
      <c r="G390" t="s">
        <v>31</v>
      </c>
      <c r="H390" t="s">
        <v>25</v>
      </c>
      <c r="I390">
        <v>1</v>
      </c>
      <c r="J390" s="5">
        <v>66438</v>
      </c>
      <c r="K390" s="5">
        <v>66438</v>
      </c>
      <c r="L390" s="5">
        <v>0</v>
      </c>
      <c r="M390" s="12">
        <v>0</v>
      </c>
      <c r="N390" s="5">
        <f t="shared" si="12"/>
        <v>66438</v>
      </c>
      <c r="O390" s="5">
        <v>33378.61</v>
      </c>
      <c r="P390" s="5">
        <f t="shared" si="13"/>
        <v>33059.39</v>
      </c>
      <c r="Q390" t="s">
        <v>26</v>
      </c>
      <c r="R390">
        <v>2025</v>
      </c>
      <c r="S390">
        <v>1</v>
      </c>
    </row>
    <row r="391" spans="1:19" x14ac:dyDescent="0.3">
      <c r="A391" s="19" t="s">
        <v>449</v>
      </c>
      <c r="B391" s="20">
        <v>45665</v>
      </c>
      <c r="C391" s="19" t="s">
        <v>20</v>
      </c>
      <c r="D391" s="19" t="s">
        <v>21</v>
      </c>
      <c r="E391" s="19" t="s">
        <v>42</v>
      </c>
      <c r="F391" s="19" t="s">
        <v>40</v>
      </c>
      <c r="G391" s="19" t="s">
        <v>31</v>
      </c>
      <c r="H391" s="19" t="s">
        <v>25</v>
      </c>
      <c r="I391" s="19">
        <v>1</v>
      </c>
      <c r="J391" s="21">
        <v>15386</v>
      </c>
      <c r="K391" s="21">
        <v>15386</v>
      </c>
      <c r="L391" s="21">
        <v>0</v>
      </c>
      <c r="M391" s="15">
        <v>0</v>
      </c>
      <c r="N391" s="21">
        <f t="shared" si="12"/>
        <v>15386</v>
      </c>
      <c r="O391" s="21">
        <v>9959.65</v>
      </c>
      <c r="P391" s="21">
        <f t="shared" si="13"/>
        <v>5426.35</v>
      </c>
      <c r="Q391" s="19" t="s">
        <v>26</v>
      </c>
      <c r="R391" s="19">
        <v>2025</v>
      </c>
      <c r="S391" s="19">
        <v>1</v>
      </c>
    </row>
    <row r="392" spans="1:19" x14ac:dyDescent="0.3">
      <c r="A392" t="s">
        <v>450</v>
      </c>
      <c r="B392" s="2">
        <v>45667</v>
      </c>
      <c r="C392" t="s">
        <v>75</v>
      </c>
      <c r="D392" t="s">
        <v>34</v>
      </c>
      <c r="E392" t="s">
        <v>22</v>
      </c>
      <c r="F392" t="s">
        <v>40</v>
      </c>
      <c r="G392" t="s">
        <v>31</v>
      </c>
      <c r="H392" t="s">
        <v>25</v>
      </c>
      <c r="I392">
        <v>1</v>
      </c>
      <c r="J392" s="5">
        <v>39569</v>
      </c>
      <c r="K392" s="5">
        <v>39569</v>
      </c>
      <c r="L392" s="5">
        <v>0</v>
      </c>
      <c r="M392" s="12">
        <v>0</v>
      </c>
      <c r="N392" s="5">
        <f t="shared" si="12"/>
        <v>39569</v>
      </c>
      <c r="O392" s="5">
        <v>19110.48</v>
      </c>
      <c r="P392" s="5">
        <f t="shared" si="13"/>
        <v>20458.52</v>
      </c>
      <c r="Q392" t="s">
        <v>26</v>
      </c>
      <c r="R392">
        <v>2025</v>
      </c>
      <c r="S392">
        <v>1</v>
      </c>
    </row>
    <row r="393" spans="1:19" x14ac:dyDescent="0.3">
      <c r="A393" s="19" t="s">
        <v>451</v>
      </c>
      <c r="B393" s="20">
        <v>45667</v>
      </c>
      <c r="C393" s="19" t="s">
        <v>48</v>
      </c>
      <c r="D393" s="19" t="s">
        <v>34</v>
      </c>
      <c r="E393" s="19" t="s">
        <v>56</v>
      </c>
      <c r="F393" s="19" t="s">
        <v>40</v>
      </c>
      <c r="G393" s="19" t="s">
        <v>31</v>
      </c>
      <c r="H393" s="19" t="s">
        <v>25</v>
      </c>
      <c r="I393" s="19">
        <v>1</v>
      </c>
      <c r="J393" s="21">
        <v>25303</v>
      </c>
      <c r="K393" s="21">
        <v>25303</v>
      </c>
      <c r="L393" s="21">
        <v>0</v>
      </c>
      <c r="M393" s="15">
        <v>0</v>
      </c>
      <c r="N393" s="21">
        <f t="shared" si="12"/>
        <v>25303</v>
      </c>
      <c r="O393" s="21">
        <v>12777.61</v>
      </c>
      <c r="P393" s="21">
        <f t="shared" si="13"/>
        <v>12525.39</v>
      </c>
      <c r="Q393" s="19" t="s">
        <v>26</v>
      </c>
      <c r="R393" s="19">
        <v>2025</v>
      </c>
      <c r="S393" s="19">
        <v>1</v>
      </c>
    </row>
    <row r="394" spans="1:19" x14ac:dyDescent="0.3">
      <c r="A394" t="s">
        <v>452</v>
      </c>
      <c r="B394" s="2">
        <v>45668</v>
      </c>
      <c r="C394" t="s">
        <v>64</v>
      </c>
      <c r="D394" t="s">
        <v>29</v>
      </c>
      <c r="E394" t="s">
        <v>22</v>
      </c>
      <c r="F394" t="s">
        <v>40</v>
      </c>
      <c r="G394" t="s">
        <v>31</v>
      </c>
      <c r="H394" t="s">
        <v>25</v>
      </c>
      <c r="I394">
        <v>3</v>
      </c>
      <c r="J394" s="5">
        <v>30799</v>
      </c>
      <c r="K394" s="5">
        <v>92397</v>
      </c>
      <c r="L394" s="5">
        <v>0</v>
      </c>
      <c r="M394" s="12">
        <v>0</v>
      </c>
      <c r="N394" s="5">
        <f t="shared" si="12"/>
        <v>92397</v>
      </c>
      <c r="O394" s="5">
        <v>60429.59</v>
      </c>
      <c r="P394" s="5">
        <f t="shared" si="13"/>
        <v>31967.410000000003</v>
      </c>
      <c r="Q394" t="s">
        <v>26</v>
      </c>
      <c r="R394">
        <v>2025</v>
      </c>
      <c r="S394">
        <v>1</v>
      </c>
    </row>
    <row r="395" spans="1:19" x14ac:dyDescent="0.3">
      <c r="A395" s="19" t="s">
        <v>453</v>
      </c>
      <c r="B395" s="20">
        <v>45670</v>
      </c>
      <c r="C395" s="19" t="s">
        <v>64</v>
      </c>
      <c r="D395" s="19" t="s">
        <v>29</v>
      </c>
      <c r="E395" s="19" t="s">
        <v>56</v>
      </c>
      <c r="F395" s="19" t="s">
        <v>35</v>
      </c>
      <c r="G395" s="19" t="s">
        <v>31</v>
      </c>
      <c r="H395" s="19" t="s">
        <v>25</v>
      </c>
      <c r="I395" s="19">
        <v>2</v>
      </c>
      <c r="J395" s="21">
        <v>31412</v>
      </c>
      <c r="K395" s="21">
        <v>62824</v>
      </c>
      <c r="L395" s="21">
        <v>0</v>
      </c>
      <c r="M395" s="15">
        <v>0</v>
      </c>
      <c r="N395" s="21">
        <f t="shared" si="12"/>
        <v>62824</v>
      </c>
      <c r="O395" s="21">
        <v>37546.160000000003</v>
      </c>
      <c r="P395" s="21">
        <f t="shared" si="13"/>
        <v>25277.839999999997</v>
      </c>
      <c r="Q395" s="19" t="s">
        <v>26</v>
      </c>
      <c r="R395" s="19">
        <v>2025</v>
      </c>
      <c r="S395" s="19">
        <v>1</v>
      </c>
    </row>
    <row r="396" spans="1:19" x14ac:dyDescent="0.3">
      <c r="A396" t="s">
        <v>454</v>
      </c>
      <c r="B396" s="2">
        <v>45671</v>
      </c>
      <c r="C396" t="s">
        <v>82</v>
      </c>
      <c r="D396" t="s">
        <v>21</v>
      </c>
      <c r="E396" t="s">
        <v>22</v>
      </c>
      <c r="F396" t="s">
        <v>23</v>
      </c>
      <c r="G396" t="s">
        <v>24</v>
      </c>
      <c r="H396" t="s">
        <v>25</v>
      </c>
      <c r="I396">
        <v>1</v>
      </c>
      <c r="J396" s="5">
        <v>42348</v>
      </c>
      <c r="K396" s="5">
        <v>42348</v>
      </c>
      <c r="L396" s="5">
        <v>0</v>
      </c>
      <c r="M396" s="12">
        <v>0</v>
      </c>
      <c r="N396" s="5">
        <f t="shared" si="12"/>
        <v>42348</v>
      </c>
      <c r="O396" s="5">
        <v>26611.29</v>
      </c>
      <c r="P396" s="5">
        <f t="shared" si="13"/>
        <v>15736.71</v>
      </c>
      <c r="Q396" t="s">
        <v>26</v>
      </c>
      <c r="R396">
        <v>2025</v>
      </c>
      <c r="S396">
        <v>1</v>
      </c>
    </row>
    <row r="397" spans="1:19" x14ac:dyDescent="0.3">
      <c r="A397" s="19" t="s">
        <v>455</v>
      </c>
      <c r="B397" s="20">
        <v>45671</v>
      </c>
      <c r="C397" s="19" t="s">
        <v>33</v>
      </c>
      <c r="D397" s="19" t="s">
        <v>34</v>
      </c>
      <c r="E397" s="19" t="s">
        <v>42</v>
      </c>
      <c r="F397" s="19" t="s">
        <v>40</v>
      </c>
      <c r="G397" s="19" t="s">
        <v>24</v>
      </c>
      <c r="H397" s="19" t="s">
        <v>25</v>
      </c>
      <c r="I397" s="19">
        <v>3</v>
      </c>
      <c r="J397" s="21">
        <v>38780</v>
      </c>
      <c r="K397" s="21">
        <v>116340</v>
      </c>
      <c r="L397" s="21">
        <v>0</v>
      </c>
      <c r="M397" s="15">
        <v>0</v>
      </c>
      <c r="N397" s="21">
        <f t="shared" si="12"/>
        <v>116340</v>
      </c>
      <c r="O397" s="21">
        <v>78363.37</v>
      </c>
      <c r="P397" s="21">
        <f t="shared" si="13"/>
        <v>37976.630000000005</v>
      </c>
      <c r="Q397" s="19" t="s">
        <v>26</v>
      </c>
      <c r="R397" s="19">
        <v>2025</v>
      </c>
      <c r="S397" s="19">
        <v>1</v>
      </c>
    </row>
    <row r="398" spans="1:19" x14ac:dyDescent="0.3">
      <c r="A398" t="s">
        <v>456</v>
      </c>
      <c r="B398" s="2">
        <v>45676</v>
      </c>
      <c r="C398" t="s">
        <v>75</v>
      </c>
      <c r="D398" t="s">
        <v>34</v>
      </c>
      <c r="E398" t="s">
        <v>44</v>
      </c>
      <c r="F398" t="s">
        <v>23</v>
      </c>
      <c r="G398" t="s">
        <v>31</v>
      </c>
      <c r="H398" t="s">
        <v>25</v>
      </c>
      <c r="I398">
        <v>3</v>
      </c>
      <c r="J398" s="5">
        <v>38963</v>
      </c>
      <c r="K398" s="5">
        <v>116889</v>
      </c>
      <c r="L398" s="5">
        <v>0</v>
      </c>
      <c r="M398" s="12">
        <v>0</v>
      </c>
      <c r="N398" s="5">
        <f t="shared" si="12"/>
        <v>116889</v>
      </c>
      <c r="O398" s="5">
        <v>75882.5</v>
      </c>
      <c r="P398" s="5">
        <f t="shared" si="13"/>
        <v>41006.5</v>
      </c>
      <c r="Q398" t="s">
        <v>26</v>
      </c>
      <c r="R398">
        <v>2025</v>
      </c>
      <c r="S398">
        <v>1</v>
      </c>
    </row>
    <row r="399" spans="1:19" x14ac:dyDescent="0.3">
      <c r="A399" s="19" t="s">
        <v>457</v>
      </c>
      <c r="B399" s="20">
        <v>45676</v>
      </c>
      <c r="C399" s="19" t="s">
        <v>33</v>
      </c>
      <c r="D399" s="19" t="s">
        <v>34</v>
      </c>
      <c r="E399" s="19" t="s">
        <v>22</v>
      </c>
      <c r="F399" s="19" t="s">
        <v>23</v>
      </c>
      <c r="G399" s="19" t="s">
        <v>24</v>
      </c>
      <c r="H399" s="19" t="s">
        <v>25</v>
      </c>
      <c r="I399" s="19">
        <v>1</v>
      </c>
      <c r="J399" s="21">
        <v>43479</v>
      </c>
      <c r="K399" s="21">
        <v>43479</v>
      </c>
      <c r="L399" s="21">
        <v>0</v>
      </c>
      <c r="M399" s="15">
        <v>0</v>
      </c>
      <c r="N399" s="21">
        <f t="shared" si="12"/>
        <v>43479</v>
      </c>
      <c r="O399" s="21">
        <v>24903.119999999999</v>
      </c>
      <c r="P399" s="21">
        <f t="shared" si="13"/>
        <v>18575.88</v>
      </c>
      <c r="Q399" s="19" t="s">
        <v>26</v>
      </c>
      <c r="R399" s="19">
        <v>2025</v>
      </c>
      <c r="S399" s="19">
        <v>1</v>
      </c>
    </row>
    <row r="400" spans="1:19" x14ac:dyDescent="0.3">
      <c r="A400" t="s">
        <v>458</v>
      </c>
      <c r="B400" s="2">
        <v>45677</v>
      </c>
      <c r="C400" t="s">
        <v>46</v>
      </c>
      <c r="D400" t="s">
        <v>21</v>
      </c>
      <c r="E400" t="s">
        <v>42</v>
      </c>
      <c r="F400" t="s">
        <v>35</v>
      </c>
      <c r="G400" t="s">
        <v>24</v>
      </c>
      <c r="H400" t="s">
        <v>25</v>
      </c>
      <c r="I400">
        <v>1</v>
      </c>
      <c r="J400" s="5">
        <v>11473</v>
      </c>
      <c r="K400" s="5">
        <v>11473</v>
      </c>
      <c r="L400" s="5">
        <v>0</v>
      </c>
      <c r="M400" s="12">
        <v>0</v>
      </c>
      <c r="N400" s="5">
        <f t="shared" si="12"/>
        <v>11473</v>
      </c>
      <c r="O400" s="5">
        <v>7002.02</v>
      </c>
      <c r="P400" s="5">
        <f t="shared" si="13"/>
        <v>4470.9799999999996</v>
      </c>
      <c r="Q400" t="s">
        <v>26</v>
      </c>
      <c r="R400">
        <v>2025</v>
      </c>
      <c r="S400">
        <v>1</v>
      </c>
    </row>
    <row r="401" spans="1:19" x14ac:dyDescent="0.3">
      <c r="A401" s="19" t="s">
        <v>459</v>
      </c>
      <c r="B401" s="20">
        <v>45677</v>
      </c>
      <c r="C401" s="19" t="s">
        <v>71</v>
      </c>
      <c r="D401" s="19" t="s">
        <v>34</v>
      </c>
      <c r="E401" s="19" t="s">
        <v>22</v>
      </c>
      <c r="F401" s="19" t="s">
        <v>35</v>
      </c>
      <c r="G401" s="19" t="s">
        <v>24</v>
      </c>
      <c r="H401" s="19" t="s">
        <v>25</v>
      </c>
      <c r="I401" s="19">
        <v>1</v>
      </c>
      <c r="J401" s="21">
        <v>48405</v>
      </c>
      <c r="K401" s="21">
        <v>48405</v>
      </c>
      <c r="L401" s="21">
        <v>7260.75</v>
      </c>
      <c r="M401" s="15">
        <v>0.15</v>
      </c>
      <c r="N401" s="21">
        <f t="shared" si="12"/>
        <v>41144.25</v>
      </c>
      <c r="O401" s="21">
        <v>26873.86</v>
      </c>
      <c r="P401" s="21">
        <f t="shared" si="13"/>
        <v>14270.39</v>
      </c>
      <c r="Q401" s="19" t="s">
        <v>26</v>
      </c>
      <c r="R401" s="19">
        <v>2025</v>
      </c>
      <c r="S401" s="19">
        <v>1</v>
      </c>
    </row>
    <row r="402" spans="1:19" x14ac:dyDescent="0.3">
      <c r="A402" t="s">
        <v>460</v>
      </c>
      <c r="B402" s="2">
        <v>45678</v>
      </c>
      <c r="C402" t="s">
        <v>71</v>
      </c>
      <c r="D402" t="s">
        <v>34</v>
      </c>
      <c r="E402" t="s">
        <v>42</v>
      </c>
      <c r="F402" t="s">
        <v>37</v>
      </c>
      <c r="G402" t="s">
        <v>24</v>
      </c>
      <c r="H402" t="s">
        <v>25</v>
      </c>
      <c r="I402">
        <v>1</v>
      </c>
      <c r="J402" s="5">
        <v>53848</v>
      </c>
      <c r="K402" s="5">
        <v>53848</v>
      </c>
      <c r="L402" s="5">
        <v>0</v>
      </c>
      <c r="M402" s="12">
        <v>0</v>
      </c>
      <c r="N402" s="5">
        <f t="shared" si="12"/>
        <v>53848</v>
      </c>
      <c r="O402" s="5">
        <v>34644.620000000003</v>
      </c>
      <c r="P402" s="5">
        <f t="shared" si="13"/>
        <v>19203.379999999997</v>
      </c>
      <c r="Q402" t="s">
        <v>26</v>
      </c>
      <c r="R402">
        <v>2025</v>
      </c>
      <c r="S402">
        <v>1</v>
      </c>
    </row>
    <row r="403" spans="1:19" x14ac:dyDescent="0.3">
      <c r="A403" s="19" t="s">
        <v>461</v>
      </c>
      <c r="B403" s="20">
        <v>45679</v>
      </c>
      <c r="C403" s="19" t="s">
        <v>64</v>
      </c>
      <c r="D403" s="19" t="s">
        <v>29</v>
      </c>
      <c r="E403" s="19" t="s">
        <v>56</v>
      </c>
      <c r="F403" s="19" t="s">
        <v>23</v>
      </c>
      <c r="G403" s="19" t="s">
        <v>24</v>
      </c>
      <c r="H403" s="19" t="s">
        <v>25</v>
      </c>
      <c r="I403" s="19">
        <v>3</v>
      </c>
      <c r="J403" s="21">
        <v>31144</v>
      </c>
      <c r="K403" s="21">
        <v>93432</v>
      </c>
      <c r="L403" s="21">
        <v>14014.8</v>
      </c>
      <c r="M403" s="15">
        <v>0.15</v>
      </c>
      <c r="N403" s="21">
        <f t="shared" si="12"/>
        <v>79417.2</v>
      </c>
      <c r="O403" s="21">
        <v>52399.29</v>
      </c>
      <c r="P403" s="21">
        <f t="shared" si="13"/>
        <v>27017.909999999996</v>
      </c>
      <c r="Q403" s="19" t="s">
        <v>26</v>
      </c>
      <c r="R403" s="19">
        <v>2025</v>
      </c>
      <c r="S403" s="19">
        <v>1</v>
      </c>
    </row>
    <row r="404" spans="1:19" x14ac:dyDescent="0.3">
      <c r="A404" t="s">
        <v>462</v>
      </c>
      <c r="B404" s="2">
        <v>45680</v>
      </c>
      <c r="C404" t="s">
        <v>33</v>
      </c>
      <c r="D404" t="s">
        <v>34</v>
      </c>
      <c r="E404" t="s">
        <v>42</v>
      </c>
      <c r="F404" t="s">
        <v>23</v>
      </c>
      <c r="G404" t="s">
        <v>24</v>
      </c>
      <c r="H404" t="s">
        <v>25</v>
      </c>
      <c r="I404">
        <v>1</v>
      </c>
      <c r="J404" s="5">
        <v>40619</v>
      </c>
      <c r="K404" s="5">
        <v>40619</v>
      </c>
      <c r="L404" s="5">
        <v>0</v>
      </c>
      <c r="M404" s="12">
        <v>0</v>
      </c>
      <c r="N404" s="5">
        <f t="shared" si="12"/>
        <v>40619</v>
      </c>
      <c r="O404" s="5">
        <v>19707.490000000002</v>
      </c>
      <c r="P404" s="5">
        <f t="shared" si="13"/>
        <v>20911.509999999998</v>
      </c>
      <c r="Q404" t="s">
        <v>26</v>
      </c>
      <c r="R404">
        <v>2025</v>
      </c>
      <c r="S404">
        <v>1</v>
      </c>
    </row>
    <row r="405" spans="1:19" x14ac:dyDescent="0.3">
      <c r="A405" s="19" t="s">
        <v>463</v>
      </c>
      <c r="B405" s="20">
        <v>45680</v>
      </c>
      <c r="C405" s="19" t="s">
        <v>20</v>
      </c>
      <c r="D405" s="19" t="s">
        <v>21</v>
      </c>
      <c r="E405" s="19" t="s">
        <v>44</v>
      </c>
      <c r="F405" s="19" t="s">
        <v>40</v>
      </c>
      <c r="G405" s="19" t="s">
        <v>31</v>
      </c>
      <c r="H405" s="19" t="s">
        <v>25</v>
      </c>
      <c r="I405" s="19">
        <v>2</v>
      </c>
      <c r="J405" s="21">
        <v>15652</v>
      </c>
      <c r="K405" s="21">
        <v>31304</v>
      </c>
      <c r="L405" s="21">
        <v>0</v>
      </c>
      <c r="M405" s="15">
        <v>0</v>
      </c>
      <c r="N405" s="21">
        <f t="shared" si="12"/>
        <v>31304</v>
      </c>
      <c r="O405" s="21">
        <v>18364.18</v>
      </c>
      <c r="P405" s="21">
        <f t="shared" si="13"/>
        <v>12939.82</v>
      </c>
      <c r="Q405" s="19" t="s">
        <v>26</v>
      </c>
      <c r="R405" s="19">
        <v>2025</v>
      </c>
      <c r="S405" s="19">
        <v>1</v>
      </c>
    </row>
    <row r="406" spans="1:19" x14ac:dyDescent="0.3">
      <c r="A406" t="s">
        <v>464</v>
      </c>
      <c r="B406" s="2">
        <v>45681</v>
      </c>
      <c r="C406" t="s">
        <v>20</v>
      </c>
      <c r="D406" t="s">
        <v>21</v>
      </c>
      <c r="E406" t="s">
        <v>42</v>
      </c>
      <c r="F406" t="s">
        <v>37</v>
      </c>
      <c r="G406" t="s">
        <v>31</v>
      </c>
      <c r="H406" t="s">
        <v>25</v>
      </c>
      <c r="I406">
        <v>1</v>
      </c>
      <c r="J406" s="5">
        <v>16105</v>
      </c>
      <c r="K406" s="5">
        <v>16105</v>
      </c>
      <c r="L406" s="5">
        <v>0</v>
      </c>
      <c r="M406" s="12">
        <v>0</v>
      </c>
      <c r="N406" s="5">
        <f t="shared" si="12"/>
        <v>16105</v>
      </c>
      <c r="O406" s="5">
        <v>9974.65</v>
      </c>
      <c r="P406" s="5">
        <f t="shared" si="13"/>
        <v>6130.35</v>
      </c>
      <c r="Q406" t="s">
        <v>26</v>
      </c>
      <c r="R406">
        <v>2025</v>
      </c>
      <c r="S406">
        <v>1</v>
      </c>
    </row>
    <row r="407" spans="1:19" x14ac:dyDescent="0.3">
      <c r="A407" s="19" t="s">
        <v>465</v>
      </c>
      <c r="B407" s="20">
        <v>45682</v>
      </c>
      <c r="C407" s="19" t="s">
        <v>48</v>
      </c>
      <c r="D407" s="19" t="s">
        <v>34</v>
      </c>
      <c r="E407" s="19" t="s">
        <v>44</v>
      </c>
      <c r="F407" s="19" t="s">
        <v>40</v>
      </c>
      <c r="G407" s="19" t="s">
        <v>24</v>
      </c>
      <c r="H407" s="19" t="s">
        <v>25</v>
      </c>
      <c r="I407" s="19">
        <v>1</v>
      </c>
      <c r="J407" s="21">
        <v>25542</v>
      </c>
      <c r="K407" s="21">
        <v>25542</v>
      </c>
      <c r="L407" s="21">
        <v>0</v>
      </c>
      <c r="M407" s="15">
        <v>0</v>
      </c>
      <c r="N407" s="21">
        <f t="shared" si="12"/>
        <v>25542</v>
      </c>
      <c r="O407" s="21">
        <v>16173.82</v>
      </c>
      <c r="P407" s="21">
        <f t="shared" si="13"/>
        <v>9368.18</v>
      </c>
      <c r="Q407" s="19" t="s">
        <v>26</v>
      </c>
      <c r="R407" s="19">
        <v>2025</v>
      </c>
      <c r="S407" s="19">
        <v>1</v>
      </c>
    </row>
    <row r="408" spans="1:19" x14ac:dyDescent="0.3">
      <c r="A408" t="s">
        <v>466</v>
      </c>
      <c r="B408" s="2">
        <v>45682</v>
      </c>
      <c r="C408" t="s">
        <v>71</v>
      </c>
      <c r="D408" t="s">
        <v>34</v>
      </c>
      <c r="E408" t="s">
        <v>42</v>
      </c>
      <c r="F408" t="s">
        <v>40</v>
      </c>
      <c r="G408" t="s">
        <v>31</v>
      </c>
      <c r="H408" t="s">
        <v>25</v>
      </c>
      <c r="I408">
        <v>1</v>
      </c>
      <c r="J408" s="5">
        <v>48971</v>
      </c>
      <c r="K408" s="5">
        <v>48971</v>
      </c>
      <c r="L408" s="5">
        <v>0</v>
      </c>
      <c r="M408" s="12">
        <v>0</v>
      </c>
      <c r="N408" s="5">
        <f t="shared" si="12"/>
        <v>48971</v>
      </c>
      <c r="O408" s="5">
        <v>28767.22</v>
      </c>
      <c r="P408" s="5">
        <f t="shared" si="13"/>
        <v>20203.78</v>
      </c>
      <c r="Q408" t="s">
        <v>26</v>
      </c>
      <c r="R408">
        <v>2025</v>
      </c>
      <c r="S408">
        <v>1</v>
      </c>
    </row>
    <row r="409" spans="1:19" x14ac:dyDescent="0.3">
      <c r="A409" s="19" t="s">
        <v>467</v>
      </c>
      <c r="B409" s="20">
        <v>45683</v>
      </c>
      <c r="C409" s="19" t="s">
        <v>71</v>
      </c>
      <c r="D409" s="19" t="s">
        <v>34</v>
      </c>
      <c r="E409" s="19" t="s">
        <v>22</v>
      </c>
      <c r="F409" s="19" t="s">
        <v>40</v>
      </c>
      <c r="G409" s="19" t="s">
        <v>24</v>
      </c>
      <c r="H409" s="19" t="s">
        <v>25</v>
      </c>
      <c r="I409" s="19">
        <v>3</v>
      </c>
      <c r="J409" s="21">
        <v>51503</v>
      </c>
      <c r="K409" s="21">
        <v>154509</v>
      </c>
      <c r="L409" s="21">
        <v>0</v>
      </c>
      <c r="M409" s="15">
        <v>0</v>
      </c>
      <c r="N409" s="21">
        <f t="shared" si="12"/>
        <v>154509</v>
      </c>
      <c r="O409" s="21">
        <v>90810.99</v>
      </c>
      <c r="P409" s="21">
        <f t="shared" si="13"/>
        <v>63698.009999999995</v>
      </c>
      <c r="Q409" s="19" t="s">
        <v>26</v>
      </c>
      <c r="R409" s="19">
        <v>2025</v>
      </c>
      <c r="S409" s="19">
        <v>1</v>
      </c>
    </row>
    <row r="410" spans="1:19" x14ac:dyDescent="0.3">
      <c r="A410" t="s">
        <v>468</v>
      </c>
      <c r="B410" s="2">
        <v>45684</v>
      </c>
      <c r="C410" t="s">
        <v>82</v>
      </c>
      <c r="D410" t="s">
        <v>21</v>
      </c>
      <c r="E410" t="s">
        <v>22</v>
      </c>
      <c r="F410" t="s">
        <v>40</v>
      </c>
      <c r="G410" t="s">
        <v>24</v>
      </c>
      <c r="H410" t="s">
        <v>25</v>
      </c>
      <c r="I410">
        <v>2</v>
      </c>
      <c r="J410" s="5">
        <v>45965</v>
      </c>
      <c r="K410" s="5">
        <v>91930</v>
      </c>
      <c r="L410" s="5">
        <v>0</v>
      </c>
      <c r="M410" s="12">
        <v>0</v>
      </c>
      <c r="N410" s="5">
        <f t="shared" si="12"/>
        <v>91930</v>
      </c>
      <c r="O410" s="5">
        <v>56558.6</v>
      </c>
      <c r="P410" s="5">
        <f t="shared" si="13"/>
        <v>35371.4</v>
      </c>
      <c r="Q410" t="s">
        <v>26</v>
      </c>
      <c r="R410">
        <v>2025</v>
      </c>
      <c r="S410">
        <v>1</v>
      </c>
    </row>
    <row r="411" spans="1:19" x14ac:dyDescent="0.3">
      <c r="A411" s="19" t="s">
        <v>469</v>
      </c>
      <c r="B411" s="20">
        <v>45687</v>
      </c>
      <c r="C411" s="19" t="s">
        <v>50</v>
      </c>
      <c r="D411" s="19" t="s">
        <v>34</v>
      </c>
      <c r="E411" s="19" t="s">
        <v>44</v>
      </c>
      <c r="F411" s="19" t="s">
        <v>40</v>
      </c>
      <c r="G411" s="19" t="s">
        <v>24</v>
      </c>
      <c r="H411" s="19" t="s">
        <v>25</v>
      </c>
      <c r="I411" s="19">
        <v>4</v>
      </c>
      <c r="J411" s="21">
        <v>18901</v>
      </c>
      <c r="K411" s="21">
        <v>75604</v>
      </c>
      <c r="L411" s="21">
        <v>7560.4</v>
      </c>
      <c r="M411" s="15">
        <v>0.1</v>
      </c>
      <c r="N411" s="21">
        <f t="shared" si="12"/>
        <v>68043.600000000006</v>
      </c>
      <c r="O411" s="21">
        <v>48070.44</v>
      </c>
      <c r="P411" s="21">
        <f t="shared" si="13"/>
        <v>19973.160000000003</v>
      </c>
      <c r="Q411" s="19" t="s">
        <v>26</v>
      </c>
      <c r="R411" s="19">
        <v>2025</v>
      </c>
      <c r="S411" s="19">
        <v>1</v>
      </c>
    </row>
    <row r="412" spans="1:19" x14ac:dyDescent="0.3">
      <c r="A412" t="s">
        <v>470</v>
      </c>
      <c r="B412" s="2">
        <v>45687</v>
      </c>
      <c r="C412" t="s">
        <v>82</v>
      </c>
      <c r="D412" t="s">
        <v>21</v>
      </c>
      <c r="E412" t="s">
        <v>42</v>
      </c>
      <c r="F412" t="s">
        <v>40</v>
      </c>
      <c r="G412" t="s">
        <v>31</v>
      </c>
      <c r="H412" t="s">
        <v>25</v>
      </c>
      <c r="I412">
        <v>1</v>
      </c>
      <c r="J412" s="5">
        <v>41556</v>
      </c>
      <c r="K412" s="5">
        <v>41556</v>
      </c>
      <c r="L412" s="5">
        <v>0</v>
      </c>
      <c r="M412" s="12">
        <v>0</v>
      </c>
      <c r="N412" s="5">
        <f t="shared" si="12"/>
        <v>41556</v>
      </c>
      <c r="O412" s="5">
        <v>23202.97</v>
      </c>
      <c r="P412" s="5">
        <f t="shared" si="13"/>
        <v>18353.03</v>
      </c>
      <c r="Q412" t="s">
        <v>26</v>
      </c>
      <c r="R412">
        <v>2025</v>
      </c>
      <c r="S412">
        <v>1</v>
      </c>
    </row>
    <row r="413" spans="1:19" x14ac:dyDescent="0.3">
      <c r="A413" s="19" t="s">
        <v>471</v>
      </c>
      <c r="B413" s="20">
        <v>45687</v>
      </c>
      <c r="C413" s="19" t="s">
        <v>82</v>
      </c>
      <c r="D413" s="19" t="s">
        <v>21</v>
      </c>
      <c r="E413" s="19" t="s">
        <v>56</v>
      </c>
      <c r="F413" s="19" t="s">
        <v>23</v>
      </c>
      <c r="G413" s="19" t="s">
        <v>24</v>
      </c>
      <c r="H413" s="19" t="s">
        <v>25</v>
      </c>
      <c r="I413" s="19">
        <v>4</v>
      </c>
      <c r="J413" s="21">
        <v>47535</v>
      </c>
      <c r="K413" s="21">
        <v>190140</v>
      </c>
      <c r="L413" s="21">
        <v>0</v>
      </c>
      <c r="M413" s="15">
        <v>0</v>
      </c>
      <c r="N413" s="21">
        <f t="shared" si="12"/>
        <v>190140</v>
      </c>
      <c r="O413" s="21">
        <v>93155.73</v>
      </c>
      <c r="P413" s="21">
        <f t="shared" si="13"/>
        <v>96984.27</v>
      </c>
      <c r="Q413" s="19" t="s">
        <v>26</v>
      </c>
      <c r="R413" s="19">
        <v>2025</v>
      </c>
      <c r="S413" s="19">
        <v>1</v>
      </c>
    </row>
    <row r="414" spans="1:19" x14ac:dyDescent="0.3">
      <c r="A414" t="s">
        <v>472</v>
      </c>
      <c r="B414" s="2">
        <v>45687</v>
      </c>
      <c r="C414" t="s">
        <v>20</v>
      </c>
      <c r="D414" t="s">
        <v>21</v>
      </c>
      <c r="E414" t="s">
        <v>42</v>
      </c>
      <c r="F414" t="s">
        <v>30</v>
      </c>
      <c r="G414" t="s">
        <v>31</v>
      </c>
      <c r="H414" t="s">
        <v>25</v>
      </c>
      <c r="I414">
        <v>5</v>
      </c>
      <c r="J414" s="5">
        <v>15740</v>
      </c>
      <c r="K414" s="5">
        <v>78700</v>
      </c>
      <c r="L414" s="5">
        <v>0</v>
      </c>
      <c r="M414" s="12">
        <v>0</v>
      </c>
      <c r="N414" s="5">
        <f t="shared" si="12"/>
        <v>78700</v>
      </c>
      <c r="O414" s="5">
        <v>37914.15</v>
      </c>
      <c r="P414" s="5">
        <f t="shared" si="13"/>
        <v>40785.85</v>
      </c>
      <c r="Q414" t="s">
        <v>26</v>
      </c>
      <c r="R414">
        <v>2025</v>
      </c>
      <c r="S414">
        <v>1</v>
      </c>
    </row>
    <row r="415" spans="1:19" x14ac:dyDescent="0.3">
      <c r="A415" s="19" t="s">
        <v>473</v>
      </c>
      <c r="B415" s="20">
        <v>45688</v>
      </c>
      <c r="C415" s="19" t="s">
        <v>46</v>
      </c>
      <c r="D415" s="19" t="s">
        <v>21</v>
      </c>
      <c r="E415" s="19" t="s">
        <v>42</v>
      </c>
      <c r="F415" s="19" t="s">
        <v>30</v>
      </c>
      <c r="G415" s="19" t="s">
        <v>24</v>
      </c>
      <c r="H415" s="19" t="s">
        <v>25</v>
      </c>
      <c r="I415" s="19">
        <v>5</v>
      </c>
      <c r="J415" s="21">
        <v>11465</v>
      </c>
      <c r="K415" s="21">
        <v>57325</v>
      </c>
      <c r="L415" s="21">
        <v>0</v>
      </c>
      <c r="M415" s="15">
        <v>0</v>
      </c>
      <c r="N415" s="21">
        <f t="shared" si="12"/>
        <v>57325</v>
      </c>
      <c r="O415" s="21">
        <v>30446.9</v>
      </c>
      <c r="P415" s="21">
        <f t="shared" si="13"/>
        <v>26878.1</v>
      </c>
      <c r="Q415" s="19" t="s">
        <v>26</v>
      </c>
      <c r="R415" s="19">
        <v>2025</v>
      </c>
      <c r="S415" s="19">
        <v>1</v>
      </c>
    </row>
    <row r="416" spans="1:19" x14ac:dyDescent="0.3">
      <c r="A416" t="s">
        <v>474</v>
      </c>
      <c r="B416" s="2">
        <v>45688</v>
      </c>
      <c r="C416" t="s">
        <v>64</v>
      </c>
      <c r="D416" t="s">
        <v>29</v>
      </c>
      <c r="E416" t="s">
        <v>22</v>
      </c>
      <c r="F416" t="s">
        <v>40</v>
      </c>
      <c r="G416" t="s">
        <v>31</v>
      </c>
      <c r="H416" t="s">
        <v>25</v>
      </c>
      <c r="I416">
        <v>3</v>
      </c>
      <c r="J416" s="5">
        <v>29053</v>
      </c>
      <c r="K416" s="5">
        <v>87159</v>
      </c>
      <c r="L416" s="5">
        <v>0</v>
      </c>
      <c r="M416" s="12">
        <v>0</v>
      </c>
      <c r="N416" s="5">
        <f t="shared" si="12"/>
        <v>87159</v>
      </c>
      <c r="O416" s="5">
        <v>51675.12</v>
      </c>
      <c r="P416" s="5">
        <f t="shared" si="13"/>
        <v>35483.879999999997</v>
      </c>
      <c r="Q416" t="s">
        <v>26</v>
      </c>
      <c r="R416">
        <v>2025</v>
      </c>
      <c r="S416">
        <v>1</v>
      </c>
    </row>
    <row r="417" spans="1:19" x14ac:dyDescent="0.3">
      <c r="A417" s="19" t="s">
        <v>475</v>
      </c>
      <c r="B417" s="20">
        <v>45689</v>
      </c>
      <c r="C417" s="19" t="s">
        <v>28</v>
      </c>
      <c r="D417" s="19" t="s">
        <v>29</v>
      </c>
      <c r="E417" s="19" t="s">
        <v>22</v>
      </c>
      <c r="F417" s="19" t="s">
        <v>37</v>
      </c>
      <c r="G417" s="19" t="s">
        <v>24</v>
      </c>
      <c r="H417" s="19" t="s">
        <v>25</v>
      </c>
      <c r="I417" s="19">
        <v>1</v>
      </c>
      <c r="J417" s="21">
        <v>61749</v>
      </c>
      <c r="K417" s="21">
        <v>61749</v>
      </c>
      <c r="L417" s="21">
        <v>0</v>
      </c>
      <c r="M417" s="15">
        <v>0</v>
      </c>
      <c r="N417" s="21">
        <f t="shared" si="12"/>
        <v>61749</v>
      </c>
      <c r="O417" s="21">
        <v>39754.79</v>
      </c>
      <c r="P417" s="21">
        <f t="shared" si="13"/>
        <v>21994.21</v>
      </c>
      <c r="Q417" s="19" t="s">
        <v>91</v>
      </c>
      <c r="R417" s="19">
        <v>2025</v>
      </c>
      <c r="S417" s="19">
        <v>2</v>
      </c>
    </row>
    <row r="418" spans="1:19" x14ac:dyDescent="0.3">
      <c r="A418" t="s">
        <v>476</v>
      </c>
      <c r="B418" s="2">
        <v>45689</v>
      </c>
      <c r="C418" t="s">
        <v>75</v>
      </c>
      <c r="D418" t="s">
        <v>34</v>
      </c>
      <c r="E418" t="s">
        <v>22</v>
      </c>
      <c r="F418" t="s">
        <v>35</v>
      </c>
      <c r="G418" t="s">
        <v>24</v>
      </c>
      <c r="H418" t="s">
        <v>25</v>
      </c>
      <c r="I418">
        <v>2</v>
      </c>
      <c r="J418" s="5">
        <v>37496</v>
      </c>
      <c r="K418" s="5">
        <v>74992</v>
      </c>
      <c r="L418" s="5">
        <v>3749.6</v>
      </c>
      <c r="M418" s="12">
        <v>0.05</v>
      </c>
      <c r="N418" s="5">
        <f t="shared" si="12"/>
        <v>71242.399999999994</v>
      </c>
      <c r="O418" s="5">
        <v>39055.75</v>
      </c>
      <c r="P418" s="5">
        <f t="shared" si="13"/>
        <v>32186.649999999994</v>
      </c>
      <c r="Q418" t="s">
        <v>91</v>
      </c>
      <c r="R418">
        <v>2025</v>
      </c>
      <c r="S418">
        <v>2</v>
      </c>
    </row>
    <row r="419" spans="1:19" x14ac:dyDescent="0.3">
      <c r="A419" s="19" t="s">
        <v>477</v>
      </c>
      <c r="B419" s="20">
        <v>45689</v>
      </c>
      <c r="C419" s="19" t="s">
        <v>20</v>
      </c>
      <c r="D419" s="19" t="s">
        <v>21</v>
      </c>
      <c r="E419" s="19" t="s">
        <v>42</v>
      </c>
      <c r="F419" s="19" t="s">
        <v>40</v>
      </c>
      <c r="G419" s="19" t="s">
        <v>24</v>
      </c>
      <c r="H419" s="19" t="s">
        <v>94</v>
      </c>
      <c r="I419" s="19">
        <v>2</v>
      </c>
      <c r="J419" s="21">
        <v>14684</v>
      </c>
      <c r="K419" s="21">
        <v>29368</v>
      </c>
      <c r="L419" s="21">
        <v>2936.8</v>
      </c>
      <c r="M419" s="15">
        <v>0.1</v>
      </c>
      <c r="N419" s="21">
        <f t="shared" si="12"/>
        <v>26431.200000000001</v>
      </c>
      <c r="O419" s="21">
        <v>18011.18</v>
      </c>
      <c r="P419" s="21">
        <f t="shared" si="13"/>
        <v>8420.02</v>
      </c>
      <c r="Q419" s="19" t="s">
        <v>91</v>
      </c>
      <c r="R419" s="19">
        <v>2025</v>
      </c>
      <c r="S419" s="19">
        <v>2</v>
      </c>
    </row>
    <row r="420" spans="1:19" x14ac:dyDescent="0.3">
      <c r="A420" t="s">
        <v>478</v>
      </c>
      <c r="B420" s="2">
        <v>45690</v>
      </c>
      <c r="C420" t="s">
        <v>20</v>
      </c>
      <c r="D420" t="s">
        <v>21</v>
      </c>
      <c r="E420" t="s">
        <v>22</v>
      </c>
      <c r="F420" t="s">
        <v>23</v>
      </c>
      <c r="G420" t="s">
        <v>24</v>
      </c>
      <c r="H420" t="s">
        <v>25</v>
      </c>
      <c r="I420">
        <v>2</v>
      </c>
      <c r="J420" s="5">
        <v>15651</v>
      </c>
      <c r="K420" s="5">
        <v>31302</v>
      </c>
      <c r="L420" s="5">
        <v>0</v>
      </c>
      <c r="M420" s="12">
        <v>0</v>
      </c>
      <c r="N420" s="5">
        <f t="shared" si="12"/>
        <v>31302</v>
      </c>
      <c r="O420" s="5">
        <v>19434.7</v>
      </c>
      <c r="P420" s="5">
        <f t="shared" si="13"/>
        <v>11867.3</v>
      </c>
      <c r="Q420" t="s">
        <v>91</v>
      </c>
      <c r="R420">
        <v>2025</v>
      </c>
      <c r="S420">
        <v>2</v>
      </c>
    </row>
    <row r="421" spans="1:19" x14ac:dyDescent="0.3">
      <c r="A421" s="19" t="s">
        <v>479</v>
      </c>
      <c r="B421" s="20">
        <v>45691</v>
      </c>
      <c r="C421" s="19" t="s">
        <v>48</v>
      </c>
      <c r="D421" s="19" t="s">
        <v>34</v>
      </c>
      <c r="E421" s="19" t="s">
        <v>22</v>
      </c>
      <c r="F421" s="19" t="s">
        <v>40</v>
      </c>
      <c r="G421" s="19" t="s">
        <v>24</v>
      </c>
      <c r="H421" s="19" t="s">
        <v>94</v>
      </c>
      <c r="I421" s="19">
        <v>1</v>
      </c>
      <c r="J421" s="21">
        <v>25271</v>
      </c>
      <c r="K421" s="21">
        <v>25271</v>
      </c>
      <c r="L421" s="21">
        <v>1263.55</v>
      </c>
      <c r="M421" s="15">
        <v>0.05</v>
      </c>
      <c r="N421" s="21">
        <f t="shared" si="12"/>
        <v>24007.45</v>
      </c>
      <c r="O421" s="21">
        <v>16872.52</v>
      </c>
      <c r="P421" s="21">
        <f t="shared" si="13"/>
        <v>7134.93</v>
      </c>
      <c r="Q421" s="19" t="s">
        <v>91</v>
      </c>
      <c r="R421" s="19">
        <v>2025</v>
      </c>
      <c r="S421" s="19">
        <v>2</v>
      </c>
    </row>
    <row r="422" spans="1:19" x14ac:dyDescent="0.3">
      <c r="A422" t="s">
        <v>480</v>
      </c>
      <c r="B422" s="2">
        <v>45692</v>
      </c>
      <c r="C422" t="s">
        <v>46</v>
      </c>
      <c r="D422" t="s">
        <v>21</v>
      </c>
      <c r="E422" t="s">
        <v>22</v>
      </c>
      <c r="F422" t="s">
        <v>40</v>
      </c>
      <c r="G422" t="s">
        <v>31</v>
      </c>
      <c r="H422" t="s">
        <v>94</v>
      </c>
      <c r="I422">
        <v>1</v>
      </c>
      <c r="J422" s="5">
        <v>12397</v>
      </c>
      <c r="K422" s="5">
        <v>12397</v>
      </c>
      <c r="L422" s="5">
        <v>1239.7</v>
      </c>
      <c r="M422" s="12">
        <v>0.1</v>
      </c>
      <c r="N422" s="5">
        <f t="shared" si="12"/>
        <v>11157.3</v>
      </c>
      <c r="O422" s="5">
        <v>8031.62</v>
      </c>
      <c r="P422" s="5">
        <f t="shared" si="13"/>
        <v>3125.6799999999994</v>
      </c>
      <c r="Q422" t="s">
        <v>91</v>
      </c>
      <c r="R422">
        <v>2025</v>
      </c>
      <c r="S422">
        <v>2</v>
      </c>
    </row>
    <row r="423" spans="1:19" x14ac:dyDescent="0.3">
      <c r="A423" s="19" t="s">
        <v>481</v>
      </c>
      <c r="B423" s="20">
        <v>45692</v>
      </c>
      <c r="C423" s="19" t="s">
        <v>48</v>
      </c>
      <c r="D423" s="19" t="s">
        <v>34</v>
      </c>
      <c r="E423" s="19" t="s">
        <v>42</v>
      </c>
      <c r="F423" s="19" t="s">
        <v>40</v>
      </c>
      <c r="G423" s="19" t="s">
        <v>31</v>
      </c>
      <c r="H423" s="19" t="s">
        <v>94</v>
      </c>
      <c r="I423" s="19">
        <v>2</v>
      </c>
      <c r="J423" s="21">
        <v>24731</v>
      </c>
      <c r="K423" s="21">
        <v>49462</v>
      </c>
      <c r="L423" s="21">
        <v>4946.2</v>
      </c>
      <c r="M423" s="15">
        <v>0.1</v>
      </c>
      <c r="N423" s="21">
        <f t="shared" si="12"/>
        <v>44515.8</v>
      </c>
      <c r="O423" s="21">
        <v>29167.58</v>
      </c>
      <c r="P423" s="21">
        <f t="shared" si="13"/>
        <v>15348.220000000001</v>
      </c>
      <c r="Q423" s="19" t="s">
        <v>91</v>
      </c>
      <c r="R423" s="19">
        <v>2025</v>
      </c>
      <c r="S423" s="19">
        <v>2</v>
      </c>
    </row>
    <row r="424" spans="1:19" x14ac:dyDescent="0.3">
      <c r="A424" t="s">
        <v>482</v>
      </c>
      <c r="B424" s="2">
        <v>45692</v>
      </c>
      <c r="C424" t="s">
        <v>20</v>
      </c>
      <c r="D424" t="s">
        <v>21</v>
      </c>
      <c r="E424" t="s">
        <v>42</v>
      </c>
      <c r="F424" t="s">
        <v>40</v>
      </c>
      <c r="G424" t="s">
        <v>31</v>
      </c>
      <c r="H424" t="s">
        <v>25</v>
      </c>
      <c r="I424">
        <v>4</v>
      </c>
      <c r="J424" s="5">
        <v>14007</v>
      </c>
      <c r="K424" s="5">
        <v>56028</v>
      </c>
      <c r="L424" s="5">
        <v>0</v>
      </c>
      <c r="M424" s="12">
        <v>0</v>
      </c>
      <c r="N424" s="5">
        <f t="shared" si="12"/>
        <v>56028</v>
      </c>
      <c r="O424" s="5">
        <v>31491.14</v>
      </c>
      <c r="P424" s="5">
        <f t="shared" si="13"/>
        <v>24536.86</v>
      </c>
      <c r="Q424" t="s">
        <v>91</v>
      </c>
      <c r="R424">
        <v>2025</v>
      </c>
      <c r="S424">
        <v>2</v>
      </c>
    </row>
    <row r="425" spans="1:19" x14ac:dyDescent="0.3">
      <c r="A425" s="19" t="s">
        <v>483</v>
      </c>
      <c r="B425" s="20">
        <v>45692</v>
      </c>
      <c r="C425" s="19" t="s">
        <v>48</v>
      </c>
      <c r="D425" s="19" t="s">
        <v>34</v>
      </c>
      <c r="E425" s="19" t="s">
        <v>44</v>
      </c>
      <c r="F425" s="19" t="s">
        <v>40</v>
      </c>
      <c r="G425" s="19" t="s">
        <v>31</v>
      </c>
      <c r="H425" s="19" t="s">
        <v>94</v>
      </c>
      <c r="I425" s="19">
        <v>1</v>
      </c>
      <c r="J425" s="21">
        <v>23224</v>
      </c>
      <c r="K425" s="21">
        <v>23224</v>
      </c>
      <c r="L425" s="21">
        <v>2322.4</v>
      </c>
      <c r="M425" s="15">
        <v>0.1</v>
      </c>
      <c r="N425" s="21">
        <f t="shared" si="12"/>
        <v>20901.599999999999</v>
      </c>
      <c r="O425" s="21">
        <v>15453.76</v>
      </c>
      <c r="P425" s="21">
        <f t="shared" si="13"/>
        <v>5447.8399999999983</v>
      </c>
      <c r="Q425" s="19" t="s">
        <v>91</v>
      </c>
      <c r="R425" s="19">
        <v>2025</v>
      </c>
      <c r="S425" s="19">
        <v>2</v>
      </c>
    </row>
    <row r="426" spans="1:19" x14ac:dyDescent="0.3">
      <c r="A426" t="s">
        <v>484</v>
      </c>
      <c r="B426" s="2">
        <v>45693</v>
      </c>
      <c r="C426" t="s">
        <v>20</v>
      </c>
      <c r="D426" t="s">
        <v>21</v>
      </c>
      <c r="E426" t="s">
        <v>22</v>
      </c>
      <c r="F426" t="s">
        <v>30</v>
      </c>
      <c r="G426" t="s">
        <v>31</v>
      </c>
      <c r="H426" t="s">
        <v>94</v>
      </c>
      <c r="I426">
        <v>1</v>
      </c>
      <c r="J426" s="5">
        <v>16024</v>
      </c>
      <c r="K426" s="5">
        <v>16024</v>
      </c>
      <c r="L426" s="5">
        <v>3204.8</v>
      </c>
      <c r="M426" s="12">
        <v>0.2</v>
      </c>
      <c r="N426" s="5">
        <f t="shared" si="12"/>
        <v>12819.2</v>
      </c>
      <c r="O426" s="5">
        <v>10390.07</v>
      </c>
      <c r="P426" s="5">
        <f t="shared" si="13"/>
        <v>2429.130000000001</v>
      </c>
      <c r="Q426" t="s">
        <v>91</v>
      </c>
      <c r="R426">
        <v>2025</v>
      </c>
      <c r="S426">
        <v>2</v>
      </c>
    </row>
    <row r="427" spans="1:19" x14ac:dyDescent="0.3">
      <c r="A427" s="19" t="s">
        <v>485</v>
      </c>
      <c r="B427" s="20">
        <v>45693</v>
      </c>
      <c r="C427" s="19" t="s">
        <v>46</v>
      </c>
      <c r="D427" s="19" t="s">
        <v>21</v>
      </c>
      <c r="E427" s="19" t="s">
        <v>56</v>
      </c>
      <c r="F427" s="19" t="s">
        <v>40</v>
      </c>
      <c r="G427" s="19" t="s">
        <v>31</v>
      </c>
      <c r="H427" s="19" t="s">
        <v>94</v>
      </c>
      <c r="I427" s="19">
        <v>3</v>
      </c>
      <c r="J427" s="21">
        <v>12833</v>
      </c>
      <c r="K427" s="21">
        <v>38499</v>
      </c>
      <c r="L427" s="21">
        <v>1924.95</v>
      </c>
      <c r="M427" s="15">
        <v>0.05</v>
      </c>
      <c r="N427" s="21">
        <f t="shared" si="12"/>
        <v>36574.050000000003</v>
      </c>
      <c r="O427" s="21">
        <v>24633.49</v>
      </c>
      <c r="P427" s="21">
        <f t="shared" si="13"/>
        <v>11940.560000000001</v>
      </c>
      <c r="Q427" s="19" t="s">
        <v>91</v>
      </c>
      <c r="R427" s="19">
        <v>2025</v>
      </c>
      <c r="S427" s="19">
        <v>2</v>
      </c>
    </row>
    <row r="428" spans="1:19" x14ac:dyDescent="0.3">
      <c r="A428" t="s">
        <v>486</v>
      </c>
      <c r="B428" s="2">
        <v>45693</v>
      </c>
      <c r="C428" t="s">
        <v>33</v>
      </c>
      <c r="D428" t="s">
        <v>34</v>
      </c>
      <c r="E428" t="s">
        <v>22</v>
      </c>
      <c r="F428" t="s">
        <v>37</v>
      </c>
      <c r="G428" t="s">
        <v>24</v>
      </c>
      <c r="H428" t="s">
        <v>94</v>
      </c>
      <c r="I428">
        <v>3</v>
      </c>
      <c r="J428" s="5">
        <v>44193</v>
      </c>
      <c r="K428" s="5">
        <v>132579</v>
      </c>
      <c r="L428" s="5">
        <v>13257.9</v>
      </c>
      <c r="M428" s="12">
        <v>0.1</v>
      </c>
      <c r="N428" s="5">
        <f t="shared" si="12"/>
        <v>119321.1</v>
      </c>
      <c r="O428" s="5">
        <v>70997.289999999994</v>
      </c>
      <c r="P428" s="5">
        <f t="shared" si="13"/>
        <v>48323.810000000012</v>
      </c>
      <c r="Q428" t="s">
        <v>91</v>
      </c>
      <c r="R428">
        <v>2025</v>
      </c>
      <c r="S428">
        <v>2</v>
      </c>
    </row>
    <row r="429" spans="1:19" x14ac:dyDescent="0.3">
      <c r="A429" s="19" t="s">
        <v>487</v>
      </c>
      <c r="B429" s="20">
        <v>45694</v>
      </c>
      <c r="C429" s="19" t="s">
        <v>64</v>
      </c>
      <c r="D429" s="19" t="s">
        <v>29</v>
      </c>
      <c r="E429" s="19" t="s">
        <v>56</v>
      </c>
      <c r="F429" s="19" t="s">
        <v>40</v>
      </c>
      <c r="G429" s="19" t="s">
        <v>31</v>
      </c>
      <c r="H429" s="19" t="s">
        <v>94</v>
      </c>
      <c r="I429" s="19">
        <v>2</v>
      </c>
      <c r="J429" s="21">
        <v>30375</v>
      </c>
      <c r="K429" s="21">
        <v>60750</v>
      </c>
      <c r="L429" s="21">
        <v>9112.5</v>
      </c>
      <c r="M429" s="15">
        <v>0.15</v>
      </c>
      <c r="N429" s="21">
        <f t="shared" si="12"/>
        <v>51637.5</v>
      </c>
      <c r="O429" s="21">
        <v>39015.15</v>
      </c>
      <c r="P429" s="21">
        <f t="shared" si="13"/>
        <v>12622.349999999999</v>
      </c>
      <c r="Q429" s="19" t="s">
        <v>91</v>
      </c>
      <c r="R429" s="19">
        <v>2025</v>
      </c>
      <c r="S429" s="19">
        <v>2</v>
      </c>
    </row>
    <row r="430" spans="1:19" x14ac:dyDescent="0.3">
      <c r="A430" t="s">
        <v>488</v>
      </c>
      <c r="B430" s="2">
        <v>45695</v>
      </c>
      <c r="C430" t="s">
        <v>71</v>
      </c>
      <c r="D430" t="s">
        <v>34</v>
      </c>
      <c r="E430" t="s">
        <v>22</v>
      </c>
      <c r="F430" t="s">
        <v>23</v>
      </c>
      <c r="G430" t="s">
        <v>31</v>
      </c>
      <c r="H430" t="s">
        <v>94</v>
      </c>
      <c r="I430">
        <v>2</v>
      </c>
      <c r="J430" s="5">
        <v>50274</v>
      </c>
      <c r="K430" s="5">
        <v>100548</v>
      </c>
      <c r="L430" s="5">
        <v>15082.2</v>
      </c>
      <c r="M430" s="12">
        <v>0.15</v>
      </c>
      <c r="N430" s="5">
        <f t="shared" si="12"/>
        <v>85465.8</v>
      </c>
      <c r="O430" s="5">
        <v>56902.04</v>
      </c>
      <c r="P430" s="5">
        <f t="shared" si="13"/>
        <v>28563.760000000002</v>
      </c>
      <c r="Q430" t="s">
        <v>91</v>
      </c>
      <c r="R430">
        <v>2025</v>
      </c>
      <c r="S430">
        <v>2</v>
      </c>
    </row>
    <row r="431" spans="1:19" x14ac:dyDescent="0.3">
      <c r="A431" s="19" t="s">
        <v>489</v>
      </c>
      <c r="B431" s="20">
        <v>45696</v>
      </c>
      <c r="C431" s="19" t="s">
        <v>82</v>
      </c>
      <c r="D431" s="19" t="s">
        <v>21</v>
      </c>
      <c r="E431" s="19" t="s">
        <v>56</v>
      </c>
      <c r="F431" s="19" t="s">
        <v>40</v>
      </c>
      <c r="G431" s="19" t="s">
        <v>31</v>
      </c>
      <c r="H431" s="19" t="s">
        <v>94</v>
      </c>
      <c r="I431" s="19">
        <v>1</v>
      </c>
      <c r="J431" s="21">
        <v>46246</v>
      </c>
      <c r="K431" s="21">
        <v>46246</v>
      </c>
      <c r="L431" s="21">
        <v>9249.2000000000007</v>
      </c>
      <c r="M431" s="15">
        <v>0.2</v>
      </c>
      <c r="N431" s="21">
        <f t="shared" si="12"/>
        <v>36996.800000000003</v>
      </c>
      <c r="O431" s="21">
        <v>30363.49</v>
      </c>
      <c r="P431" s="21">
        <f t="shared" si="13"/>
        <v>6633.3100000000013</v>
      </c>
      <c r="Q431" s="19" t="s">
        <v>91</v>
      </c>
      <c r="R431" s="19">
        <v>2025</v>
      </c>
      <c r="S431" s="19">
        <v>2</v>
      </c>
    </row>
    <row r="432" spans="1:19" x14ac:dyDescent="0.3">
      <c r="A432" t="s">
        <v>490</v>
      </c>
      <c r="B432" s="2">
        <v>45697</v>
      </c>
      <c r="C432" t="s">
        <v>33</v>
      </c>
      <c r="D432" t="s">
        <v>34</v>
      </c>
      <c r="E432" t="s">
        <v>56</v>
      </c>
      <c r="F432" t="s">
        <v>35</v>
      </c>
      <c r="G432" t="s">
        <v>31</v>
      </c>
      <c r="H432" t="s">
        <v>94</v>
      </c>
      <c r="I432">
        <v>1</v>
      </c>
      <c r="J432" s="5">
        <v>40739</v>
      </c>
      <c r="K432" s="5">
        <v>40739</v>
      </c>
      <c r="L432" s="5">
        <v>2036.95</v>
      </c>
      <c r="M432" s="12">
        <v>0.05</v>
      </c>
      <c r="N432" s="5">
        <f t="shared" si="12"/>
        <v>38702.050000000003</v>
      </c>
      <c r="O432" s="5">
        <v>24351.81</v>
      </c>
      <c r="P432" s="5">
        <f t="shared" si="13"/>
        <v>14350.240000000002</v>
      </c>
      <c r="Q432" t="s">
        <v>91</v>
      </c>
      <c r="R432">
        <v>2025</v>
      </c>
      <c r="S432">
        <v>2</v>
      </c>
    </row>
    <row r="433" spans="1:19" x14ac:dyDescent="0.3">
      <c r="A433" s="19" t="s">
        <v>491</v>
      </c>
      <c r="B433" s="20">
        <v>45698</v>
      </c>
      <c r="C433" s="19" t="s">
        <v>20</v>
      </c>
      <c r="D433" s="19" t="s">
        <v>21</v>
      </c>
      <c r="E433" s="19" t="s">
        <v>56</v>
      </c>
      <c r="F433" s="19" t="s">
        <v>40</v>
      </c>
      <c r="G433" s="19" t="s">
        <v>24</v>
      </c>
      <c r="H433" s="19" t="s">
        <v>25</v>
      </c>
      <c r="I433" s="19">
        <v>1</v>
      </c>
      <c r="J433" s="21">
        <v>14340</v>
      </c>
      <c r="K433" s="21">
        <v>14340</v>
      </c>
      <c r="L433" s="21">
        <v>717</v>
      </c>
      <c r="M433" s="15">
        <v>0.05</v>
      </c>
      <c r="N433" s="21">
        <f t="shared" si="12"/>
        <v>13623</v>
      </c>
      <c r="O433" s="21">
        <v>9322.77</v>
      </c>
      <c r="P433" s="21">
        <f t="shared" si="13"/>
        <v>4300.2299999999996</v>
      </c>
      <c r="Q433" s="19" t="s">
        <v>91</v>
      </c>
      <c r="R433" s="19">
        <v>2025</v>
      </c>
      <c r="S433" s="19">
        <v>2</v>
      </c>
    </row>
    <row r="434" spans="1:19" x14ac:dyDescent="0.3">
      <c r="A434" t="s">
        <v>492</v>
      </c>
      <c r="B434" s="2">
        <v>45699</v>
      </c>
      <c r="C434" t="s">
        <v>75</v>
      </c>
      <c r="D434" t="s">
        <v>34</v>
      </c>
      <c r="E434" t="s">
        <v>56</v>
      </c>
      <c r="F434" t="s">
        <v>30</v>
      </c>
      <c r="G434" t="s">
        <v>31</v>
      </c>
      <c r="H434" t="s">
        <v>94</v>
      </c>
      <c r="I434">
        <v>2</v>
      </c>
      <c r="J434" s="5">
        <v>37069</v>
      </c>
      <c r="K434" s="5">
        <v>74138</v>
      </c>
      <c r="L434" s="5">
        <v>7413.8</v>
      </c>
      <c r="M434" s="12">
        <v>0.1</v>
      </c>
      <c r="N434" s="5">
        <f t="shared" si="12"/>
        <v>66724.2</v>
      </c>
      <c r="O434" s="5">
        <v>47366.48</v>
      </c>
      <c r="P434" s="5">
        <f t="shared" si="13"/>
        <v>19357.719999999994</v>
      </c>
      <c r="Q434" t="s">
        <v>91</v>
      </c>
      <c r="R434">
        <v>2025</v>
      </c>
      <c r="S434">
        <v>2</v>
      </c>
    </row>
    <row r="435" spans="1:19" x14ac:dyDescent="0.3">
      <c r="A435" s="19" t="s">
        <v>493</v>
      </c>
      <c r="B435" s="20">
        <v>45704</v>
      </c>
      <c r="C435" s="19" t="s">
        <v>64</v>
      </c>
      <c r="D435" s="19" t="s">
        <v>29</v>
      </c>
      <c r="E435" s="19" t="s">
        <v>22</v>
      </c>
      <c r="F435" s="19" t="s">
        <v>37</v>
      </c>
      <c r="G435" s="19" t="s">
        <v>24</v>
      </c>
      <c r="H435" s="19" t="s">
        <v>94</v>
      </c>
      <c r="I435" s="19">
        <v>2</v>
      </c>
      <c r="J435" s="21">
        <v>28658</v>
      </c>
      <c r="K435" s="21">
        <v>57316</v>
      </c>
      <c r="L435" s="21">
        <v>8597.4</v>
      </c>
      <c r="M435" s="15">
        <v>0.15</v>
      </c>
      <c r="N435" s="21">
        <f t="shared" si="12"/>
        <v>48718.6</v>
      </c>
      <c r="O435" s="21">
        <v>38411.1</v>
      </c>
      <c r="P435" s="21">
        <f t="shared" si="13"/>
        <v>10307.5</v>
      </c>
      <c r="Q435" s="19" t="s">
        <v>91</v>
      </c>
      <c r="R435" s="19">
        <v>2025</v>
      </c>
      <c r="S435" s="19">
        <v>2</v>
      </c>
    </row>
    <row r="436" spans="1:19" x14ac:dyDescent="0.3">
      <c r="A436" t="s">
        <v>494</v>
      </c>
      <c r="B436" s="2">
        <v>45705</v>
      </c>
      <c r="C436" t="s">
        <v>28</v>
      </c>
      <c r="D436" t="s">
        <v>29</v>
      </c>
      <c r="E436" t="s">
        <v>44</v>
      </c>
      <c r="F436" t="s">
        <v>37</v>
      </c>
      <c r="G436" t="s">
        <v>31</v>
      </c>
      <c r="H436" t="s">
        <v>25</v>
      </c>
      <c r="I436">
        <v>4</v>
      </c>
      <c r="J436" s="5">
        <v>60253</v>
      </c>
      <c r="K436" s="5">
        <v>241012</v>
      </c>
      <c r="L436" s="5">
        <v>0</v>
      </c>
      <c r="M436" s="12">
        <v>0</v>
      </c>
      <c r="N436" s="5">
        <f t="shared" si="12"/>
        <v>241012</v>
      </c>
      <c r="O436" s="5">
        <v>149225.1</v>
      </c>
      <c r="P436" s="5">
        <f t="shared" si="13"/>
        <v>91786.9</v>
      </c>
      <c r="Q436" t="s">
        <v>91</v>
      </c>
      <c r="R436">
        <v>2025</v>
      </c>
      <c r="S436">
        <v>2</v>
      </c>
    </row>
    <row r="437" spans="1:19" x14ac:dyDescent="0.3">
      <c r="A437" s="19" t="s">
        <v>495</v>
      </c>
      <c r="B437" s="20">
        <v>45709</v>
      </c>
      <c r="C437" s="19" t="s">
        <v>64</v>
      </c>
      <c r="D437" s="19" t="s">
        <v>29</v>
      </c>
      <c r="E437" s="19" t="s">
        <v>56</v>
      </c>
      <c r="F437" s="19" t="s">
        <v>23</v>
      </c>
      <c r="G437" s="19" t="s">
        <v>31</v>
      </c>
      <c r="H437" s="19" t="s">
        <v>94</v>
      </c>
      <c r="I437" s="19">
        <v>2</v>
      </c>
      <c r="J437" s="21">
        <v>28465</v>
      </c>
      <c r="K437" s="21">
        <v>56930</v>
      </c>
      <c r="L437" s="21">
        <v>5693</v>
      </c>
      <c r="M437" s="15">
        <v>0.1</v>
      </c>
      <c r="N437" s="21">
        <f t="shared" si="12"/>
        <v>51237</v>
      </c>
      <c r="O437" s="21">
        <v>27451.97</v>
      </c>
      <c r="P437" s="21">
        <f t="shared" si="13"/>
        <v>23785.03</v>
      </c>
      <c r="Q437" s="19" t="s">
        <v>91</v>
      </c>
      <c r="R437" s="19">
        <v>2025</v>
      </c>
      <c r="S437" s="19">
        <v>2</v>
      </c>
    </row>
    <row r="438" spans="1:19" x14ac:dyDescent="0.3">
      <c r="A438" t="s">
        <v>496</v>
      </c>
      <c r="B438" s="2">
        <v>45709</v>
      </c>
      <c r="C438" t="s">
        <v>48</v>
      </c>
      <c r="D438" t="s">
        <v>34</v>
      </c>
      <c r="E438" t="s">
        <v>56</v>
      </c>
      <c r="F438" t="s">
        <v>40</v>
      </c>
      <c r="G438" t="s">
        <v>31</v>
      </c>
      <c r="H438" t="s">
        <v>94</v>
      </c>
      <c r="I438">
        <v>3</v>
      </c>
      <c r="J438" s="5">
        <v>25539</v>
      </c>
      <c r="K438" s="5">
        <v>76617</v>
      </c>
      <c r="L438" s="5">
        <v>3830.85</v>
      </c>
      <c r="M438" s="12">
        <v>0.05</v>
      </c>
      <c r="N438" s="5">
        <f t="shared" si="12"/>
        <v>72786.149999999994</v>
      </c>
      <c r="O438" s="5">
        <v>37857.01</v>
      </c>
      <c r="P438" s="5">
        <f t="shared" si="13"/>
        <v>34929.139999999992</v>
      </c>
      <c r="Q438" t="s">
        <v>91</v>
      </c>
      <c r="R438">
        <v>2025</v>
      </c>
      <c r="S438">
        <v>2</v>
      </c>
    </row>
    <row r="439" spans="1:19" x14ac:dyDescent="0.3">
      <c r="A439" s="19" t="s">
        <v>497</v>
      </c>
      <c r="B439" s="20">
        <v>45710</v>
      </c>
      <c r="C439" s="19" t="s">
        <v>33</v>
      </c>
      <c r="D439" s="19" t="s">
        <v>34</v>
      </c>
      <c r="E439" s="19" t="s">
        <v>56</v>
      </c>
      <c r="F439" s="19" t="s">
        <v>37</v>
      </c>
      <c r="G439" s="19" t="s">
        <v>24</v>
      </c>
      <c r="H439" s="19" t="s">
        <v>94</v>
      </c>
      <c r="I439" s="19">
        <v>3</v>
      </c>
      <c r="J439" s="21">
        <v>42697</v>
      </c>
      <c r="K439" s="21">
        <v>128091</v>
      </c>
      <c r="L439" s="21">
        <v>12809.1</v>
      </c>
      <c r="M439" s="15">
        <v>0.1</v>
      </c>
      <c r="N439" s="21">
        <f t="shared" si="12"/>
        <v>115281.9</v>
      </c>
      <c r="O439" s="21">
        <v>82569.91</v>
      </c>
      <c r="P439" s="21">
        <f t="shared" si="13"/>
        <v>32711.989999999991</v>
      </c>
      <c r="Q439" s="19" t="s">
        <v>91</v>
      </c>
      <c r="R439" s="19">
        <v>2025</v>
      </c>
      <c r="S439" s="19">
        <v>2</v>
      </c>
    </row>
    <row r="440" spans="1:19" x14ac:dyDescent="0.3">
      <c r="A440" t="s">
        <v>498</v>
      </c>
      <c r="B440" s="2">
        <v>45710</v>
      </c>
      <c r="C440" t="s">
        <v>75</v>
      </c>
      <c r="D440" t="s">
        <v>34</v>
      </c>
      <c r="E440" t="s">
        <v>42</v>
      </c>
      <c r="F440" t="s">
        <v>23</v>
      </c>
      <c r="G440" t="s">
        <v>31</v>
      </c>
      <c r="H440" t="s">
        <v>25</v>
      </c>
      <c r="I440">
        <v>1</v>
      </c>
      <c r="J440" s="5">
        <v>37197</v>
      </c>
      <c r="K440" s="5">
        <v>37197</v>
      </c>
      <c r="L440" s="5">
        <v>0</v>
      </c>
      <c r="M440" s="12">
        <v>0</v>
      </c>
      <c r="N440" s="5">
        <f t="shared" si="12"/>
        <v>37197</v>
      </c>
      <c r="O440" s="5">
        <v>18962.2</v>
      </c>
      <c r="P440" s="5">
        <f t="shared" si="13"/>
        <v>18234.8</v>
      </c>
      <c r="Q440" t="s">
        <v>91</v>
      </c>
      <c r="R440">
        <v>2025</v>
      </c>
      <c r="S440">
        <v>2</v>
      </c>
    </row>
    <row r="441" spans="1:19" x14ac:dyDescent="0.3">
      <c r="A441" s="19" t="s">
        <v>499</v>
      </c>
      <c r="B441" s="20">
        <v>45711</v>
      </c>
      <c r="C441" s="19" t="s">
        <v>33</v>
      </c>
      <c r="D441" s="19" t="s">
        <v>34</v>
      </c>
      <c r="E441" s="19" t="s">
        <v>42</v>
      </c>
      <c r="F441" s="19" t="s">
        <v>40</v>
      </c>
      <c r="G441" s="19" t="s">
        <v>31</v>
      </c>
      <c r="H441" s="19" t="s">
        <v>25</v>
      </c>
      <c r="I441" s="19">
        <v>3</v>
      </c>
      <c r="J441" s="21">
        <v>39265</v>
      </c>
      <c r="K441" s="21">
        <v>117795</v>
      </c>
      <c r="L441" s="21">
        <v>0</v>
      </c>
      <c r="M441" s="15">
        <v>0</v>
      </c>
      <c r="N441" s="21">
        <f t="shared" si="12"/>
        <v>117795</v>
      </c>
      <c r="O441" s="21">
        <v>69077.77</v>
      </c>
      <c r="P441" s="21">
        <f t="shared" si="13"/>
        <v>48717.229999999996</v>
      </c>
      <c r="Q441" s="19" t="s">
        <v>91</v>
      </c>
      <c r="R441" s="19">
        <v>2025</v>
      </c>
      <c r="S441" s="19">
        <v>2</v>
      </c>
    </row>
    <row r="442" spans="1:19" x14ac:dyDescent="0.3">
      <c r="A442" t="s">
        <v>500</v>
      </c>
      <c r="B442" s="2">
        <v>45711</v>
      </c>
      <c r="C442" t="s">
        <v>82</v>
      </c>
      <c r="D442" t="s">
        <v>21</v>
      </c>
      <c r="E442" t="s">
        <v>22</v>
      </c>
      <c r="F442" t="s">
        <v>37</v>
      </c>
      <c r="G442" t="s">
        <v>31</v>
      </c>
      <c r="H442" t="s">
        <v>25</v>
      </c>
      <c r="I442">
        <v>3</v>
      </c>
      <c r="J442" s="5">
        <v>43108</v>
      </c>
      <c r="K442" s="5">
        <v>129324</v>
      </c>
      <c r="L442" s="5">
        <v>0</v>
      </c>
      <c r="M442" s="12">
        <v>0</v>
      </c>
      <c r="N442" s="5">
        <f t="shared" si="12"/>
        <v>129324</v>
      </c>
      <c r="O442" s="5">
        <v>75122.27</v>
      </c>
      <c r="P442" s="5">
        <f t="shared" si="13"/>
        <v>54201.729999999996</v>
      </c>
      <c r="Q442" t="s">
        <v>91</v>
      </c>
      <c r="R442">
        <v>2025</v>
      </c>
      <c r="S442">
        <v>2</v>
      </c>
    </row>
    <row r="443" spans="1:19" x14ac:dyDescent="0.3">
      <c r="A443" s="19" t="s">
        <v>501</v>
      </c>
      <c r="B443" s="20">
        <v>45713</v>
      </c>
      <c r="C443" s="19" t="s">
        <v>28</v>
      </c>
      <c r="D443" s="19" t="s">
        <v>29</v>
      </c>
      <c r="E443" s="19" t="s">
        <v>42</v>
      </c>
      <c r="F443" s="19" t="s">
        <v>37</v>
      </c>
      <c r="G443" s="19" t="s">
        <v>24</v>
      </c>
      <c r="H443" s="19" t="s">
        <v>25</v>
      </c>
      <c r="I443" s="19">
        <v>1</v>
      </c>
      <c r="J443" s="21">
        <v>67055</v>
      </c>
      <c r="K443" s="21">
        <v>67055</v>
      </c>
      <c r="L443" s="21">
        <v>0</v>
      </c>
      <c r="M443" s="15">
        <v>0</v>
      </c>
      <c r="N443" s="21">
        <f t="shared" si="12"/>
        <v>67055</v>
      </c>
      <c r="O443" s="21">
        <v>37439.160000000003</v>
      </c>
      <c r="P443" s="21">
        <f t="shared" si="13"/>
        <v>29615.839999999997</v>
      </c>
      <c r="Q443" s="19" t="s">
        <v>91</v>
      </c>
      <c r="R443" s="19">
        <v>2025</v>
      </c>
      <c r="S443" s="19">
        <v>2</v>
      </c>
    </row>
    <row r="444" spans="1:19" x14ac:dyDescent="0.3">
      <c r="A444" t="s">
        <v>502</v>
      </c>
      <c r="B444" s="2">
        <v>45716</v>
      </c>
      <c r="C444" t="s">
        <v>28</v>
      </c>
      <c r="D444" t="s">
        <v>29</v>
      </c>
      <c r="E444" t="s">
        <v>42</v>
      </c>
      <c r="F444" t="s">
        <v>35</v>
      </c>
      <c r="G444" t="s">
        <v>31</v>
      </c>
      <c r="H444" t="s">
        <v>94</v>
      </c>
      <c r="I444">
        <v>1</v>
      </c>
      <c r="J444" s="5">
        <v>61645</v>
      </c>
      <c r="K444" s="5">
        <v>61645</v>
      </c>
      <c r="L444" s="5">
        <v>6164.5</v>
      </c>
      <c r="M444" s="12">
        <v>0.1</v>
      </c>
      <c r="N444" s="5">
        <f t="shared" si="12"/>
        <v>55480.5</v>
      </c>
      <c r="O444" s="5">
        <v>36580.550000000003</v>
      </c>
      <c r="P444" s="5">
        <f t="shared" si="13"/>
        <v>18899.949999999997</v>
      </c>
      <c r="Q444" t="s">
        <v>91</v>
      </c>
      <c r="R444">
        <v>2025</v>
      </c>
      <c r="S444">
        <v>2</v>
      </c>
    </row>
    <row r="445" spans="1:19" x14ac:dyDescent="0.3">
      <c r="A445" s="19" t="s">
        <v>503</v>
      </c>
      <c r="B445" s="20">
        <v>45720</v>
      </c>
      <c r="C445" s="19" t="s">
        <v>71</v>
      </c>
      <c r="D445" s="19" t="s">
        <v>34</v>
      </c>
      <c r="E445" s="19" t="s">
        <v>56</v>
      </c>
      <c r="F445" s="19" t="s">
        <v>37</v>
      </c>
      <c r="G445" s="19" t="s">
        <v>31</v>
      </c>
      <c r="H445" s="19" t="s">
        <v>133</v>
      </c>
      <c r="I445" s="19">
        <v>2</v>
      </c>
      <c r="J445" s="21">
        <v>52736</v>
      </c>
      <c r="K445" s="21">
        <v>105472</v>
      </c>
      <c r="L445" s="21">
        <v>10547.2</v>
      </c>
      <c r="M445" s="15">
        <v>0.1</v>
      </c>
      <c r="N445" s="21">
        <f t="shared" si="12"/>
        <v>94924.800000000003</v>
      </c>
      <c r="O445" s="21">
        <v>68318.53</v>
      </c>
      <c r="P445" s="21">
        <f t="shared" si="13"/>
        <v>26606.270000000004</v>
      </c>
      <c r="Q445" s="19" t="s">
        <v>131</v>
      </c>
      <c r="R445" s="19">
        <v>2025</v>
      </c>
      <c r="S445" s="19">
        <v>3</v>
      </c>
    </row>
    <row r="446" spans="1:19" x14ac:dyDescent="0.3">
      <c r="A446" t="s">
        <v>504</v>
      </c>
      <c r="B446" s="2">
        <v>45723</v>
      </c>
      <c r="C446" t="s">
        <v>71</v>
      </c>
      <c r="D446" t="s">
        <v>34</v>
      </c>
      <c r="E446" t="s">
        <v>44</v>
      </c>
      <c r="F446" t="s">
        <v>23</v>
      </c>
      <c r="G446" t="s">
        <v>31</v>
      </c>
      <c r="H446" t="s">
        <v>133</v>
      </c>
      <c r="I446">
        <v>2</v>
      </c>
      <c r="J446" s="5">
        <v>47447</v>
      </c>
      <c r="K446" s="5">
        <v>94894</v>
      </c>
      <c r="L446" s="5">
        <v>18978.8</v>
      </c>
      <c r="M446" s="12">
        <v>0.2</v>
      </c>
      <c r="N446" s="5">
        <f t="shared" si="12"/>
        <v>75915.199999999997</v>
      </c>
      <c r="O446" s="5">
        <v>51891.7</v>
      </c>
      <c r="P446" s="5">
        <f t="shared" si="13"/>
        <v>24023.5</v>
      </c>
      <c r="Q446" t="s">
        <v>131</v>
      </c>
      <c r="R446">
        <v>2025</v>
      </c>
      <c r="S446">
        <v>3</v>
      </c>
    </row>
    <row r="447" spans="1:19" x14ac:dyDescent="0.3">
      <c r="A447" s="19" t="s">
        <v>505</v>
      </c>
      <c r="B447" s="20">
        <v>45723</v>
      </c>
      <c r="C447" s="19" t="s">
        <v>28</v>
      </c>
      <c r="D447" s="19" t="s">
        <v>29</v>
      </c>
      <c r="E447" s="19" t="s">
        <v>56</v>
      </c>
      <c r="F447" s="19" t="s">
        <v>37</v>
      </c>
      <c r="G447" s="19" t="s">
        <v>31</v>
      </c>
      <c r="H447" s="19" t="s">
        <v>25</v>
      </c>
      <c r="I447" s="19">
        <v>1</v>
      </c>
      <c r="J447" s="21">
        <v>64798</v>
      </c>
      <c r="K447" s="21">
        <v>64798</v>
      </c>
      <c r="L447" s="21">
        <v>0</v>
      </c>
      <c r="M447" s="15">
        <v>0</v>
      </c>
      <c r="N447" s="21">
        <f t="shared" si="12"/>
        <v>64798</v>
      </c>
      <c r="O447" s="21">
        <v>41702.39</v>
      </c>
      <c r="P447" s="21">
        <f t="shared" si="13"/>
        <v>23095.61</v>
      </c>
      <c r="Q447" s="19" t="s">
        <v>131</v>
      </c>
      <c r="R447" s="19">
        <v>2025</v>
      </c>
      <c r="S447" s="19">
        <v>3</v>
      </c>
    </row>
    <row r="448" spans="1:19" x14ac:dyDescent="0.3">
      <c r="A448" t="s">
        <v>506</v>
      </c>
      <c r="B448" s="2">
        <v>45726</v>
      </c>
      <c r="C448" t="s">
        <v>46</v>
      </c>
      <c r="D448" t="s">
        <v>21</v>
      </c>
      <c r="E448" t="s">
        <v>44</v>
      </c>
      <c r="F448" t="s">
        <v>40</v>
      </c>
      <c r="G448" t="s">
        <v>24</v>
      </c>
      <c r="H448" t="s">
        <v>133</v>
      </c>
      <c r="I448">
        <v>1</v>
      </c>
      <c r="J448" s="5">
        <v>11842</v>
      </c>
      <c r="K448" s="5">
        <v>11842</v>
      </c>
      <c r="L448" s="5">
        <v>1184.2</v>
      </c>
      <c r="M448" s="12">
        <v>0.1</v>
      </c>
      <c r="N448" s="5">
        <f t="shared" si="12"/>
        <v>10657.8</v>
      </c>
      <c r="O448" s="5">
        <v>6443.39</v>
      </c>
      <c r="P448" s="5">
        <f t="shared" si="13"/>
        <v>4214.4099999999989</v>
      </c>
      <c r="Q448" t="s">
        <v>131</v>
      </c>
      <c r="R448">
        <v>2025</v>
      </c>
      <c r="S448">
        <v>3</v>
      </c>
    </row>
    <row r="449" spans="1:19" x14ac:dyDescent="0.3">
      <c r="A449" s="19" t="s">
        <v>507</v>
      </c>
      <c r="B449" s="20">
        <v>45726</v>
      </c>
      <c r="C449" s="19" t="s">
        <v>28</v>
      </c>
      <c r="D449" s="19" t="s">
        <v>29</v>
      </c>
      <c r="E449" s="19" t="s">
        <v>42</v>
      </c>
      <c r="F449" s="19" t="s">
        <v>35</v>
      </c>
      <c r="G449" s="19" t="s">
        <v>24</v>
      </c>
      <c r="H449" s="19" t="s">
        <v>133</v>
      </c>
      <c r="I449" s="19">
        <v>2</v>
      </c>
      <c r="J449" s="21">
        <v>64730</v>
      </c>
      <c r="K449" s="21">
        <v>129460</v>
      </c>
      <c r="L449" s="21">
        <v>19419</v>
      </c>
      <c r="M449" s="15">
        <v>0.15</v>
      </c>
      <c r="N449" s="21">
        <f t="shared" si="12"/>
        <v>110041</v>
      </c>
      <c r="O449" s="21">
        <v>62425.96</v>
      </c>
      <c r="P449" s="21">
        <f t="shared" si="13"/>
        <v>47615.040000000001</v>
      </c>
      <c r="Q449" s="19" t="s">
        <v>131</v>
      </c>
      <c r="R449" s="19">
        <v>2025</v>
      </c>
      <c r="S449" s="19">
        <v>3</v>
      </c>
    </row>
    <row r="450" spans="1:19" x14ac:dyDescent="0.3">
      <c r="A450" t="s">
        <v>508</v>
      </c>
      <c r="B450" s="2">
        <v>45726</v>
      </c>
      <c r="C450" t="s">
        <v>64</v>
      </c>
      <c r="D450" t="s">
        <v>29</v>
      </c>
      <c r="E450" t="s">
        <v>22</v>
      </c>
      <c r="F450" t="s">
        <v>37</v>
      </c>
      <c r="G450" t="s">
        <v>31</v>
      </c>
      <c r="H450" t="s">
        <v>133</v>
      </c>
      <c r="I450">
        <v>2</v>
      </c>
      <c r="J450" s="5">
        <v>27930</v>
      </c>
      <c r="K450" s="5">
        <v>55860</v>
      </c>
      <c r="L450" s="5">
        <v>11172</v>
      </c>
      <c r="M450" s="12">
        <v>0.2</v>
      </c>
      <c r="N450" s="5">
        <f t="shared" si="12"/>
        <v>44688</v>
      </c>
      <c r="O450" s="5">
        <v>30487.49</v>
      </c>
      <c r="P450" s="5">
        <f t="shared" si="13"/>
        <v>14200.509999999998</v>
      </c>
      <c r="Q450" t="s">
        <v>131</v>
      </c>
      <c r="R450">
        <v>2025</v>
      </c>
      <c r="S450">
        <v>3</v>
      </c>
    </row>
    <row r="451" spans="1:19" x14ac:dyDescent="0.3">
      <c r="A451" s="19" t="s">
        <v>509</v>
      </c>
      <c r="B451" s="20">
        <v>45729</v>
      </c>
      <c r="C451" s="19" t="s">
        <v>46</v>
      </c>
      <c r="D451" s="19" t="s">
        <v>21</v>
      </c>
      <c r="E451" s="19" t="s">
        <v>22</v>
      </c>
      <c r="F451" s="19" t="s">
        <v>35</v>
      </c>
      <c r="G451" s="19" t="s">
        <v>24</v>
      </c>
      <c r="H451" s="19" t="s">
        <v>25</v>
      </c>
      <c r="I451" s="19">
        <v>4</v>
      </c>
      <c r="J451" s="21">
        <v>11284</v>
      </c>
      <c r="K451" s="21">
        <v>45136</v>
      </c>
      <c r="L451" s="21">
        <v>0</v>
      </c>
      <c r="M451" s="15">
        <v>0</v>
      </c>
      <c r="N451" s="21">
        <f t="shared" ref="N451:N514" si="14">K451-L451</f>
        <v>45136</v>
      </c>
      <c r="O451" s="21">
        <v>26463.94</v>
      </c>
      <c r="P451" s="21">
        <f t="shared" si="13"/>
        <v>18672.060000000001</v>
      </c>
      <c r="Q451" s="19" t="s">
        <v>131</v>
      </c>
      <c r="R451" s="19">
        <v>2025</v>
      </c>
      <c r="S451" s="19">
        <v>3</v>
      </c>
    </row>
    <row r="452" spans="1:19" x14ac:dyDescent="0.3">
      <c r="A452" t="s">
        <v>510</v>
      </c>
      <c r="B452" s="2">
        <v>45729</v>
      </c>
      <c r="C452" t="s">
        <v>71</v>
      </c>
      <c r="D452" t="s">
        <v>34</v>
      </c>
      <c r="E452" t="s">
        <v>22</v>
      </c>
      <c r="F452" t="s">
        <v>40</v>
      </c>
      <c r="G452" t="s">
        <v>31</v>
      </c>
      <c r="H452" t="s">
        <v>133</v>
      </c>
      <c r="I452">
        <v>4</v>
      </c>
      <c r="J452" s="5">
        <v>47161</v>
      </c>
      <c r="K452" s="5">
        <v>188644</v>
      </c>
      <c r="L452" s="5">
        <v>18864.400000000001</v>
      </c>
      <c r="M452" s="12">
        <v>0.1</v>
      </c>
      <c r="N452" s="5">
        <f t="shared" si="14"/>
        <v>169779.6</v>
      </c>
      <c r="O452" s="5">
        <v>126880.37</v>
      </c>
      <c r="P452" s="5">
        <f t="shared" ref="P452:P515" si="15">N452-O452</f>
        <v>42899.23000000001</v>
      </c>
      <c r="Q452" t="s">
        <v>131</v>
      </c>
      <c r="R452">
        <v>2025</v>
      </c>
      <c r="S452">
        <v>3</v>
      </c>
    </row>
    <row r="453" spans="1:19" x14ac:dyDescent="0.3">
      <c r="A453" s="19" t="s">
        <v>511</v>
      </c>
      <c r="B453" s="20">
        <v>45733</v>
      </c>
      <c r="C453" s="19" t="s">
        <v>48</v>
      </c>
      <c r="D453" s="19" t="s">
        <v>34</v>
      </c>
      <c r="E453" s="19" t="s">
        <v>56</v>
      </c>
      <c r="F453" s="19" t="s">
        <v>35</v>
      </c>
      <c r="G453" s="19" t="s">
        <v>24</v>
      </c>
      <c r="H453" s="19" t="s">
        <v>25</v>
      </c>
      <c r="I453" s="19">
        <v>1</v>
      </c>
      <c r="J453" s="21">
        <v>26641</v>
      </c>
      <c r="K453" s="21">
        <v>26641</v>
      </c>
      <c r="L453" s="21">
        <v>0</v>
      </c>
      <c r="M453" s="15">
        <v>0</v>
      </c>
      <c r="N453" s="21">
        <f t="shared" si="14"/>
        <v>26641</v>
      </c>
      <c r="O453" s="21">
        <v>15445.02</v>
      </c>
      <c r="P453" s="21">
        <f t="shared" si="15"/>
        <v>11195.98</v>
      </c>
      <c r="Q453" s="19" t="s">
        <v>131</v>
      </c>
      <c r="R453" s="19">
        <v>2025</v>
      </c>
      <c r="S453" s="19">
        <v>3</v>
      </c>
    </row>
    <row r="454" spans="1:19" x14ac:dyDescent="0.3">
      <c r="A454" t="s">
        <v>512</v>
      </c>
      <c r="B454" s="2">
        <v>45733</v>
      </c>
      <c r="C454" t="s">
        <v>33</v>
      </c>
      <c r="D454" t="s">
        <v>34</v>
      </c>
      <c r="E454" t="s">
        <v>42</v>
      </c>
      <c r="F454" t="s">
        <v>35</v>
      </c>
      <c r="G454" t="s">
        <v>24</v>
      </c>
      <c r="H454" t="s">
        <v>133</v>
      </c>
      <c r="I454">
        <v>3</v>
      </c>
      <c r="J454" s="5">
        <v>43897</v>
      </c>
      <c r="K454" s="5">
        <v>131691</v>
      </c>
      <c r="L454" s="5">
        <v>13169.1</v>
      </c>
      <c r="M454" s="12">
        <v>0.1</v>
      </c>
      <c r="N454" s="5">
        <f t="shared" si="14"/>
        <v>118521.9</v>
      </c>
      <c r="O454" s="5">
        <v>71126.03</v>
      </c>
      <c r="P454" s="5">
        <f t="shared" si="15"/>
        <v>47395.869999999995</v>
      </c>
      <c r="Q454" t="s">
        <v>131</v>
      </c>
      <c r="R454">
        <v>2025</v>
      </c>
      <c r="S454">
        <v>3</v>
      </c>
    </row>
    <row r="455" spans="1:19" x14ac:dyDescent="0.3">
      <c r="A455" s="19" t="s">
        <v>513</v>
      </c>
      <c r="B455" s="20">
        <v>45733</v>
      </c>
      <c r="C455" s="19" t="s">
        <v>75</v>
      </c>
      <c r="D455" s="19" t="s">
        <v>34</v>
      </c>
      <c r="E455" s="19" t="s">
        <v>56</v>
      </c>
      <c r="F455" s="19" t="s">
        <v>37</v>
      </c>
      <c r="G455" s="19" t="s">
        <v>24</v>
      </c>
      <c r="H455" s="19" t="s">
        <v>133</v>
      </c>
      <c r="I455" s="19">
        <v>1</v>
      </c>
      <c r="J455" s="21">
        <v>38468</v>
      </c>
      <c r="K455" s="21">
        <v>38468</v>
      </c>
      <c r="L455" s="21">
        <v>5770.2</v>
      </c>
      <c r="M455" s="15">
        <v>0.15</v>
      </c>
      <c r="N455" s="21">
        <f t="shared" si="14"/>
        <v>32697.8</v>
      </c>
      <c r="O455" s="21">
        <v>23057.3</v>
      </c>
      <c r="P455" s="21">
        <f t="shared" si="15"/>
        <v>9640.5</v>
      </c>
      <c r="Q455" s="19" t="s">
        <v>131</v>
      </c>
      <c r="R455" s="19">
        <v>2025</v>
      </c>
      <c r="S455" s="19">
        <v>3</v>
      </c>
    </row>
    <row r="456" spans="1:19" x14ac:dyDescent="0.3">
      <c r="A456" t="s">
        <v>514</v>
      </c>
      <c r="B456" s="2">
        <v>45734</v>
      </c>
      <c r="C456" t="s">
        <v>71</v>
      </c>
      <c r="D456" t="s">
        <v>34</v>
      </c>
      <c r="E456" t="s">
        <v>22</v>
      </c>
      <c r="F456" t="s">
        <v>40</v>
      </c>
      <c r="G456" t="s">
        <v>24</v>
      </c>
      <c r="H456" t="s">
        <v>133</v>
      </c>
      <c r="I456">
        <v>1</v>
      </c>
      <c r="J456" s="5">
        <v>52412</v>
      </c>
      <c r="K456" s="5">
        <v>52412</v>
      </c>
      <c r="L456" s="5">
        <v>7861.8</v>
      </c>
      <c r="M456" s="12">
        <v>0.15</v>
      </c>
      <c r="N456" s="5">
        <f t="shared" si="14"/>
        <v>44550.2</v>
      </c>
      <c r="O456" s="5">
        <v>35406.129999999997</v>
      </c>
      <c r="P456" s="5">
        <f t="shared" si="15"/>
        <v>9144.07</v>
      </c>
      <c r="Q456" t="s">
        <v>131</v>
      </c>
      <c r="R456">
        <v>2025</v>
      </c>
      <c r="S456">
        <v>3</v>
      </c>
    </row>
    <row r="457" spans="1:19" x14ac:dyDescent="0.3">
      <c r="A457" s="19" t="s">
        <v>515</v>
      </c>
      <c r="B457" s="20">
        <v>45735</v>
      </c>
      <c r="C457" s="19" t="s">
        <v>28</v>
      </c>
      <c r="D457" s="19" t="s">
        <v>29</v>
      </c>
      <c r="E457" s="19" t="s">
        <v>44</v>
      </c>
      <c r="F457" s="19" t="s">
        <v>30</v>
      </c>
      <c r="G457" s="19" t="s">
        <v>31</v>
      </c>
      <c r="H457" s="19" t="s">
        <v>133</v>
      </c>
      <c r="I457" s="19">
        <v>4</v>
      </c>
      <c r="J457" s="21">
        <v>64164</v>
      </c>
      <c r="K457" s="21">
        <v>256656</v>
      </c>
      <c r="L457" s="21">
        <v>51331.199999999997</v>
      </c>
      <c r="M457" s="15">
        <v>0.2</v>
      </c>
      <c r="N457" s="21">
        <f t="shared" si="14"/>
        <v>205324.79999999999</v>
      </c>
      <c r="O457" s="21">
        <v>125216.91</v>
      </c>
      <c r="P457" s="21">
        <f t="shared" si="15"/>
        <v>80107.889999999985</v>
      </c>
      <c r="Q457" s="19" t="s">
        <v>131</v>
      </c>
      <c r="R457" s="19">
        <v>2025</v>
      </c>
      <c r="S457" s="19">
        <v>3</v>
      </c>
    </row>
    <row r="458" spans="1:19" x14ac:dyDescent="0.3">
      <c r="A458" t="s">
        <v>516</v>
      </c>
      <c r="B458" s="2">
        <v>45736</v>
      </c>
      <c r="C458" t="s">
        <v>33</v>
      </c>
      <c r="D458" t="s">
        <v>34</v>
      </c>
      <c r="E458" t="s">
        <v>22</v>
      </c>
      <c r="F458" t="s">
        <v>37</v>
      </c>
      <c r="G458" t="s">
        <v>31</v>
      </c>
      <c r="H458" t="s">
        <v>25</v>
      </c>
      <c r="I458">
        <v>2</v>
      </c>
      <c r="J458" s="5">
        <v>40230</v>
      </c>
      <c r="K458" s="5">
        <v>80460</v>
      </c>
      <c r="L458" s="5">
        <v>0</v>
      </c>
      <c r="M458" s="12">
        <v>0</v>
      </c>
      <c r="N458" s="5">
        <f t="shared" si="14"/>
        <v>80460</v>
      </c>
      <c r="O458" s="5">
        <v>45526.67</v>
      </c>
      <c r="P458" s="5">
        <f t="shared" si="15"/>
        <v>34933.33</v>
      </c>
      <c r="Q458" t="s">
        <v>131</v>
      </c>
      <c r="R458">
        <v>2025</v>
      </c>
      <c r="S458">
        <v>3</v>
      </c>
    </row>
    <row r="459" spans="1:19" x14ac:dyDescent="0.3">
      <c r="A459" s="19" t="s">
        <v>517</v>
      </c>
      <c r="B459" s="20">
        <v>45736</v>
      </c>
      <c r="C459" s="19" t="s">
        <v>50</v>
      </c>
      <c r="D459" s="19" t="s">
        <v>34</v>
      </c>
      <c r="E459" s="19" t="s">
        <v>22</v>
      </c>
      <c r="F459" s="19" t="s">
        <v>37</v>
      </c>
      <c r="G459" s="19" t="s">
        <v>31</v>
      </c>
      <c r="H459" s="19" t="s">
        <v>133</v>
      </c>
      <c r="I459" s="19">
        <v>1</v>
      </c>
      <c r="J459" s="21">
        <v>17744</v>
      </c>
      <c r="K459" s="21">
        <v>17744</v>
      </c>
      <c r="L459" s="21">
        <v>1774.4</v>
      </c>
      <c r="M459" s="15">
        <v>0.1</v>
      </c>
      <c r="N459" s="21">
        <f t="shared" si="14"/>
        <v>15969.6</v>
      </c>
      <c r="O459" s="21">
        <v>9288.82</v>
      </c>
      <c r="P459" s="21">
        <f t="shared" si="15"/>
        <v>6680.7800000000007</v>
      </c>
      <c r="Q459" s="19" t="s">
        <v>131</v>
      </c>
      <c r="R459" s="19">
        <v>2025</v>
      </c>
      <c r="S459" s="19">
        <v>3</v>
      </c>
    </row>
    <row r="460" spans="1:19" x14ac:dyDescent="0.3">
      <c r="A460" t="s">
        <v>518</v>
      </c>
      <c r="B460" s="2">
        <v>45738</v>
      </c>
      <c r="C460" t="s">
        <v>71</v>
      </c>
      <c r="D460" t="s">
        <v>34</v>
      </c>
      <c r="E460" t="s">
        <v>56</v>
      </c>
      <c r="F460" t="s">
        <v>40</v>
      </c>
      <c r="G460" t="s">
        <v>31</v>
      </c>
      <c r="H460" t="s">
        <v>25</v>
      </c>
      <c r="I460">
        <v>1</v>
      </c>
      <c r="J460" s="5">
        <v>53507</v>
      </c>
      <c r="K460" s="5">
        <v>53507</v>
      </c>
      <c r="L460" s="5">
        <v>0</v>
      </c>
      <c r="M460" s="12">
        <v>0</v>
      </c>
      <c r="N460" s="5">
        <f t="shared" si="14"/>
        <v>53507</v>
      </c>
      <c r="O460" s="5">
        <v>26895.22</v>
      </c>
      <c r="P460" s="5">
        <f t="shared" si="15"/>
        <v>26611.78</v>
      </c>
      <c r="Q460" t="s">
        <v>131</v>
      </c>
      <c r="R460">
        <v>2025</v>
      </c>
      <c r="S460">
        <v>3</v>
      </c>
    </row>
    <row r="461" spans="1:19" x14ac:dyDescent="0.3">
      <c r="A461" s="19" t="s">
        <v>519</v>
      </c>
      <c r="B461" s="20">
        <v>45740</v>
      </c>
      <c r="C461" s="19" t="s">
        <v>64</v>
      </c>
      <c r="D461" s="19" t="s">
        <v>29</v>
      </c>
      <c r="E461" s="19" t="s">
        <v>56</v>
      </c>
      <c r="F461" s="19" t="s">
        <v>40</v>
      </c>
      <c r="G461" s="19" t="s">
        <v>24</v>
      </c>
      <c r="H461" s="19" t="s">
        <v>133</v>
      </c>
      <c r="I461" s="19">
        <v>1</v>
      </c>
      <c r="J461" s="21">
        <v>28202</v>
      </c>
      <c r="K461" s="21">
        <v>28202</v>
      </c>
      <c r="L461" s="21">
        <v>1410.1</v>
      </c>
      <c r="M461" s="15">
        <v>0.05</v>
      </c>
      <c r="N461" s="21">
        <f t="shared" si="14"/>
        <v>26791.9</v>
      </c>
      <c r="O461" s="21">
        <v>18533.919999999998</v>
      </c>
      <c r="P461" s="21">
        <f t="shared" si="15"/>
        <v>8257.9800000000032</v>
      </c>
      <c r="Q461" s="19" t="s">
        <v>131</v>
      </c>
      <c r="R461" s="19">
        <v>2025</v>
      </c>
      <c r="S461" s="19">
        <v>3</v>
      </c>
    </row>
    <row r="462" spans="1:19" x14ac:dyDescent="0.3">
      <c r="A462" t="s">
        <v>520</v>
      </c>
      <c r="B462" s="2">
        <v>45741</v>
      </c>
      <c r="C462" t="s">
        <v>33</v>
      </c>
      <c r="D462" t="s">
        <v>34</v>
      </c>
      <c r="E462" t="s">
        <v>42</v>
      </c>
      <c r="F462" t="s">
        <v>23</v>
      </c>
      <c r="G462" t="s">
        <v>31</v>
      </c>
      <c r="H462" t="s">
        <v>133</v>
      </c>
      <c r="I462">
        <v>1</v>
      </c>
      <c r="J462" s="5">
        <v>45019</v>
      </c>
      <c r="K462" s="5">
        <v>45019</v>
      </c>
      <c r="L462" s="5">
        <v>4501.8999999999996</v>
      </c>
      <c r="M462" s="12">
        <v>0.1</v>
      </c>
      <c r="N462" s="5">
        <f t="shared" si="14"/>
        <v>40517.1</v>
      </c>
      <c r="O462" s="5">
        <v>23129.5</v>
      </c>
      <c r="P462" s="5">
        <f t="shared" si="15"/>
        <v>17387.599999999999</v>
      </c>
      <c r="Q462" t="s">
        <v>131</v>
      </c>
      <c r="R462">
        <v>2025</v>
      </c>
      <c r="S462">
        <v>3</v>
      </c>
    </row>
    <row r="463" spans="1:19" x14ac:dyDescent="0.3">
      <c r="A463" s="19" t="s">
        <v>521</v>
      </c>
      <c r="B463" s="20">
        <v>45743</v>
      </c>
      <c r="C463" s="19" t="s">
        <v>20</v>
      </c>
      <c r="D463" s="19" t="s">
        <v>21</v>
      </c>
      <c r="E463" s="19" t="s">
        <v>56</v>
      </c>
      <c r="F463" s="19" t="s">
        <v>40</v>
      </c>
      <c r="G463" s="19" t="s">
        <v>31</v>
      </c>
      <c r="H463" s="19" t="s">
        <v>133</v>
      </c>
      <c r="I463" s="19">
        <v>2</v>
      </c>
      <c r="J463" s="21">
        <v>15923</v>
      </c>
      <c r="K463" s="21">
        <v>31846</v>
      </c>
      <c r="L463" s="21">
        <v>4776.8999999999996</v>
      </c>
      <c r="M463" s="15">
        <v>0.15</v>
      </c>
      <c r="N463" s="21">
        <f t="shared" si="14"/>
        <v>27069.1</v>
      </c>
      <c r="O463" s="21">
        <v>18252.66</v>
      </c>
      <c r="P463" s="21">
        <f t="shared" si="15"/>
        <v>8816.4399999999987</v>
      </c>
      <c r="Q463" s="19" t="s">
        <v>131</v>
      </c>
      <c r="R463" s="19">
        <v>2025</v>
      </c>
      <c r="S463" s="19">
        <v>3</v>
      </c>
    </row>
    <row r="464" spans="1:19" x14ac:dyDescent="0.3">
      <c r="A464" t="s">
        <v>522</v>
      </c>
      <c r="B464" s="2">
        <v>45744</v>
      </c>
      <c r="C464" t="s">
        <v>46</v>
      </c>
      <c r="D464" t="s">
        <v>21</v>
      </c>
      <c r="E464" t="s">
        <v>42</v>
      </c>
      <c r="F464" t="s">
        <v>40</v>
      </c>
      <c r="G464" t="s">
        <v>31</v>
      </c>
      <c r="H464" t="s">
        <v>133</v>
      </c>
      <c r="I464">
        <v>5</v>
      </c>
      <c r="J464" s="5">
        <v>11463</v>
      </c>
      <c r="K464" s="5">
        <v>57315</v>
      </c>
      <c r="L464" s="5">
        <v>5731.5</v>
      </c>
      <c r="M464" s="12">
        <v>0.1</v>
      </c>
      <c r="N464" s="5">
        <f t="shared" si="14"/>
        <v>51583.5</v>
      </c>
      <c r="O464" s="5">
        <v>33729.550000000003</v>
      </c>
      <c r="P464" s="5">
        <f t="shared" si="15"/>
        <v>17853.949999999997</v>
      </c>
      <c r="Q464" t="s">
        <v>131</v>
      </c>
      <c r="R464">
        <v>2025</v>
      </c>
      <c r="S464">
        <v>3</v>
      </c>
    </row>
    <row r="465" spans="1:19" x14ac:dyDescent="0.3">
      <c r="A465" s="19" t="s">
        <v>523</v>
      </c>
      <c r="B465" s="20">
        <v>45744</v>
      </c>
      <c r="C465" s="19" t="s">
        <v>64</v>
      </c>
      <c r="D465" s="19" t="s">
        <v>29</v>
      </c>
      <c r="E465" s="19" t="s">
        <v>22</v>
      </c>
      <c r="F465" s="19" t="s">
        <v>30</v>
      </c>
      <c r="G465" s="19" t="s">
        <v>24</v>
      </c>
      <c r="H465" s="19" t="s">
        <v>25</v>
      </c>
      <c r="I465" s="19">
        <v>2</v>
      </c>
      <c r="J465" s="21">
        <v>30378</v>
      </c>
      <c r="K465" s="21">
        <v>60756</v>
      </c>
      <c r="L465" s="21">
        <v>0</v>
      </c>
      <c r="M465" s="15">
        <v>0</v>
      </c>
      <c r="N465" s="21">
        <f t="shared" si="14"/>
        <v>60756</v>
      </c>
      <c r="O465" s="21">
        <v>31064.26</v>
      </c>
      <c r="P465" s="21">
        <f t="shared" si="15"/>
        <v>29691.74</v>
      </c>
      <c r="Q465" s="19" t="s">
        <v>131</v>
      </c>
      <c r="R465" s="19">
        <v>2025</v>
      </c>
      <c r="S465" s="19">
        <v>3</v>
      </c>
    </row>
    <row r="466" spans="1:19" x14ac:dyDescent="0.3">
      <c r="A466" t="s">
        <v>524</v>
      </c>
      <c r="B466" s="2">
        <v>45744</v>
      </c>
      <c r="C466" t="s">
        <v>46</v>
      </c>
      <c r="D466" t="s">
        <v>21</v>
      </c>
      <c r="E466" t="s">
        <v>42</v>
      </c>
      <c r="F466" t="s">
        <v>40</v>
      </c>
      <c r="G466" t="s">
        <v>24</v>
      </c>
      <c r="H466" t="s">
        <v>25</v>
      </c>
      <c r="I466">
        <v>1</v>
      </c>
      <c r="J466" s="5">
        <v>11214</v>
      </c>
      <c r="K466" s="5">
        <v>11214</v>
      </c>
      <c r="L466" s="5">
        <v>0</v>
      </c>
      <c r="M466" s="12">
        <v>0</v>
      </c>
      <c r="N466" s="5">
        <f t="shared" si="14"/>
        <v>11214</v>
      </c>
      <c r="O466" s="5">
        <v>6890.76</v>
      </c>
      <c r="P466" s="5">
        <f t="shared" si="15"/>
        <v>4323.24</v>
      </c>
      <c r="Q466" t="s">
        <v>131</v>
      </c>
      <c r="R466">
        <v>2025</v>
      </c>
      <c r="S466">
        <v>3</v>
      </c>
    </row>
    <row r="467" spans="1:19" x14ac:dyDescent="0.3">
      <c r="A467" s="19" t="s">
        <v>525</v>
      </c>
      <c r="B467" s="20">
        <v>45745</v>
      </c>
      <c r="C467" s="19" t="s">
        <v>33</v>
      </c>
      <c r="D467" s="19" t="s">
        <v>34</v>
      </c>
      <c r="E467" s="19" t="s">
        <v>44</v>
      </c>
      <c r="F467" s="19" t="s">
        <v>40</v>
      </c>
      <c r="G467" s="19" t="s">
        <v>24</v>
      </c>
      <c r="H467" s="19" t="s">
        <v>133</v>
      </c>
      <c r="I467" s="19">
        <v>1</v>
      </c>
      <c r="J467" s="21">
        <v>42491</v>
      </c>
      <c r="K467" s="21">
        <v>42491</v>
      </c>
      <c r="L467" s="21">
        <v>2124.5500000000002</v>
      </c>
      <c r="M467" s="15">
        <v>0.05</v>
      </c>
      <c r="N467" s="21">
        <f t="shared" si="14"/>
        <v>40366.449999999997</v>
      </c>
      <c r="O467" s="21">
        <v>23511.69</v>
      </c>
      <c r="P467" s="21">
        <f t="shared" si="15"/>
        <v>16854.759999999998</v>
      </c>
      <c r="Q467" s="19" t="s">
        <v>131</v>
      </c>
      <c r="R467" s="19">
        <v>2025</v>
      </c>
      <c r="S467" s="19">
        <v>3</v>
      </c>
    </row>
    <row r="468" spans="1:19" x14ac:dyDescent="0.3">
      <c r="A468" t="s">
        <v>526</v>
      </c>
      <c r="B468" s="2">
        <v>45746</v>
      </c>
      <c r="C468" t="s">
        <v>48</v>
      </c>
      <c r="D468" t="s">
        <v>34</v>
      </c>
      <c r="E468" t="s">
        <v>22</v>
      </c>
      <c r="F468" t="s">
        <v>23</v>
      </c>
      <c r="G468" t="s">
        <v>31</v>
      </c>
      <c r="H468" t="s">
        <v>25</v>
      </c>
      <c r="I468">
        <v>1</v>
      </c>
      <c r="J468" s="5">
        <v>26539</v>
      </c>
      <c r="K468" s="5">
        <v>26539</v>
      </c>
      <c r="L468" s="5">
        <v>0</v>
      </c>
      <c r="M468" s="12">
        <v>0</v>
      </c>
      <c r="N468" s="5">
        <f t="shared" si="14"/>
        <v>26539</v>
      </c>
      <c r="O468" s="5">
        <v>14884.35</v>
      </c>
      <c r="P468" s="5">
        <f t="shared" si="15"/>
        <v>11654.65</v>
      </c>
      <c r="Q468" t="s">
        <v>131</v>
      </c>
      <c r="R468">
        <v>2025</v>
      </c>
      <c r="S468">
        <v>3</v>
      </c>
    </row>
    <row r="469" spans="1:19" x14ac:dyDescent="0.3">
      <c r="A469" s="19" t="s">
        <v>527</v>
      </c>
      <c r="B469" s="20">
        <v>45746</v>
      </c>
      <c r="C469" s="19" t="s">
        <v>20</v>
      </c>
      <c r="D469" s="19" t="s">
        <v>21</v>
      </c>
      <c r="E469" s="19" t="s">
        <v>22</v>
      </c>
      <c r="F469" s="19" t="s">
        <v>23</v>
      </c>
      <c r="G469" s="19" t="s">
        <v>24</v>
      </c>
      <c r="H469" s="19" t="s">
        <v>133</v>
      </c>
      <c r="I469" s="19">
        <v>1</v>
      </c>
      <c r="J469" s="21">
        <v>16090</v>
      </c>
      <c r="K469" s="21">
        <v>16090</v>
      </c>
      <c r="L469" s="21">
        <v>1609</v>
      </c>
      <c r="M469" s="15">
        <v>0.1</v>
      </c>
      <c r="N469" s="21">
        <f t="shared" si="14"/>
        <v>14481</v>
      </c>
      <c r="O469" s="21">
        <v>10077.64</v>
      </c>
      <c r="P469" s="21">
        <f t="shared" si="15"/>
        <v>4403.3600000000006</v>
      </c>
      <c r="Q469" s="19" t="s">
        <v>131</v>
      </c>
      <c r="R469" s="19">
        <v>2025</v>
      </c>
      <c r="S469" s="19">
        <v>3</v>
      </c>
    </row>
    <row r="470" spans="1:19" x14ac:dyDescent="0.3">
      <c r="A470" t="s">
        <v>528</v>
      </c>
      <c r="B470" s="2">
        <v>45747</v>
      </c>
      <c r="C470" t="s">
        <v>75</v>
      </c>
      <c r="D470" t="s">
        <v>34</v>
      </c>
      <c r="E470" t="s">
        <v>56</v>
      </c>
      <c r="F470" t="s">
        <v>40</v>
      </c>
      <c r="G470" t="s">
        <v>24</v>
      </c>
      <c r="H470" t="s">
        <v>133</v>
      </c>
      <c r="I470">
        <v>2</v>
      </c>
      <c r="J470" s="5">
        <v>35884</v>
      </c>
      <c r="K470" s="5">
        <v>71768</v>
      </c>
      <c r="L470" s="5">
        <v>10765.2</v>
      </c>
      <c r="M470" s="12">
        <v>0.15</v>
      </c>
      <c r="N470" s="5">
        <f t="shared" si="14"/>
        <v>61002.8</v>
      </c>
      <c r="O470" s="5">
        <v>45655.38</v>
      </c>
      <c r="P470" s="5">
        <f t="shared" si="15"/>
        <v>15347.420000000006</v>
      </c>
      <c r="Q470" t="s">
        <v>131</v>
      </c>
      <c r="R470">
        <v>2025</v>
      </c>
      <c r="S470">
        <v>3</v>
      </c>
    </row>
    <row r="471" spans="1:19" x14ac:dyDescent="0.3">
      <c r="A471" s="19" t="s">
        <v>529</v>
      </c>
      <c r="B471" s="20">
        <v>45747</v>
      </c>
      <c r="C471" s="19" t="s">
        <v>64</v>
      </c>
      <c r="D471" s="19" t="s">
        <v>29</v>
      </c>
      <c r="E471" s="19" t="s">
        <v>56</v>
      </c>
      <c r="F471" s="19" t="s">
        <v>23</v>
      </c>
      <c r="G471" s="19" t="s">
        <v>24</v>
      </c>
      <c r="H471" s="19" t="s">
        <v>25</v>
      </c>
      <c r="I471" s="19">
        <v>2</v>
      </c>
      <c r="J471" s="21">
        <v>32075</v>
      </c>
      <c r="K471" s="21">
        <v>64150</v>
      </c>
      <c r="L471" s="21">
        <v>0</v>
      </c>
      <c r="M471" s="15">
        <v>0</v>
      </c>
      <c r="N471" s="21">
        <f t="shared" si="14"/>
        <v>64150</v>
      </c>
      <c r="O471" s="21">
        <v>32980.81</v>
      </c>
      <c r="P471" s="21">
        <f t="shared" si="15"/>
        <v>31169.190000000002</v>
      </c>
      <c r="Q471" s="19" t="s">
        <v>131</v>
      </c>
      <c r="R471" s="19">
        <v>2025</v>
      </c>
      <c r="S471" s="19">
        <v>3</v>
      </c>
    </row>
    <row r="472" spans="1:19" x14ac:dyDescent="0.3">
      <c r="A472" t="s">
        <v>530</v>
      </c>
      <c r="B472" s="2">
        <v>45748</v>
      </c>
      <c r="C472" t="s">
        <v>46</v>
      </c>
      <c r="D472" t="s">
        <v>21</v>
      </c>
      <c r="E472" t="s">
        <v>22</v>
      </c>
      <c r="F472" t="s">
        <v>23</v>
      </c>
      <c r="G472" t="s">
        <v>24</v>
      </c>
      <c r="H472" t="s">
        <v>133</v>
      </c>
      <c r="I472">
        <v>2</v>
      </c>
      <c r="J472" s="5">
        <v>11766</v>
      </c>
      <c r="K472" s="5">
        <v>23532</v>
      </c>
      <c r="L472" s="5">
        <v>2353.1999999999998</v>
      </c>
      <c r="M472" s="12">
        <v>0.1</v>
      </c>
      <c r="N472" s="5">
        <f t="shared" si="14"/>
        <v>21178.799999999999</v>
      </c>
      <c r="O472" s="5">
        <v>13239.61</v>
      </c>
      <c r="P472" s="5">
        <f t="shared" si="15"/>
        <v>7939.1899999999987</v>
      </c>
      <c r="Q472" t="s">
        <v>165</v>
      </c>
      <c r="R472">
        <v>2025</v>
      </c>
      <c r="S472">
        <v>4</v>
      </c>
    </row>
    <row r="473" spans="1:19" x14ac:dyDescent="0.3">
      <c r="A473" s="19" t="s">
        <v>531</v>
      </c>
      <c r="B473" s="20">
        <v>45748</v>
      </c>
      <c r="C473" s="19" t="s">
        <v>46</v>
      </c>
      <c r="D473" s="19" t="s">
        <v>21</v>
      </c>
      <c r="E473" s="19" t="s">
        <v>44</v>
      </c>
      <c r="F473" s="19" t="s">
        <v>40</v>
      </c>
      <c r="G473" s="19" t="s">
        <v>31</v>
      </c>
      <c r="H473" s="19" t="s">
        <v>25</v>
      </c>
      <c r="I473" s="19">
        <v>4</v>
      </c>
      <c r="J473" s="21">
        <v>12248</v>
      </c>
      <c r="K473" s="21">
        <v>48992</v>
      </c>
      <c r="L473" s="21">
        <v>0</v>
      </c>
      <c r="M473" s="15">
        <v>0</v>
      </c>
      <c r="N473" s="21">
        <f t="shared" si="14"/>
        <v>48992</v>
      </c>
      <c r="O473" s="21">
        <v>31362.75</v>
      </c>
      <c r="P473" s="21">
        <f t="shared" si="15"/>
        <v>17629.25</v>
      </c>
      <c r="Q473" s="19" t="s">
        <v>165</v>
      </c>
      <c r="R473" s="19">
        <v>2025</v>
      </c>
      <c r="S473" s="19">
        <v>4</v>
      </c>
    </row>
    <row r="474" spans="1:19" x14ac:dyDescent="0.3">
      <c r="A474" t="s">
        <v>532</v>
      </c>
      <c r="B474" s="2">
        <v>45751</v>
      </c>
      <c r="C474" t="s">
        <v>64</v>
      </c>
      <c r="D474" t="s">
        <v>29</v>
      </c>
      <c r="E474" t="s">
        <v>22</v>
      </c>
      <c r="F474" t="s">
        <v>35</v>
      </c>
      <c r="G474" t="s">
        <v>31</v>
      </c>
      <c r="H474" t="s">
        <v>133</v>
      </c>
      <c r="I474">
        <v>1</v>
      </c>
      <c r="J474" s="5">
        <v>28021</v>
      </c>
      <c r="K474" s="5">
        <v>28021</v>
      </c>
      <c r="L474" s="5">
        <v>2802.1</v>
      </c>
      <c r="M474" s="12">
        <v>0.1</v>
      </c>
      <c r="N474" s="5">
        <f t="shared" si="14"/>
        <v>25218.9</v>
      </c>
      <c r="O474" s="5">
        <v>13636.16</v>
      </c>
      <c r="P474" s="5">
        <f t="shared" si="15"/>
        <v>11582.740000000002</v>
      </c>
      <c r="Q474" t="s">
        <v>165</v>
      </c>
      <c r="R474">
        <v>2025</v>
      </c>
      <c r="S474">
        <v>4</v>
      </c>
    </row>
    <row r="475" spans="1:19" x14ac:dyDescent="0.3">
      <c r="A475" s="19" t="s">
        <v>533</v>
      </c>
      <c r="B475" s="20">
        <v>45751</v>
      </c>
      <c r="C475" s="19" t="s">
        <v>71</v>
      </c>
      <c r="D475" s="19" t="s">
        <v>34</v>
      </c>
      <c r="E475" s="19" t="s">
        <v>42</v>
      </c>
      <c r="F475" s="19" t="s">
        <v>40</v>
      </c>
      <c r="G475" s="19" t="s">
        <v>31</v>
      </c>
      <c r="H475" s="19" t="s">
        <v>25</v>
      </c>
      <c r="I475" s="19">
        <v>1</v>
      </c>
      <c r="J475" s="21">
        <v>48791</v>
      </c>
      <c r="K475" s="21">
        <v>48791</v>
      </c>
      <c r="L475" s="21">
        <v>0</v>
      </c>
      <c r="M475" s="15">
        <v>0</v>
      </c>
      <c r="N475" s="21">
        <f t="shared" si="14"/>
        <v>48791</v>
      </c>
      <c r="O475" s="21">
        <v>31172.43</v>
      </c>
      <c r="P475" s="21">
        <f t="shared" si="15"/>
        <v>17618.57</v>
      </c>
      <c r="Q475" s="19" t="s">
        <v>165</v>
      </c>
      <c r="R475" s="19">
        <v>2025</v>
      </c>
      <c r="S475" s="19">
        <v>4</v>
      </c>
    </row>
    <row r="476" spans="1:19" x14ac:dyDescent="0.3">
      <c r="A476" t="s">
        <v>534</v>
      </c>
      <c r="B476" s="2">
        <v>45752</v>
      </c>
      <c r="C476" t="s">
        <v>50</v>
      </c>
      <c r="D476" t="s">
        <v>34</v>
      </c>
      <c r="E476" t="s">
        <v>56</v>
      </c>
      <c r="F476" t="s">
        <v>30</v>
      </c>
      <c r="G476" t="s">
        <v>31</v>
      </c>
      <c r="H476" t="s">
        <v>133</v>
      </c>
      <c r="I476">
        <v>5</v>
      </c>
      <c r="J476" s="5">
        <v>18007</v>
      </c>
      <c r="K476" s="5">
        <v>90035</v>
      </c>
      <c r="L476" s="5">
        <v>9003.5</v>
      </c>
      <c r="M476" s="12">
        <v>0.1</v>
      </c>
      <c r="N476" s="5">
        <f t="shared" si="14"/>
        <v>81031.5</v>
      </c>
      <c r="O476" s="5">
        <v>55846.25</v>
      </c>
      <c r="P476" s="5">
        <f t="shared" si="15"/>
        <v>25185.25</v>
      </c>
      <c r="Q476" t="s">
        <v>165</v>
      </c>
      <c r="R476">
        <v>2025</v>
      </c>
      <c r="S476">
        <v>4</v>
      </c>
    </row>
    <row r="477" spans="1:19" x14ac:dyDescent="0.3">
      <c r="A477" s="19" t="s">
        <v>535</v>
      </c>
      <c r="B477" s="20">
        <v>45755</v>
      </c>
      <c r="C477" s="19" t="s">
        <v>28</v>
      </c>
      <c r="D477" s="19" t="s">
        <v>29</v>
      </c>
      <c r="E477" s="19" t="s">
        <v>42</v>
      </c>
      <c r="F477" s="19" t="s">
        <v>37</v>
      </c>
      <c r="G477" s="19" t="s">
        <v>31</v>
      </c>
      <c r="H477" s="19" t="s">
        <v>133</v>
      </c>
      <c r="I477" s="19">
        <v>2</v>
      </c>
      <c r="J477" s="21">
        <v>63354</v>
      </c>
      <c r="K477" s="21">
        <v>126708</v>
      </c>
      <c r="L477" s="21">
        <v>12670.8</v>
      </c>
      <c r="M477" s="15">
        <v>0.1</v>
      </c>
      <c r="N477" s="21">
        <f t="shared" si="14"/>
        <v>114037.2</v>
      </c>
      <c r="O477" s="21">
        <v>66477.69</v>
      </c>
      <c r="P477" s="21">
        <f t="shared" si="15"/>
        <v>47559.509999999995</v>
      </c>
      <c r="Q477" s="19" t="s">
        <v>165</v>
      </c>
      <c r="R477" s="19">
        <v>2025</v>
      </c>
      <c r="S477" s="19">
        <v>4</v>
      </c>
    </row>
    <row r="478" spans="1:19" x14ac:dyDescent="0.3">
      <c r="A478" t="s">
        <v>536</v>
      </c>
      <c r="B478" s="2">
        <v>45757</v>
      </c>
      <c r="C478" t="s">
        <v>33</v>
      </c>
      <c r="D478" t="s">
        <v>34</v>
      </c>
      <c r="E478" t="s">
        <v>42</v>
      </c>
      <c r="F478" t="s">
        <v>37</v>
      </c>
      <c r="G478" t="s">
        <v>31</v>
      </c>
      <c r="H478" t="s">
        <v>25</v>
      </c>
      <c r="I478">
        <v>2</v>
      </c>
      <c r="J478" s="5">
        <v>44514</v>
      </c>
      <c r="K478" s="5">
        <v>89028</v>
      </c>
      <c r="L478" s="5">
        <v>8902.7999999999993</v>
      </c>
      <c r="M478" s="12">
        <v>0.1</v>
      </c>
      <c r="N478" s="5">
        <f t="shared" si="14"/>
        <v>80125.2</v>
      </c>
      <c r="O478" s="5">
        <v>50316.29</v>
      </c>
      <c r="P478" s="5">
        <f t="shared" si="15"/>
        <v>29808.909999999996</v>
      </c>
      <c r="Q478" t="s">
        <v>165</v>
      </c>
      <c r="R478">
        <v>2025</v>
      </c>
      <c r="S478">
        <v>4</v>
      </c>
    </row>
    <row r="479" spans="1:19" x14ac:dyDescent="0.3">
      <c r="A479" s="19" t="s">
        <v>537</v>
      </c>
      <c r="B479" s="20">
        <v>45758</v>
      </c>
      <c r="C479" s="19" t="s">
        <v>48</v>
      </c>
      <c r="D479" s="19" t="s">
        <v>34</v>
      </c>
      <c r="E479" s="19" t="s">
        <v>22</v>
      </c>
      <c r="F479" s="19" t="s">
        <v>37</v>
      </c>
      <c r="G479" s="19" t="s">
        <v>24</v>
      </c>
      <c r="H479" s="19" t="s">
        <v>133</v>
      </c>
      <c r="I479" s="19">
        <v>3</v>
      </c>
      <c r="J479" s="21">
        <v>26851</v>
      </c>
      <c r="K479" s="21">
        <v>80553</v>
      </c>
      <c r="L479" s="21">
        <v>8055.3</v>
      </c>
      <c r="M479" s="15">
        <v>0.1</v>
      </c>
      <c r="N479" s="21">
        <f t="shared" si="14"/>
        <v>72497.7</v>
      </c>
      <c r="O479" s="21">
        <v>48857.36</v>
      </c>
      <c r="P479" s="21">
        <f t="shared" si="15"/>
        <v>23640.339999999997</v>
      </c>
      <c r="Q479" s="19" t="s">
        <v>165</v>
      </c>
      <c r="R479" s="19">
        <v>2025</v>
      </c>
      <c r="S479" s="19">
        <v>4</v>
      </c>
    </row>
    <row r="480" spans="1:19" x14ac:dyDescent="0.3">
      <c r="A480" t="s">
        <v>538</v>
      </c>
      <c r="B480" s="2">
        <v>45759</v>
      </c>
      <c r="C480" t="s">
        <v>50</v>
      </c>
      <c r="D480" t="s">
        <v>34</v>
      </c>
      <c r="E480" t="s">
        <v>22</v>
      </c>
      <c r="F480" t="s">
        <v>35</v>
      </c>
      <c r="G480" t="s">
        <v>24</v>
      </c>
      <c r="H480" t="s">
        <v>133</v>
      </c>
      <c r="I480">
        <v>2</v>
      </c>
      <c r="J480" s="5">
        <v>16871</v>
      </c>
      <c r="K480" s="5">
        <v>33742</v>
      </c>
      <c r="L480" s="5">
        <v>5061.3</v>
      </c>
      <c r="M480" s="12">
        <v>0.15</v>
      </c>
      <c r="N480" s="5">
        <f t="shared" si="14"/>
        <v>28680.7</v>
      </c>
      <c r="O480" s="5">
        <v>22755.27</v>
      </c>
      <c r="P480" s="5">
        <f t="shared" si="15"/>
        <v>5925.43</v>
      </c>
      <c r="Q480" t="s">
        <v>165</v>
      </c>
      <c r="R480">
        <v>2025</v>
      </c>
      <c r="S480">
        <v>4</v>
      </c>
    </row>
    <row r="481" spans="1:19" x14ac:dyDescent="0.3">
      <c r="A481" s="19" t="s">
        <v>539</v>
      </c>
      <c r="B481" s="20">
        <v>45760</v>
      </c>
      <c r="C481" s="19" t="s">
        <v>64</v>
      </c>
      <c r="D481" s="19" t="s">
        <v>29</v>
      </c>
      <c r="E481" s="19" t="s">
        <v>56</v>
      </c>
      <c r="F481" s="19" t="s">
        <v>30</v>
      </c>
      <c r="G481" s="19" t="s">
        <v>31</v>
      </c>
      <c r="H481" s="19" t="s">
        <v>133</v>
      </c>
      <c r="I481" s="19">
        <v>2</v>
      </c>
      <c r="J481" s="21">
        <v>32296</v>
      </c>
      <c r="K481" s="21">
        <v>64592</v>
      </c>
      <c r="L481" s="21">
        <v>3229.6</v>
      </c>
      <c r="M481" s="15">
        <v>0.05</v>
      </c>
      <c r="N481" s="21">
        <f t="shared" si="14"/>
        <v>61362.400000000001</v>
      </c>
      <c r="O481" s="21">
        <v>38199.089999999997</v>
      </c>
      <c r="P481" s="21">
        <f t="shared" si="15"/>
        <v>23163.310000000005</v>
      </c>
      <c r="Q481" s="19" t="s">
        <v>165</v>
      </c>
      <c r="R481" s="19">
        <v>2025</v>
      </c>
      <c r="S481" s="19">
        <v>4</v>
      </c>
    </row>
    <row r="482" spans="1:19" x14ac:dyDescent="0.3">
      <c r="A482" t="s">
        <v>540</v>
      </c>
      <c r="B482" s="2">
        <v>45761</v>
      </c>
      <c r="C482" t="s">
        <v>75</v>
      </c>
      <c r="D482" t="s">
        <v>34</v>
      </c>
      <c r="E482" t="s">
        <v>42</v>
      </c>
      <c r="F482" t="s">
        <v>40</v>
      </c>
      <c r="G482" t="s">
        <v>31</v>
      </c>
      <c r="H482" t="s">
        <v>133</v>
      </c>
      <c r="I482">
        <v>3</v>
      </c>
      <c r="J482" s="5">
        <v>38090</v>
      </c>
      <c r="K482" s="5">
        <v>114270</v>
      </c>
      <c r="L482" s="5">
        <v>17140.5</v>
      </c>
      <c r="M482" s="12">
        <v>0.15</v>
      </c>
      <c r="N482" s="5">
        <f t="shared" si="14"/>
        <v>97129.5</v>
      </c>
      <c r="O482" s="5">
        <v>56759.15</v>
      </c>
      <c r="P482" s="5">
        <f t="shared" si="15"/>
        <v>40370.35</v>
      </c>
      <c r="Q482" t="s">
        <v>165</v>
      </c>
      <c r="R482">
        <v>2025</v>
      </c>
      <c r="S482">
        <v>4</v>
      </c>
    </row>
    <row r="483" spans="1:19" x14ac:dyDescent="0.3">
      <c r="A483" s="19" t="s">
        <v>541</v>
      </c>
      <c r="B483" s="20">
        <v>45762</v>
      </c>
      <c r="C483" s="19" t="s">
        <v>64</v>
      </c>
      <c r="D483" s="19" t="s">
        <v>29</v>
      </c>
      <c r="E483" s="19" t="s">
        <v>44</v>
      </c>
      <c r="F483" s="19" t="s">
        <v>23</v>
      </c>
      <c r="G483" s="19" t="s">
        <v>31</v>
      </c>
      <c r="H483" s="19" t="s">
        <v>133</v>
      </c>
      <c r="I483" s="19">
        <v>2</v>
      </c>
      <c r="J483" s="21">
        <v>31606</v>
      </c>
      <c r="K483" s="21">
        <v>63212</v>
      </c>
      <c r="L483" s="21">
        <v>3160.6</v>
      </c>
      <c r="M483" s="15">
        <v>0.05</v>
      </c>
      <c r="N483" s="21">
        <f t="shared" si="14"/>
        <v>60051.4</v>
      </c>
      <c r="O483" s="21">
        <v>41882.910000000003</v>
      </c>
      <c r="P483" s="21">
        <f t="shared" si="15"/>
        <v>18168.489999999998</v>
      </c>
      <c r="Q483" s="19" t="s">
        <v>165</v>
      </c>
      <c r="R483" s="19">
        <v>2025</v>
      </c>
      <c r="S483" s="19">
        <v>4</v>
      </c>
    </row>
    <row r="484" spans="1:19" x14ac:dyDescent="0.3">
      <c r="A484" t="s">
        <v>542</v>
      </c>
      <c r="B484" s="2">
        <v>45762</v>
      </c>
      <c r="C484" t="s">
        <v>71</v>
      </c>
      <c r="D484" t="s">
        <v>34</v>
      </c>
      <c r="E484" t="s">
        <v>44</v>
      </c>
      <c r="F484" t="s">
        <v>35</v>
      </c>
      <c r="G484" t="s">
        <v>31</v>
      </c>
      <c r="H484" t="s">
        <v>25</v>
      </c>
      <c r="I484">
        <v>1</v>
      </c>
      <c r="J484" s="5">
        <v>48168</v>
      </c>
      <c r="K484" s="5">
        <v>48168</v>
      </c>
      <c r="L484" s="5">
        <v>0</v>
      </c>
      <c r="M484" s="12">
        <v>0</v>
      </c>
      <c r="N484" s="5">
        <f t="shared" si="14"/>
        <v>48168</v>
      </c>
      <c r="O484" s="5">
        <v>28076.93</v>
      </c>
      <c r="P484" s="5">
        <f t="shared" si="15"/>
        <v>20091.07</v>
      </c>
      <c r="Q484" t="s">
        <v>165</v>
      </c>
      <c r="R484">
        <v>2025</v>
      </c>
      <c r="S484">
        <v>4</v>
      </c>
    </row>
    <row r="485" spans="1:19" x14ac:dyDescent="0.3">
      <c r="A485" s="19" t="s">
        <v>543</v>
      </c>
      <c r="B485" s="20">
        <v>45762</v>
      </c>
      <c r="C485" s="19" t="s">
        <v>46</v>
      </c>
      <c r="D485" s="19" t="s">
        <v>21</v>
      </c>
      <c r="E485" s="19" t="s">
        <v>42</v>
      </c>
      <c r="F485" s="19" t="s">
        <v>40</v>
      </c>
      <c r="G485" s="19" t="s">
        <v>31</v>
      </c>
      <c r="H485" s="19" t="s">
        <v>133</v>
      </c>
      <c r="I485" s="19">
        <v>3</v>
      </c>
      <c r="J485" s="21">
        <v>11615</v>
      </c>
      <c r="K485" s="21">
        <v>34845</v>
      </c>
      <c r="L485" s="21">
        <v>5226.75</v>
      </c>
      <c r="M485" s="15">
        <v>0.15</v>
      </c>
      <c r="N485" s="21">
        <f t="shared" si="14"/>
        <v>29618.25</v>
      </c>
      <c r="O485" s="21">
        <v>17391.55</v>
      </c>
      <c r="P485" s="21">
        <f t="shared" si="15"/>
        <v>12226.7</v>
      </c>
      <c r="Q485" s="19" t="s">
        <v>165</v>
      </c>
      <c r="R485" s="19">
        <v>2025</v>
      </c>
      <c r="S485" s="19">
        <v>4</v>
      </c>
    </row>
    <row r="486" spans="1:19" x14ac:dyDescent="0.3">
      <c r="A486" t="s">
        <v>544</v>
      </c>
      <c r="B486" s="2">
        <v>45764</v>
      </c>
      <c r="C486" t="s">
        <v>28</v>
      </c>
      <c r="D486" t="s">
        <v>29</v>
      </c>
      <c r="E486" t="s">
        <v>42</v>
      </c>
      <c r="F486" t="s">
        <v>40</v>
      </c>
      <c r="G486" t="s">
        <v>24</v>
      </c>
      <c r="H486" t="s">
        <v>25</v>
      </c>
      <c r="I486">
        <v>1</v>
      </c>
      <c r="J486" s="5">
        <v>60103</v>
      </c>
      <c r="K486" s="5">
        <v>60103</v>
      </c>
      <c r="L486" s="5">
        <v>0</v>
      </c>
      <c r="M486" s="12">
        <v>0</v>
      </c>
      <c r="N486" s="5">
        <f t="shared" si="14"/>
        <v>60103</v>
      </c>
      <c r="O486" s="5">
        <v>36812.29</v>
      </c>
      <c r="P486" s="5">
        <f t="shared" si="15"/>
        <v>23290.71</v>
      </c>
      <c r="Q486" t="s">
        <v>165</v>
      </c>
      <c r="R486">
        <v>2025</v>
      </c>
      <c r="S486">
        <v>4</v>
      </c>
    </row>
    <row r="487" spans="1:19" x14ac:dyDescent="0.3">
      <c r="A487" s="19" t="s">
        <v>545</v>
      </c>
      <c r="B487" s="20">
        <v>45765</v>
      </c>
      <c r="C487" s="19" t="s">
        <v>33</v>
      </c>
      <c r="D487" s="19" t="s">
        <v>34</v>
      </c>
      <c r="E487" s="19" t="s">
        <v>56</v>
      </c>
      <c r="F487" s="19" t="s">
        <v>40</v>
      </c>
      <c r="G487" s="19" t="s">
        <v>24</v>
      </c>
      <c r="H487" s="19" t="s">
        <v>25</v>
      </c>
      <c r="I487" s="19">
        <v>3</v>
      </c>
      <c r="J487" s="21">
        <v>39276</v>
      </c>
      <c r="K487" s="21">
        <v>117828</v>
      </c>
      <c r="L487" s="21">
        <v>0</v>
      </c>
      <c r="M487" s="15">
        <v>0</v>
      </c>
      <c r="N487" s="21">
        <f t="shared" si="14"/>
        <v>117828</v>
      </c>
      <c r="O487" s="21">
        <v>63303.31</v>
      </c>
      <c r="P487" s="21">
        <f t="shared" si="15"/>
        <v>54524.69</v>
      </c>
      <c r="Q487" s="19" t="s">
        <v>165</v>
      </c>
      <c r="R487" s="19">
        <v>2025</v>
      </c>
      <c r="S487" s="19">
        <v>4</v>
      </c>
    </row>
    <row r="488" spans="1:19" x14ac:dyDescent="0.3">
      <c r="A488" t="s">
        <v>546</v>
      </c>
      <c r="B488" s="2">
        <v>45765</v>
      </c>
      <c r="C488" t="s">
        <v>48</v>
      </c>
      <c r="D488" t="s">
        <v>34</v>
      </c>
      <c r="E488" t="s">
        <v>22</v>
      </c>
      <c r="F488" t="s">
        <v>40</v>
      </c>
      <c r="G488" t="s">
        <v>31</v>
      </c>
      <c r="H488" t="s">
        <v>25</v>
      </c>
      <c r="I488">
        <v>2</v>
      </c>
      <c r="J488" s="5">
        <v>25589</v>
      </c>
      <c r="K488" s="5">
        <v>51178</v>
      </c>
      <c r="L488" s="5">
        <v>0</v>
      </c>
      <c r="M488" s="12">
        <v>0</v>
      </c>
      <c r="N488" s="5">
        <f t="shared" si="14"/>
        <v>51178</v>
      </c>
      <c r="O488" s="5">
        <v>27891.22</v>
      </c>
      <c r="P488" s="5">
        <f t="shared" si="15"/>
        <v>23286.78</v>
      </c>
      <c r="Q488" t="s">
        <v>165</v>
      </c>
      <c r="R488">
        <v>2025</v>
      </c>
      <c r="S488">
        <v>4</v>
      </c>
    </row>
    <row r="489" spans="1:19" x14ac:dyDescent="0.3">
      <c r="A489" s="19" t="s">
        <v>547</v>
      </c>
      <c r="B489" s="20">
        <v>45766</v>
      </c>
      <c r="C489" s="19" t="s">
        <v>75</v>
      </c>
      <c r="D489" s="19" t="s">
        <v>34</v>
      </c>
      <c r="E489" s="19" t="s">
        <v>22</v>
      </c>
      <c r="F489" s="19" t="s">
        <v>23</v>
      </c>
      <c r="G489" s="19" t="s">
        <v>31</v>
      </c>
      <c r="H489" s="19" t="s">
        <v>133</v>
      </c>
      <c r="I489" s="19">
        <v>1</v>
      </c>
      <c r="J489" s="21">
        <v>38931</v>
      </c>
      <c r="K489" s="21">
        <v>38931</v>
      </c>
      <c r="L489" s="21">
        <v>1946.55</v>
      </c>
      <c r="M489" s="15">
        <v>0.05</v>
      </c>
      <c r="N489" s="21">
        <f t="shared" si="14"/>
        <v>36984.449999999997</v>
      </c>
      <c r="O489" s="21">
        <v>22910.73</v>
      </c>
      <c r="P489" s="21">
        <f t="shared" si="15"/>
        <v>14073.719999999998</v>
      </c>
      <c r="Q489" s="19" t="s">
        <v>165</v>
      </c>
      <c r="R489" s="19">
        <v>2025</v>
      </c>
      <c r="S489" s="19">
        <v>4</v>
      </c>
    </row>
    <row r="490" spans="1:19" x14ac:dyDescent="0.3">
      <c r="A490" t="s">
        <v>548</v>
      </c>
      <c r="B490" s="2">
        <v>45766</v>
      </c>
      <c r="C490" t="s">
        <v>71</v>
      </c>
      <c r="D490" t="s">
        <v>34</v>
      </c>
      <c r="E490" t="s">
        <v>42</v>
      </c>
      <c r="F490" t="s">
        <v>23</v>
      </c>
      <c r="G490" t="s">
        <v>24</v>
      </c>
      <c r="H490" t="s">
        <v>25</v>
      </c>
      <c r="I490">
        <v>1</v>
      </c>
      <c r="J490" s="5">
        <v>53988</v>
      </c>
      <c r="K490" s="5">
        <v>53988</v>
      </c>
      <c r="L490" s="5">
        <v>5398.8</v>
      </c>
      <c r="M490" s="12">
        <v>0.1</v>
      </c>
      <c r="N490" s="5">
        <f t="shared" si="14"/>
        <v>48589.2</v>
      </c>
      <c r="O490" s="5">
        <v>33763.879999999997</v>
      </c>
      <c r="P490" s="5">
        <f t="shared" si="15"/>
        <v>14825.32</v>
      </c>
      <c r="Q490" t="s">
        <v>165</v>
      </c>
      <c r="R490">
        <v>2025</v>
      </c>
      <c r="S490">
        <v>4</v>
      </c>
    </row>
    <row r="491" spans="1:19" x14ac:dyDescent="0.3">
      <c r="A491" s="19" t="s">
        <v>549</v>
      </c>
      <c r="B491" s="20">
        <v>45767</v>
      </c>
      <c r="C491" s="19" t="s">
        <v>20</v>
      </c>
      <c r="D491" s="19" t="s">
        <v>21</v>
      </c>
      <c r="E491" s="19" t="s">
        <v>44</v>
      </c>
      <c r="F491" s="19" t="s">
        <v>37</v>
      </c>
      <c r="G491" s="19" t="s">
        <v>31</v>
      </c>
      <c r="H491" s="19" t="s">
        <v>133</v>
      </c>
      <c r="I491" s="19">
        <v>2</v>
      </c>
      <c r="J491" s="21">
        <v>14045</v>
      </c>
      <c r="K491" s="21">
        <v>28090</v>
      </c>
      <c r="L491" s="21">
        <v>1404.5</v>
      </c>
      <c r="M491" s="15">
        <v>0.05</v>
      </c>
      <c r="N491" s="21">
        <f t="shared" si="14"/>
        <v>26685.5</v>
      </c>
      <c r="O491" s="21">
        <v>13961.54</v>
      </c>
      <c r="P491" s="21">
        <f t="shared" si="15"/>
        <v>12723.96</v>
      </c>
      <c r="Q491" s="19" t="s">
        <v>165</v>
      </c>
      <c r="R491" s="19">
        <v>2025</v>
      </c>
      <c r="S491" s="19">
        <v>4</v>
      </c>
    </row>
    <row r="492" spans="1:19" x14ac:dyDescent="0.3">
      <c r="A492" t="s">
        <v>550</v>
      </c>
      <c r="B492" s="2">
        <v>45767</v>
      </c>
      <c r="C492" t="s">
        <v>82</v>
      </c>
      <c r="D492" t="s">
        <v>21</v>
      </c>
      <c r="E492" t="s">
        <v>42</v>
      </c>
      <c r="F492" t="s">
        <v>30</v>
      </c>
      <c r="G492" t="s">
        <v>24</v>
      </c>
      <c r="H492" t="s">
        <v>25</v>
      </c>
      <c r="I492">
        <v>4</v>
      </c>
      <c r="J492" s="5">
        <v>42771</v>
      </c>
      <c r="K492" s="5">
        <v>171084</v>
      </c>
      <c r="L492" s="5">
        <v>0</v>
      </c>
      <c r="M492" s="12">
        <v>0</v>
      </c>
      <c r="N492" s="5">
        <f t="shared" si="14"/>
        <v>171084</v>
      </c>
      <c r="O492" s="5">
        <v>84566.92</v>
      </c>
      <c r="P492" s="5">
        <f t="shared" si="15"/>
        <v>86517.08</v>
      </c>
      <c r="Q492" t="s">
        <v>165</v>
      </c>
      <c r="R492">
        <v>2025</v>
      </c>
      <c r="S492">
        <v>4</v>
      </c>
    </row>
    <row r="493" spans="1:19" x14ac:dyDescent="0.3">
      <c r="A493" s="19" t="s">
        <v>551</v>
      </c>
      <c r="B493" s="20">
        <v>45767</v>
      </c>
      <c r="C493" s="19" t="s">
        <v>28</v>
      </c>
      <c r="D493" s="19" t="s">
        <v>29</v>
      </c>
      <c r="E493" s="19" t="s">
        <v>22</v>
      </c>
      <c r="F493" s="19" t="s">
        <v>23</v>
      </c>
      <c r="G493" s="19" t="s">
        <v>24</v>
      </c>
      <c r="H493" s="19" t="s">
        <v>25</v>
      </c>
      <c r="I493" s="19">
        <v>1</v>
      </c>
      <c r="J493" s="21">
        <v>62086</v>
      </c>
      <c r="K493" s="21">
        <v>62086</v>
      </c>
      <c r="L493" s="21">
        <v>9312.9</v>
      </c>
      <c r="M493" s="15">
        <v>0.15</v>
      </c>
      <c r="N493" s="21">
        <f t="shared" si="14"/>
        <v>52773.1</v>
      </c>
      <c r="O493" s="21">
        <v>40969.47</v>
      </c>
      <c r="P493" s="21">
        <f t="shared" si="15"/>
        <v>11803.629999999997</v>
      </c>
      <c r="Q493" s="19" t="s">
        <v>165</v>
      </c>
      <c r="R493" s="19">
        <v>2025</v>
      </c>
      <c r="S493" s="19">
        <v>4</v>
      </c>
    </row>
    <row r="494" spans="1:19" x14ac:dyDescent="0.3">
      <c r="A494" t="s">
        <v>552</v>
      </c>
      <c r="B494" s="2">
        <v>45768</v>
      </c>
      <c r="C494" t="s">
        <v>33</v>
      </c>
      <c r="D494" t="s">
        <v>34</v>
      </c>
      <c r="E494" t="s">
        <v>22</v>
      </c>
      <c r="F494" t="s">
        <v>40</v>
      </c>
      <c r="G494" t="s">
        <v>31</v>
      </c>
      <c r="H494" t="s">
        <v>25</v>
      </c>
      <c r="I494">
        <v>4</v>
      </c>
      <c r="J494" s="5">
        <v>41368</v>
      </c>
      <c r="K494" s="5">
        <v>165472</v>
      </c>
      <c r="L494" s="5">
        <v>0</v>
      </c>
      <c r="M494" s="12">
        <v>0</v>
      </c>
      <c r="N494" s="5">
        <f t="shared" si="14"/>
        <v>165472</v>
      </c>
      <c r="O494" s="5">
        <v>82081.47</v>
      </c>
      <c r="P494" s="5">
        <f t="shared" si="15"/>
        <v>83390.53</v>
      </c>
      <c r="Q494" t="s">
        <v>165</v>
      </c>
      <c r="R494">
        <v>2025</v>
      </c>
      <c r="S494">
        <v>4</v>
      </c>
    </row>
    <row r="495" spans="1:19" x14ac:dyDescent="0.3">
      <c r="A495" s="19" t="s">
        <v>553</v>
      </c>
      <c r="B495" s="20">
        <v>45768</v>
      </c>
      <c r="C495" s="19" t="s">
        <v>75</v>
      </c>
      <c r="D495" s="19" t="s">
        <v>34</v>
      </c>
      <c r="E495" s="19" t="s">
        <v>22</v>
      </c>
      <c r="F495" s="19" t="s">
        <v>35</v>
      </c>
      <c r="G495" s="19" t="s">
        <v>31</v>
      </c>
      <c r="H495" s="19" t="s">
        <v>133</v>
      </c>
      <c r="I495" s="19">
        <v>3</v>
      </c>
      <c r="J495" s="21">
        <v>35591</v>
      </c>
      <c r="K495" s="21">
        <v>106773</v>
      </c>
      <c r="L495" s="21">
        <v>5338.65</v>
      </c>
      <c r="M495" s="15">
        <v>0.05</v>
      </c>
      <c r="N495" s="21">
        <f t="shared" si="14"/>
        <v>101434.35</v>
      </c>
      <c r="O495" s="21">
        <v>55710.67</v>
      </c>
      <c r="P495" s="21">
        <f t="shared" si="15"/>
        <v>45723.680000000008</v>
      </c>
      <c r="Q495" s="19" t="s">
        <v>165</v>
      </c>
      <c r="R495" s="19">
        <v>2025</v>
      </c>
      <c r="S495" s="19">
        <v>4</v>
      </c>
    </row>
    <row r="496" spans="1:19" x14ac:dyDescent="0.3">
      <c r="A496" t="s">
        <v>554</v>
      </c>
      <c r="B496" s="2">
        <v>45769</v>
      </c>
      <c r="C496" t="s">
        <v>50</v>
      </c>
      <c r="D496" t="s">
        <v>34</v>
      </c>
      <c r="E496" t="s">
        <v>22</v>
      </c>
      <c r="F496" t="s">
        <v>40</v>
      </c>
      <c r="G496" t="s">
        <v>31</v>
      </c>
      <c r="H496" t="s">
        <v>25</v>
      </c>
      <c r="I496">
        <v>1</v>
      </c>
      <c r="J496" s="5">
        <v>17530</v>
      </c>
      <c r="K496" s="5">
        <v>17530</v>
      </c>
      <c r="L496" s="5">
        <v>0</v>
      </c>
      <c r="M496" s="12">
        <v>0</v>
      </c>
      <c r="N496" s="5">
        <f t="shared" si="14"/>
        <v>17530</v>
      </c>
      <c r="O496" s="5">
        <v>9521.08</v>
      </c>
      <c r="P496" s="5">
        <f t="shared" si="15"/>
        <v>8008.92</v>
      </c>
      <c r="Q496" t="s">
        <v>165</v>
      </c>
      <c r="R496">
        <v>2025</v>
      </c>
      <c r="S496">
        <v>4</v>
      </c>
    </row>
    <row r="497" spans="1:19" x14ac:dyDescent="0.3">
      <c r="A497" s="19" t="s">
        <v>555</v>
      </c>
      <c r="B497" s="20">
        <v>45773</v>
      </c>
      <c r="C497" s="19" t="s">
        <v>71</v>
      </c>
      <c r="D497" s="19" t="s">
        <v>34</v>
      </c>
      <c r="E497" s="19" t="s">
        <v>42</v>
      </c>
      <c r="F497" s="19" t="s">
        <v>40</v>
      </c>
      <c r="G497" s="19" t="s">
        <v>24</v>
      </c>
      <c r="H497" s="19" t="s">
        <v>25</v>
      </c>
      <c r="I497" s="19">
        <v>4</v>
      </c>
      <c r="J497" s="21">
        <v>48813</v>
      </c>
      <c r="K497" s="21">
        <v>195252</v>
      </c>
      <c r="L497" s="21">
        <v>0</v>
      </c>
      <c r="M497" s="15">
        <v>0</v>
      </c>
      <c r="N497" s="21">
        <f t="shared" si="14"/>
        <v>195252</v>
      </c>
      <c r="O497" s="21">
        <v>132056.13</v>
      </c>
      <c r="P497" s="21">
        <f t="shared" si="15"/>
        <v>63195.869999999995</v>
      </c>
      <c r="Q497" s="19" t="s">
        <v>165</v>
      </c>
      <c r="R497" s="19">
        <v>2025</v>
      </c>
      <c r="S497" s="19">
        <v>4</v>
      </c>
    </row>
    <row r="498" spans="1:19" x14ac:dyDescent="0.3">
      <c r="A498" t="s">
        <v>556</v>
      </c>
      <c r="B498" s="2">
        <v>45776</v>
      </c>
      <c r="C498" t="s">
        <v>48</v>
      </c>
      <c r="D498" t="s">
        <v>34</v>
      </c>
      <c r="E498" t="s">
        <v>42</v>
      </c>
      <c r="F498" t="s">
        <v>40</v>
      </c>
      <c r="G498" t="s">
        <v>31</v>
      </c>
      <c r="H498" t="s">
        <v>133</v>
      </c>
      <c r="I498">
        <v>2</v>
      </c>
      <c r="J498" s="5">
        <v>25805</v>
      </c>
      <c r="K498" s="5">
        <v>51610</v>
      </c>
      <c r="L498" s="5">
        <v>7741.5</v>
      </c>
      <c r="M498" s="12">
        <v>0.15</v>
      </c>
      <c r="N498" s="5">
        <f t="shared" si="14"/>
        <v>43868.5</v>
      </c>
      <c r="O498" s="5">
        <v>28395.57</v>
      </c>
      <c r="P498" s="5">
        <f t="shared" si="15"/>
        <v>15472.93</v>
      </c>
      <c r="Q498" t="s">
        <v>165</v>
      </c>
      <c r="R498">
        <v>2025</v>
      </c>
      <c r="S498">
        <v>4</v>
      </c>
    </row>
    <row r="499" spans="1:19" x14ac:dyDescent="0.3">
      <c r="A499" s="19" t="s">
        <v>557</v>
      </c>
      <c r="B499" s="20">
        <v>45776</v>
      </c>
      <c r="C499" s="19" t="s">
        <v>48</v>
      </c>
      <c r="D499" s="19" t="s">
        <v>34</v>
      </c>
      <c r="E499" s="19" t="s">
        <v>22</v>
      </c>
      <c r="F499" s="19" t="s">
        <v>35</v>
      </c>
      <c r="G499" s="19" t="s">
        <v>31</v>
      </c>
      <c r="H499" s="19" t="s">
        <v>133</v>
      </c>
      <c r="I499" s="19">
        <v>2</v>
      </c>
      <c r="J499" s="21">
        <v>25100</v>
      </c>
      <c r="K499" s="21">
        <v>50200</v>
      </c>
      <c r="L499" s="21">
        <v>7530</v>
      </c>
      <c r="M499" s="15">
        <v>0.15</v>
      </c>
      <c r="N499" s="21">
        <f t="shared" si="14"/>
        <v>42670</v>
      </c>
      <c r="O499" s="21">
        <v>32816.26</v>
      </c>
      <c r="P499" s="21">
        <f t="shared" si="15"/>
        <v>9853.739999999998</v>
      </c>
      <c r="Q499" s="19" t="s">
        <v>165</v>
      </c>
      <c r="R499" s="19">
        <v>2025</v>
      </c>
      <c r="S499" s="19">
        <v>4</v>
      </c>
    </row>
    <row r="500" spans="1:19" x14ac:dyDescent="0.3">
      <c r="A500" t="s">
        <v>558</v>
      </c>
      <c r="B500" s="2">
        <v>45779</v>
      </c>
      <c r="C500" t="s">
        <v>33</v>
      </c>
      <c r="D500" t="s">
        <v>34</v>
      </c>
      <c r="E500" t="s">
        <v>42</v>
      </c>
      <c r="F500" t="s">
        <v>40</v>
      </c>
      <c r="G500" t="s">
        <v>31</v>
      </c>
      <c r="H500" t="s">
        <v>25</v>
      </c>
      <c r="I500">
        <v>2</v>
      </c>
      <c r="J500" s="5">
        <v>41023</v>
      </c>
      <c r="K500" s="5">
        <v>82046</v>
      </c>
      <c r="L500" s="5">
        <v>8204.6</v>
      </c>
      <c r="M500" s="12">
        <v>0.1</v>
      </c>
      <c r="N500" s="5">
        <f t="shared" si="14"/>
        <v>73841.399999999994</v>
      </c>
      <c r="O500" s="5">
        <v>41271.54</v>
      </c>
      <c r="P500" s="5">
        <f t="shared" si="15"/>
        <v>32569.859999999993</v>
      </c>
      <c r="Q500" t="s">
        <v>201</v>
      </c>
      <c r="R500">
        <v>2025</v>
      </c>
      <c r="S500">
        <v>5</v>
      </c>
    </row>
    <row r="501" spans="1:19" x14ac:dyDescent="0.3">
      <c r="A501" s="19" t="s">
        <v>559</v>
      </c>
      <c r="B501" s="20">
        <v>45779</v>
      </c>
      <c r="C501" s="19" t="s">
        <v>28</v>
      </c>
      <c r="D501" s="19" t="s">
        <v>29</v>
      </c>
      <c r="E501" s="19" t="s">
        <v>44</v>
      </c>
      <c r="F501" s="19" t="s">
        <v>23</v>
      </c>
      <c r="G501" s="19" t="s">
        <v>31</v>
      </c>
      <c r="H501" s="19" t="s">
        <v>25</v>
      </c>
      <c r="I501" s="19">
        <v>2</v>
      </c>
      <c r="J501" s="21">
        <v>69589</v>
      </c>
      <c r="K501" s="21">
        <v>139178</v>
      </c>
      <c r="L501" s="21">
        <v>0</v>
      </c>
      <c r="M501" s="15">
        <v>0</v>
      </c>
      <c r="N501" s="21">
        <f t="shared" si="14"/>
        <v>139178</v>
      </c>
      <c r="O501" s="21">
        <v>81146.12</v>
      </c>
      <c r="P501" s="21">
        <f t="shared" si="15"/>
        <v>58031.880000000005</v>
      </c>
      <c r="Q501" s="19" t="s">
        <v>201</v>
      </c>
      <c r="R501" s="19">
        <v>2025</v>
      </c>
      <c r="S501" s="19">
        <v>5</v>
      </c>
    </row>
    <row r="502" spans="1:19" x14ac:dyDescent="0.3">
      <c r="A502" t="s">
        <v>560</v>
      </c>
      <c r="B502" s="2">
        <v>45780</v>
      </c>
      <c r="C502" t="s">
        <v>64</v>
      </c>
      <c r="D502" t="s">
        <v>29</v>
      </c>
      <c r="E502" t="s">
        <v>56</v>
      </c>
      <c r="F502" t="s">
        <v>40</v>
      </c>
      <c r="G502" t="s">
        <v>31</v>
      </c>
      <c r="H502" t="s">
        <v>25</v>
      </c>
      <c r="I502">
        <v>3</v>
      </c>
      <c r="J502" s="5">
        <v>31045</v>
      </c>
      <c r="K502" s="5">
        <v>93135</v>
      </c>
      <c r="L502" s="5">
        <v>0</v>
      </c>
      <c r="M502" s="12">
        <v>0</v>
      </c>
      <c r="N502" s="5">
        <f t="shared" si="14"/>
        <v>93135</v>
      </c>
      <c r="O502" s="5">
        <v>61501.54</v>
      </c>
      <c r="P502" s="5">
        <f t="shared" si="15"/>
        <v>31633.46</v>
      </c>
      <c r="Q502" t="s">
        <v>201</v>
      </c>
      <c r="R502">
        <v>2025</v>
      </c>
      <c r="S502">
        <v>5</v>
      </c>
    </row>
    <row r="503" spans="1:19" x14ac:dyDescent="0.3">
      <c r="A503" s="19" t="s">
        <v>561</v>
      </c>
      <c r="B503" s="20">
        <v>45780</v>
      </c>
      <c r="C503" s="19" t="s">
        <v>48</v>
      </c>
      <c r="D503" s="19" t="s">
        <v>34</v>
      </c>
      <c r="E503" s="19" t="s">
        <v>42</v>
      </c>
      <c r="F503" s="19" t="s">
        <v>37</v>
      </c>
      <c r="G503" s="19" t="s">
        <v>24</v>
      </c>
      <c r="H503" s="19" t="s">
        <v>25</v>
      </c>
      <c r="I503" s="19">
        <v>1</v>
      </c>
      <c r="J503" s="21">
        <v>26227</v>
      </c>
      <c r="K503" s="21">
        <v>26227</v>
      </c>
      <c r="L503" s="21">
        <v>0</v>
      </c>
      <c r="M503" s="15">
        <v>0</v>
      </c>
      <c r="N503" s="21">
        <f t="shared" si="14"/>
        <v>26227</v>
      </c>
      <c r="O503" s="21">
        <v>15455.98</v>
      </c>
      <c r="P503" s="21">
        <f t="shared" si="15"/>
        <v>10771.02</v>
      </c>
      <c r="Q503" s="19" t="s">
        <v>201</v>
      </c>
      <c r="R503" s="19">
        <v>2025</v>
      </c>
      <c r="S503" s="19">
        <v>5</v>
      </c>
    </row>
    <row r="504" spans="1:19" x14ac:dyDescent="0.3">
      <c r="A504" t="s">
        <v>562</v>
      </c>
      <c r="B504" s="2">
        <v>45781</v>
      </c>
      <c r="C504" t="s">
        <v>82</v>
      </c>
      <c r="D504" t="s">
        <v>21</v>
      </c>
      <c r="E504" t="s">
        <v>42</v>
      </c>
      <c r="F504" t="s">
        <v>23</v>
      </c>
      <c r="G504" t="s">
        <v>24</v>
      </c>
      <c r="H504" t="s">
        <v>25</v>
      </c>
      <c r="I504">
        <v>2</v>
      </c>
      <c r="J504" s="5">
        <v>45093</v>
      </c>
      <c r="K504" s="5">
        <v>90186</v>
      </c>
      <c r="L504" s="5">
        <v>0</v>
      </c>
      <c r="M504" s="12">
        <v>0</v>
      </c>
      <c r="N504" s="5">
        <f t="shared" si="14"/>
        <v>90186</v>
      </c>
      <c r="O504" s="5">
        <v>60157.17</v>
      </c>
      <c r="P504" s="5">
        <f t="shared" si="15"/>
        <v>30028.83</v>
      </c>
      <c r="Q504" t="s">
        <v>201</v>
      </c>
      <c r="R504">
        <v>2025</v>
      </c>
      <c r="S504">
        <v>5</v>
      </c>
    </row>
    <row r="505" spans="1:19" x14ac:dyDescent="0.3">
      <c r="A505" s="19" t="s">
        <v>563</v>
      </c>
      <c r="B505" s="20">
        <v>45782</v>
      </c>
      <c r="C505" s="19" t="s">
        <v>33</v>
      </c>
      <c r="D505" s="19" t="s">
        <v>34</v>
      </c>
      <c r="E505" s="19" t="s">
        <v>44</v>
      </c>
      <c r="F505" s="19" t="s">
        <v>40</v>
      </c>
      <c r="G505" s="19" t="s">
        <v>31</v>
      </c>
      <c r="H505" s="19" t="s">
        <v>25</v>
      </c>
      <c r="I505" s="19">
        <v>1</v>
      </c>
      <c r="J505" s="21">
        <v>39585</v>
      </c>
      <c r="K505" s="21">
        <v>39585</v>
      </c>
      <c r="L505" s="21">
        <v>0</v>
      </c>
      <c r="M505" s="15">
        <v>0</v>
      </c>
      <c r="N505" s="21">
        <f t="shared" si="14"/>
        <v>39585</v>
      </c>
      <c r="O505" s="21">
        <v>23419.55</v>
      </c>
      <c r="P505" s="21">
        <f t="shared" si="15"/>
        <v>16165.45</v>
      </c>
      <c r="Q505" s="19" t="s">
        <v>201</v>
      </c>
      <c r="R505" s="19">
        <v>2025</v>
      </c>
      <c r="S505" s="19">
        <v>5</v>
      </c>
    </row>
    <row r="506" spans="1:19" x14ac:dyDescent="0.3">
      <c r="A506" t="s">
        <v>564</v>
      </c>
      <c r="B506" s="2">
        <v>45783</v>
      </c>
      <c r="C506" t="s">
        <v>75</v>
      </c>
      <c r="D506" t="s">
        <v>34</v>
      </c>
      <c r="E506" t="s">
        <v>42</v>
      </c>
      <c r="F506" t="s">
        <v>23</v>
      </c>
      <c r="G506" t="s">
        <v>31</v>
      </c>
      <c r="H506" t="s">
        <v>25</v>
      </c>
      <c r="I506">
        <v>3</v>
      </c>
      <c r="J506" s="5">
        <v>36532</v>
      </c>
      <c r="K506" s="5">
        <v>109596</v>
      </c>
      <c r="L506" s="5">
        <v>0</v>
      </c>
      <c r="M506" s="12">
        <v>0</v>
      </c>
      <c r="N506" s="5">
        <f t="shared" si="14"/>
        <v>109596</v>
      </c>
      <c r="O506" s="5">
        <v>70013.919999999998</v>
      </c>
      <c r="P506" s="5">
        <f t="shared" si="15"/>
        <v>39582.080000000002</v>
      </c>
      <c r="Q506" t="s">
        <v>201</v>
      </c>
      <c r="R506">
        <v>2025</v>
      </c>
      <c r="S506">
        <v>5</v>
      </c>
    </row>
    <row r="507" spans="1:19" x14ac:dyDescent="0.3">
      <c r="A507" s="19" t="s">
        <v>565</v>
      </c>
      <c r="B507" s="20">
        <v>45784</v>
      </c>
      <c r="C507" s="19" t="s">
        <v>20</v>
      </c>
      <c r="D507" s="19" t="s">
        <v>21</v>
      </c>
      <c r="E507" s="19" t="s">
        <v>22</v>
      </c>
      <c r="F507" s="19" t="s">
        <v>35</v>
      </c>
      <c r="G507" s="19" t="s">
        <v>31</v>
      </c>
      <c r="H507" s="19" t="s">
        <v>25</v>
      </c>
      <c r="I507" s="19">
        <v>1</v>
      </c>
      <c r="J507" s="21">
        <v>15276</v>
      </c>
      <c r="K507" s="21">
        <v>15276</v>
      </c>
      <c r="L507" s="21">
        <v>0</v>
      </c>
      <c r="M507" s="15">
        <v>0</v>
      </c>
      <c r="N507" s="21">
        <f t="shared" si="14"/>
        <v>15276</v>
      </c>
      <c r="O507" s="21">
        <v>9299.74</v>
      </c>
      <c r="P507" s="21">
        <f t="shared" si="15"/>
        <v>5976.26</v>
      </c>
      <c r="Q507" s="19" t="s">
        <v>201</v>
      </c>
      <c r="R507" s="19">
        <v>2025</v>
      </c>
      <c r="S507" s="19">
        <v>5</v>
      </c>
    </row>
    <row r="508" spans="1:19" x14ac:dyDescent="0.3">
      <c r="A508" t="s">
        <v>566</v>
      </c>
      <c r="B508" s="2">
        <v>45784</v>
      </c>
      <c r="C508" t="s">
        <v>64</v>
      </c>
      <c r="D508" t="s">
        <v>29</v>
      </c>
      <c r="E508" t="s">
        <v>44</v>
      </c>
      <c r="F508" t="s">
        <v>23</v>
      </c>
      <c r="G508" t="s">
        <v>24</v>
      </c>
      <c r="H508" t="s">
        <v>25</v>
      </c>
      <c r="I508">
        <v>1</v>
      </c>
      <c r="J508" s="5">
        <v>32058</v>
      </c>
      <c r="K508" s="5">
        <v>32058</v>
      </c>
      <c r="L508" s="5">
        <v>0</v>
      </c>
      <c r="M508" s="12">
        <v>0</v>
      </c>
      <c r="N508" s="5">
        <f t="shared" si="14"/>
        <v>32058</v>
      </c>
      <c r="O508" s="5">
        <v>17942.27</v>
      </c>
      <c r="P508" s="5">
        <f t="shared" si="15"/>
        <v>14115.73</v>
      </c>
      <c r="Q508" t="s">
        <v>201</v>
      </c>
      <c r="R508">
        <v>2025</v>
      </c>
      <c r="S508">
        <v>5</v>
      </c>
    </row>
    <row r="509" spans="1:19" x14ac:dyDescent="0.3">
      <c r="A509" s="19" t="s">
        <v>567</v>
      </c>
      <c r="B509" s="20">
        <v>45785</v>
      </c>
      <c r="C509" s="19" t="s">
        <v>48</v>
      </c>
      <c r="D509" s="19" t="s">
        <v>34</v>
      </c>
      <c r="E509" s="19" t="s">
        <v>42</v>
      </c>
      <c r="F509" s="19" t="s">
        <v>40</v>
      </c>
      <c r="G509" s="19" t="s">
        <v>31</v>
      </c>
      <c r="H509" s="19" t="s">
        <v>25</v>
      </c>
      <c r="I509" s="19">
        <v>2</v>
      </c>
      <c r="J509" s="21">
        <v>23193</v>
      </c>
      <c r="K509" s="21">
        <v>46386</v>
      </c>
      <c r="L509" s="21">
        <v>0</v>
      </c>
      <c r="M509" s="15">
        <v>0</v>
      </c>
      <c r="N509" s="21">
        <f t="shared" si="14"/>
        <v>46386</v>
      </c>
      <c r="O509" s="21">
        <v>27833.29</v>
      </c>
      <c r="P509" s="21">
        <f t="shared" si="15"/>
        <v>18552.71</v>
      </c>
      <c r="Q509" s="19" t="s">
        <v>201</v>
      </c>
      <c r="R509" s="19">
        <v>2025</v>
      </c>
      <c r="S509" s="19">
        <v>5</v>
      </c>
    </row>
    <row r="510" spans="1:19" x14ac:dyDescent="0.3">
      <c r="A510" t="s">
        <v>568</v>
      </c>
      <c r="B510" s="2">
        <v>45788</v>
      </c>
      <c r="C510" t="s">
        <v>71</v>
      </c>
      <c r="D510" t="s">
        <v>34</v>
      </c>
      <c r="E510" t="s">
        <v>42</v>
      </c>
      <c r="F510" t="s">
        <v>37</v>
      </c>
      <c r="G510" t="s">
        <v>31</v>
      </c>
      <c r="H510" t="s">
        <v>25</v>
      </c>
      <c r="I510">
        <v>3</v>
      </c>
      <c r="J510" s="5">
        <v>49549</v>
      </c>
      <c r="K510" s="5">
        <v>148647</v>
      </c>
      <c r="L510" s="5">
        <v>0</v>
      </c>
      <c r="M510" s="12">
        <v>0</v>
      </c>
      <c r="N510" s="5">
        <f t="shared" si="14"/>
        <v>148647</v>
      </c>
      <c r="O510" s="5">
        <v>79872.77</v>
      </c>
      <c r="P510" s="5">
        <f t="shared" si="15"/>
        <v>68774.23</v>
      </c>
      <c r="Q510" t="s">
        <v>201</v>
      </c>
      <c r="R510">
        <v>2025</v>
      </c>
      <c r="S510">
        <v>5</v>
      </c>
    </row>
    <row r="511" spans="1:19" x14ac:dyDescent="0.3">
      <c r="A511" s="19" t="s">
        <v>569</v>
      </c>
      <c r="B511" s="20">
        <v>45788</v>
      </c>
      <c r="C511" s="19" t="s">
        <v>20</v>
      </c>
      <c r="D511" s="19" t="s">
        <v>21</v>
      </c>
      <c r="E511" s="19" t="s">
        <v>22</v>
      </c>
      <c r="F511" s="19" t="s">
        <v>37</v>
      </c>
      <c r="G511" s="19" t="s">
        <v>24</v>
      </c>
      <c r="H511" s="19" t="s">
        <v>25</v>
      </c>
      <c r="I511" s="19">
        <v>3</v>
      </c>
      <c r="J511" s="21">
        <v>13845</v>
      </c>
      <c r="K511" s="21">
        <v>41535</v>
      </c>
      <c r="L511" s="21">
        <v>0</v>
      </c>
      <c r="M511" s="15">
        <v>0</v>
      </c>
      <c r="N511" s="21">
        <f t="shared" si="14"/>
        <v>41535</v>
      </c>
      <c r="O511" s="21">
        <v>25001.56</v>
      </c>
      <c r="P511" s="21">
        <f t="shared" si="15"/>
        <v>16533.439999999999</v>
      </c>
      <c r="Q511" s="19" t="s">
        <v>201</v>
      </c>
      <c r="R511" s="19">
        <v>2025</v>
      </c>
      <c r="S511" s="19">
        <v>5</v>
      </c>
    </row>
    <row r="512" spans="1:19" x14ac:dyDescent="0.3">
      <c r="A512" t="s">
        <v>570</v>
      </c>
      <c r="B512" s="2">
        <v>45788</v>
      </c>
      <c r="C512" t="s">
        <v>82</v>
      </c>
      <c r="D512" t="s">
        <v>21</v>
      </c>
      <c r="E512" t="s">
        <v>22</v>
      </c>
      <c r="F512" t="s">
        <v>23</v>
      </c>
      <c r="G512" t="s">
        <v>31</v>
      </c>
      <c r="H512" t="s">
        <v>25</v>
      </c>
      <c r="I512">
        <v>1</v>
      </c>
      <c r="J512" s="5">
        <v>43655</v>
      </c>
      <c r="K512" s="5">
        <v>43655</v>
      </c>
      <c r="L512" s="5">
        <v>0</v>
      </c>
      <c r="M512" s="12">
        <v>0</v>
      </c>
      <c r="N512" s="5">
        <f t="shared" si="14"/>
        <v>43655</v>
      </c>
      <c r="O512" s="5">
        <v>24431.79</v>
      </c>
      <c r="P512" s="5">
        <f t="shared" si="15"/>
        <v>19223.21</v>
      </c>
      <c r="Q512" t="s">
        <v>201</v>
      </c>
      <c r="R512">
        <v>2025</v>
      </c>
      <c r="S512">
        <v>5</v>
      </c>
    </row>
    <row r="513" spans="1:19" x14ac:dyDescent="0.3">
      <c r="A513" s="19" t="s">
        <v>571</v>
      </c>
      <c r="B513" s="20">
        <v>45790</v>
      </c>
      <c r="C513" s="19" t="s">
        <v>48</v>
      </c>
      <c r="D513" s="19" t="s">
        <v>34</v>
      </c>
      <c r="E513" s="19" t="s">
        <v>42</v>
      </c>
      <c r="F513" s="19" t="s">
        <v>35</v>
      </c>
      <c r="G513" s="19" t="s">
        <v>24</v>
      </c>
      <c r="H513" s="19" t="s">
        <v>25</v>
      </c>
      <c r="I513" s="19">
        <v>2</v>
      </c>
      <c r="J513" s="21">
        <v>26140</v>
      </c>
      <c r="K513" s="21">
        <v>52280</v>
      </c>
      <c r="L513" s="21">
        <v>0</v>
      </c>
      <c r="M513" s="15">
        <v>0</v>
      </c>
      <c r="N513" s="21">
        <f t="shared" si="14"/>
        <v>52280</v>
      </c>
      <c r="O513" s="21">
        <v>33670.97</v>
      </c>
      <c r="P513" s="21">
        <f t="shared" si="15"/>
        <v>18609.03</v>
      </c>
      <c r="Q513" s="19" t="s">
        <v>201</v>
      </c>
      <c r="R513" s="19">
        <v>2025</v>
      </c>
      <c r="S513" s="19">
        <v>5</v>
      </c>
    </row>
    <row r="514" spans="1:19" x14ac:dyDescent="0.3">
      <c r="A514" t="s">
        <v>572</v>
      </c>
      <c r="B514" s="2">
        <v>45791</v>
      </c>
      <c r="C514" t="s">
        <v>48</v>
      </c>
      <c r="D514" t="s">
        <v>34</v>
      </c>
      <c r="E514" t="s">
        <v>22</v>
      </c>
      <c r="F514" t="s">
        <v>35</v>
      </c>
      <c r="G514" t="s">
        <v>31</v>
      </c>
      <c r="H514" t="s">
        <v>25</v>
      </c>
      <c r="I514">
        <v>3</v>
      </c>
      <c r="J514" s="5">
        <v>24545</v>
      </c>
      <c r="K514" s="5">
        <v>73635</v>
      </c>
      <c r="L514" s="5">
        <v>11045.25</v>
      </c>
      <c r="M514" s="12">
        <v>0.15</v>
      </c>
      <c r="N514" s="5">
        <f t="shared" si="14"/>
        <v>62589.75</v>
      </c>
      <c r="O514" s="5">
        <v>39993.129999999997</v>
      </c>
      <c r="P514" s="5">
        <f t="shared" si="15"/>
        <v>22596.620000000003</v>
      </c>
      <c r="Q514" t="s">
        <v>201</v>
      </c>
      <c r="R514">
        <v>2025</v>
      </c>
      <c r="S514">
        <v>5</v>
      </c>
    </row>
    <row r="515" spans="1:19" x14ac:dyDescent="0.3">
      <c r="A515" s="19" t="s">
        <v>573</v>
      </c>
      <c r="B515" s="20">
        <v>45793</v>
      </c>
      <c r="C515" s="19" t="s">
        <v>33</v>
      </c>
      <c r="D515" s="19" t="s">
        <v>34</v>
      </c>
      <c r="E515" s="19" t="s">
        <v>44</v>
      </c>
      <c r="F515" s="19" t="s">
        <v>23</v>
      </c>
      <c r="G515" s="19" t="s">
        <v>31</v>
      </c>
      <c r="H515" s="19" t="s">
        <v>25</v>
      </c>
      <c r="I515" s="19">
        <v>1</v>
      </c>
      <c r="J515" s="21">
        <v>42402</v>
      </c>
      <c r="K515" s="21">
        <v>42402</v>
      </c>
      <c r="L515" s="21">
        <v>0</v>
      </c>
      <c r="M515" s="15">
        <v>0</v>
      </c>
      <c r="N515" s="21">
        <f t="shared" ref="N515:N578" si="16">K515-L515</f>
        <v>42402</v>
      </c>
      <c r="O515" s="21">
        <v>26618.32</v>
      </c>
      <c r="P515" s="21">
        <f t="shared" si="15"/>
        <v>15783.68</v>
      </c>
      <c r="Q515" s="19" t="s">
        <v>201</v>
      </c>
      <c r="R515" s="19">
        <v>2025</v>
      </c>
      <c r="S515" s="19">
        <v>5</v>
      </c>
    </row>
    <row r="516" spans="1:19" x14ac:dyDescent="0.3">
      <c r="A516" t="s">
        <v>574</v>
      </c>
      <c r="B516" s="2">
        <v>45793</v>
      </c>
      <c r="C516" t="s">
        <v>20</v>
      </c>
      <c r="D516" t="s">
        <v>21</v>
      </c>
      <c r="E516" t="s">
        <v>42</v>
      </c>
      <c r="F516" t="s">
        <v>40</v>
      </c>
      <c r="G516" t="s">
        <v>24</v>
      </c>
      <c r="H516" t="s">
        <v>25</v>
      </c>
      <c r="I516">
        <v>2</v>
      </c>
      <c r="J516" s="5">
        <v>15319</v>
      </c>
      <c r="K516" s="5">
        <v>30638</v>
      </c>
      <c r="L516" s="5">
        <v>4595.7</v>
      </c>
      <c r="M516" s="12">
        <v>0.15</v>
      </c>
      <c r="N516" s="5">
        <f t="shared" si="16"/>
        <v>26042.3</v>
      </c>
      <c r="O516" s="5">
        <v>18528.29</v>
      </c>
      <c r="P516" s="5">
        <f t="shared" ref="P516:P579" si="17">N516-O516</f>
        <v>7514.0099999999984</v>
      </c>
      <c r="Q516" t="s">
        <v>201</v>
      </c>
      <c r="R516">
        <v>2025</v>
      </c>
      <c r="S516">
        <v>5</v>
      </c>
    </row>
    <row r="517" spans="1:19" x14ac:dyDescent="0.3">
      <c r="A517" s="19" t="s">
        <v>575</v>
      </c>
      <c r="B517" s="20">
        <v>45794</v>
      </c>
      <c r="C517" s="19" t="s">
        <v>33</v>
      </c>
      <c r="D517" s="19" t="s">
        <v>34</v>
      </c>
      <c r="E517" s="19" t="s">
        <v>22</v>
      </c>
      <c r="F517" s="19" t="s">
        <v>35</v>
      </c>
      <c r="G517" s="19" t="s">
        <v>24</v>
      </c>
      <c r="H517" s="19" t="s">
        <v>25</v>
      </c>
      <c r="I517" s="19">
        <v>1</v>
      </c>
      <c r="J517" s="21">
        <v>39085</v>
      </c>
      <c r="K517" s="21">
        <v>39085</v>
      </c>
      <c r="L517" s="21">
        <v>0</v>
      </c>
      <c r="M517" s="15">
        <v>0</v>
      </c>
      <c r="N517" s="21">
        <f t="shared" si="16"/>
        <v>39085</v>
      </c>
      <c r="O517" s="21">
        <v>21908.799999999999</v>
      </c>
      <c r="P517" s="21">
        <f t="shared" si="17"/>
        <v>17176.2</v>
      </c>
      <c r="Q517" s="19" t="s">
        <v>201</v>
      </c>
      <c r="R517" s="19">
        <v>2025</v>
      </c>
      <c r="S517" s="19">
        <v>5</v>
      </c>
    </row>
    <row r="518" spans="1:19" x14ac:dyDescent="0.3">
      <c r="A518" t="s">
        <v>576</v>
      </c>
      <c r="B518" s="2">
        <v>45794</v>
      </c>
      <c r="C518" t="s">
        <v>28</v>
      </c>
      <c r="D518" t="s">
        <v>29</v>
      </c>
      <c r="E518" t="s">
        <v>22</v>
      </c>
      <c r="F518" t="s">
        <v>23</v>
      </c>
      <c r="G518" t="s">
        <v>31</v>
      </c>
      <c r="H518" t="s">
        <v>25</v>
      </c>
      <c r="I518">
        <v>3</v>
      </c>
      <c r="J518" s="5">
        <v>68711</v>
      </c>
      <c r="K518" s="5">
        <v>206133</v>
      </c>
      <c r="L518" s="5">
        <v>0</v>
      </c>
      <c r="M518" s="12">
        <v>0</v>
      </c>
      <c r="N518" s="5">
        <f t="shared" si="16"/>
        <v>206133</v>
      </c>
      <c r="O518" s="5">
        <v>129440.41</v>
      </c>
      <c r="P518" s="5">
        <f t="shared" si="17"/>
        <v>76692.59</v>
      </c>
      <c r="Q518" t="s">
        <v>201</v>
      </c>
      <c r="R518">
        <v>2025</v>
      </c>
      <c r="S518">
        <v>5</v>
      </c>
    </row>
    <row r="519" spans="1:19" x14ac:dyDescent="0.3">
      <c r="A519" s="19" t="s">
        <v>577</v>
      </c>
      <c r="B519" s="20">
        <v>45794</v>
      </c>
      <c r="C519" s="19" t="s">
        <v>28</v>
      </c>
      <c r="D519" s="19" t="s">
        <v>29</v>
      </c>
      <c r="E519" s="19" t="s">
        <v>42</v>
      </c>
      <c r="F519" s="19" t="s">
        <v>37</v>
      </c>
      <c r="G519" s="19" t="s">
        <v>31</v>
      </c>
      <c r="H519" s="19" t="s">
        <v>25</v>
      </c>
      <c r="I519" s="19">
        <v>3</v>
      </c>
      <c r="J519" s="21">
        <v>62467</v>
      </c>
      <c r="K519" s="21">
        <v>187401</v>
      </c>
      <c r="L519" s="21">
        <v>0</v>
      </c>
      <c r="M519" s="15">
        <v>0</v>
      </c>
      <c r="N519" s="21">
        <f t="shared" si="16"/>
        <v>187401</v>
      </c>
      <c r="O519" s="21">
        <v>97377.22</v>
      </c>
      <c r="P519" s="21">
        <f t="shared" si="17"/>
        <v>90023.78</v>
      </c>
      <c r="Q519" s="19" t="s">
        <v>201</v>
      </c>
      <c r="R519" s="19">
        <v>2025</v>
      </c>
      <c r="S519" s="19">
        <v>5</v>
      </c>
    </row>
    <row r="520" spans="1:19" x14ac:dyDescent="0.3">
      <c r="A520" t="s">
        <v>578</v>
      </c>
      <c r="B520" s="2">
        <v>45795</v>
      </c>
      <c r="C520" t="s">
        <v>33</v>
      </c>
      <c r="D520" t="s">
        <v>34</v>
      </c>
      <c r="E520" t="s">
        <v>44</v>
      </c>
      <c r="F520" t="s">
        <v>30</v>
      </c>
      <c r="G520" t="s">
        <v>24</v>
      </c>
      <c r="H520" t="s">
        <v>25</v>
      </c>
      <c r="I520">
        <v>1</v>
      </c>
      <c r="J520" s="5">
        <v>42109</v>
      </c>
      <c r="K520" s="5">
        <v>42109</v>
      </c>
      <c r="L520" s="5">
        <v>0</v>
      </c>
      <c r="M520" s="12">
        <v>0</v>
      </c>
      <c r="N520" s="5">
        <f t="shared" si="16"/>
        <v>42109</v>
      </c>
      <c r="O520" s="5">
        <v>27974.92</v>
      </c>
      <c r="P520" s="5">
        <f t="shared" si="17"/>
        <v>14134.080000000002</v>
      </c>
      <c r="Q520" t="s">
        <v>201</v>
      </c>
      <c r="R520">
        <v>2025</v>
      </c>
      <c r="S520">
        <v>5</v>
      </c>
    </row>
    <row r="521" spans="1:19" x14ac:dyDescent="0.3">
      <c r="A521" s="19" t="s">
        <v>579</v>
      </c>
      <c r="B521" s="20">
        <v>45796</v>
      </c>
      <c r="C521" s="19" t="s">
        <v>50</v>
      </c>
      <c r="D521" s="19" t="s">
        <v>34</v>
      </c>
      <c r="E521" s="19" t="s">
        <v>22</v>
      </c>
      <c r="F521" s="19" t="s">
        <v>40</v>
      </c>
      <c r="G521" s="19" t="s">
        <v>31</v>
      </c>
      <c r="H521" s="19" t="s">
        <v>25</v>
      </c>
      <c r="I521" s="19">
        <v>4</v>
      </c>
      <c r="J521" s="21">
        <v>18748</v>
      </c>
      <c r="K521" s="21">
        <v>74992</v>
      </c>
      <c r="L521" s="21">
        <v>0</v>
      </c>
      <c r="M521" s="15">
        <v>0</v>
      </c>
      <c r="N521" s="21">
        <f t="shared" si="16"/>
        <v>74992</v>
      </c>
      <c r="O521" s="21">
        <v>48650.74</v>
      </c>
      <c r="P521" s="21">
        <f t="shared" si="17"/>
        <v>26341.260000000002</v>
      </c>
      <c r="Q521" s="19" t="s">
        <v>201</v>
      </c>
      <c r="R521" s="19">
        <v>2025</v>
      </c>
      <c r="S521" s="19">
        <v>5</v>
      </c>
    </row>
    <row r="522" spans="1:19" x14ac:dyDescent="0.3">
      <c r="A522" t="s">
        <v>580</v>
      </c>
      <c r="B522" s="2">
        <v>45797</v>
      </c>
      <c r="C522" t="s">
        <v>75</v>
      </c>
      <c r="D522" t="s">
        <v>34</v>
      </c>
      <c r="E522" t="s">
        <v>22</v>
      </c>
      <c r="F522" t="s">
        <v>30</v>
      </c>
      <c r="G522" t="s">
        <v>24</v>
      </c>
      <c r="H522" t="s">
        <v>25</v>
      </c>
      <c r="I522">
        <v>4</v>
      </c>
      <c r="J522" s="5">
        <v>37060</v>
      </c>
      <c r="K522" s="5">
        <v>148240</v>
      </c>
      <c r="L522" s="5">
        <v>0</v>
      </c>
      <c r="M522" s="12">
        <v>0</v>
      </c>
      <c r="N522" s="5">
        <f t="shared" si="16"/>
        <v>148240</v>
      </c>
      <c r="O522" s="5">
        <v>83742.59</v>
      </c>
      <c r="P522" s="5">
        <f t="shared" si="17"/>
        <v>64497.41</v>
      </c>
      <c r="Q522" t="s">
        <v>201</v>
      </c>
      <c r="R522">
        <v>2025</v>
      </c>
      <c r="S522">
        <v>5</v>
      </c>
    </row>
    <row r="523" spans="1:19" x14ac:dyDescent="0.3">
      <c r="A523" s="19" t="s">
        <v>581</v>
      </c>
      <c r="B523" s="20">
        <v>45800</v>
      </c>
      <c r="C523" s="19" t="s">
        <v>20</v>
      </c>
      <c r="D523" s="19" t="s">
        <v>21</v>
      </c>
      <c r="E523" s="19" t="s">
        <v>56</v>
      </c>
      <c r="F523" s="19" t="s">
        <v>23</v>
      </c>
      <c r="G523" s="19" t="s">
        <v>24</v>
      </c>
      <c r="H523" s="19" t="s">
        <v>25</v>
      </c>
      <c r="I523" s="19">
        <v>1</v>
      </c>
      <c r="J523" s="21">
        <v>15673</v>
      </c>
      <c r="K523" s="21">
        <v>15673</v>
      </c>
      <c r="L523" s="21">
        <v>0</v>
      </c>
      <c r="M523" s="15">
        <v>0</v>
      </c>
      <c r="N523" s="21">
        <f t="shared" si="16"/>
        <v>15673</v>
      </c>
      <c r="O523" s="21">
        <v>10101.61</v>
      </c>
      <c r="P523" s="21">
        <f t="shared" si="17"/>
        <v>5571.3899999999994</v>
      </c>
      <c r="Q523" s="19" t="s">
        <v>201</v>
      </c>
      <c r="R523" s="19">
        <v>2025</v>
      </c>
      <c r="S523" s="19">
        <v>5</v>
      </c>
    </row>
    <row r="524" spans="1:19" x14ac:dyDescent="0.3">
      <c r="A524" t="s">
        <v>582</v>
      </c>
      <c r="B524" s="2">
        <v>45801</v>
      </c>
      <c r="C524" t="s">
        <v>46</v>
      </c>
      <c r="D524" t="s">
        <v>21</v>
      </c>
      <c r="E524" t="s">
        <v>22</v>
      </c>
      <c r="F524" t="s">
        <v>35</v>
      </c>
      <c r="G524" t="s">
        <v>31</v>
      </c>
      <c r="H524" t="s">
        <v>25</v>
      </c>
      <c r="I524">
        <v>1</v>
      </c>
      <c r="J524" s="5">
        <v>11547</v>
      </c>
      <c r="K524" s="5">
        <v>11547</v>
      </c>
      <c r="L524" s="5">
        <v>0</v>
      </c>
      <c r="M524" s="12">
        <v>0</v>
      </c>
      <c r="N524" s="5">
        <f t="shared" si="16"/>
        <v>11547</v>
      </c>
      <c r="O524" s="5">
        <v>6658.09</v>
      </c>
      <c r="P524" s="5">
        <f t="shared" si="17"/>
        <v>4888.91</v>
      </c>
      <c r="Q524" t="s">
        <v>201</v>
      </c>
      <c r="R524">
        <v>2025</v>
      </c>
      <c r="S524">
        <v>5</v>
      </c>
    </row>
    <row r="525" spans="1:19" x14ac:dyDescent="0.3">
      <c r="A525" s="19" t="s">
        <v>583</v>
      </c>
      <c r="B525" s="20">
        <v>45802</v>
      </c>
      <c r="C525" s="19" t="s">
        <v>71</v>
      </c>
      <c r="D525" s="19" t="s">
        <v>34</v>
      </c>
      <c r="E525" s="19" t="s">
        <v>56</v>
      </c>
      <c r="F525" s="19" t="s">
        <v>40</v>
      </c>
      <c r="G525" s="19" t="s">
        <v>31</v>
      </c>
      <c r="H525" s="19" t="s">
        <v>25</v>
      </c>
      <c r="I525" s="19">
        <v>5</v>
      </c>
      <c r="J525" s="21">
        <v>49557</v>
      </c>
      <c r="K525" s="21">
        <v>247785</v>
      </c>
      <c r="L525" s="21">
        <v>0</v>
      </c>
      <c r="M525" s="15">
        <v>0</v>
      </c>
      <c r="N525" s="21">
        <f t="shared" si="16"/>
        <v>247785</v>
      </c>
      <c r="O525" s="21">
        <v>167668.22</v>
      </c>
      <c r="P525" s="21">
        <f t="shared" si="17"/>
        <v>80116.78</v>
      </c>
      <c r="Q525" s="19" t="s">
        <v>201</v>
      </c>
      <c r="R525" s="19">
        <v>2025</v>
      </c>
      <c r="S525" s="19">
        <v>5</v>
      </c>
    </row>
    <row r="526" spans="1:19" x14ac:dyDescent="0.3">
      <c r="A526" t="s">
        <v>584</v>
      </c>
      <c r="B526" s="2">
        <v>45802</v>
      </c>
      <c r="C526" t="s">
        <v>20</v>
      </c>
      <c r="D526" t="s">
        <v>21</v>
      </c>
      <c r="E526" t="s">
        <v>56</v>
      </c>
      <c r="F526" t="s">
        <v>40</v>
      </c>
      <c r="G526" t="s">
        <v>31</v>
      </c>
      <c r="H526" t="s">
        <v>25</v>
      </c>
      <c r="I526">
        <v>5</v>
      </c>
      <c r="J526" s="5">
        <v>15033</v>
      </c>
      <c r="K526" s="5">
        <v>75165</v>
      </c>
      <c r="L526" s="5">
        <v>3758.25</v>
      </c>
      <c r="M526" s="12">
        <v>0.05</v>
      </c>
      <c r="N526" s="5">
        <f t="shared" si="16"/>
        <v>71406.75</v>
      </c>
      <c r="O526" s="5">
        <v>36521.089999999997</v>
      </c>
      <c r="P526" s="5">
        <f t="shared" si="17"/>
        <v>34885.660000000003</v>
      </c>
      <c r="Q526" t="s">
        <v>201</v>
      </c>
      <c r="R526">
        <v>2025</v>
      </c>
      <c r="S526">
        <v>5</v>
      </c>
    </row>
    <row r="527" spans="1:19" x14ac:dyDescent="0.3">
      <c r="A527" s="19" t="s">
        <v>585</v>
      </c>
      <c r="B527" s="20">
        <v>45802</v>
      </c>
      <c r="C527" s="19" t="s">
        <v>71</v>
      </c>
      <c r="D527" s="19" t="s">
        <v>34</v>
      </c>
      <c r="E527" s="19" t="s">
        <v>44</v>
      </c>
      <c r="F527" s="19" t="s">
        <v>40</v>
      </c>
      <c r="G527" s="19" t="s">
        <v>31</v>
      </c>
      <c r="H527" s="19" t="s">
        <v>25</v>
      </c>
      <c r="I527" s="19">
        <v>2</v>
      </c>
      <c r="J527" s="21">
        <v>51326</v>
      </c>
      <c r="K527" s="21">
        <v>102652</v>
      </c>
      <c r="L527" s="21">
        <v>0</v>
      </c>
      <c r="M527" s="15">
        <v>0</v>
      </c>
      <c r="N527" s="21">
        <f t="shared" si="16"/>
        <v>102652</v>
      </c>
      <c r="O527" s="21">
        <v>53811.65</v>
      </c>
      <c r="P527" s="21">
        <f t="shared" si="17"/>
        <v>48840.35</v>
      </c>
      <c r="Q527" s="19" t="s">
        <v>201</v>
      </c>
      <c r="R527" s="19">
        <v>2025</v>
      </c>
      <c r="S527" s="19">
        <v>5</v>
      </c>
    </row>
    <row r="528" spans="1:19" x14ac:dyDescent="0.3">
      <c r="A528" t="s">
        <v>586</v>
      </c>
      <c r="B528" s="2">
        <v>45803</v>
      </c>
      <c r="C528" t="s">
        <v>82</v>
      </c>
      <c r="D528" t="s">
        <v>21</v>
      </c>
      <c r="E528" t="s">
        <v>42</v>
      </c>
      <c r="F528" t="s">
        <v>23</v>
      </c>
      <c r="G528" t="s">
        <v>31</v>
      </c>
      <c r="H528" t="s">
        <v>25</v>
      </c>
      <c r="I528">
        <v>1</v>
      </c>
      <c r="J528" s="5">
        <v>42063</v>
      </c>
      <c r="K528" s="5">
        <v>42063</v>
      </c>
      <c r="L528" s="5">
        <v>0</v>
      </c>
      <c r="M528" s="12">
        <v>0</v>
      </c>
      <c r="N528" s="5">
        <f t="shared" si="16"/>
        <v>42063</v>
      </c>
      <c r="O528" s="5">
        <v>22093.8</v>
      </c>
      <c r="P528" s="5">
        <f t="shared" si="17"/>
        <v>19969.2</v>
      </c>
      <c r="Q528" t="s">
        <v>201</v>
      </c>
      <c r="R528">
        <v>2025</v>
      </c>
      <c r="S528">
        <v>5</v>
      </c>
    </row>
    <row r="529" spans="1:19" x14ac:dyDescent="0.3">
      <c r="A529" s="19" t="s">
        <v>587</v>
      </c>
      <c r="B529" s="20">
        <v>45804</v>
      </c>
      <c r="C529" s="19" t="s">
        <v>20</v>
      </c>
      <c r="D529" s="19" t="s">
        <v>21</v>
      </c>
      <c r="E529" s="19" t="s">
        <v>22</v>
      </c>
      <c r="F529" s="19" t="s">
        <v>40</v>
      </c>
      <c r="G529" s="19" t="s">
        <v>24</v>
      </c>
      <c r="H529" s="19" t="s">
        <v>25</v>
      </c>
      <c r="I529" s="19">
        <v>1</v>
      </c>
      <c r="J529" s="21">
        <v>16191</v>
      </c>
      <c r="K529" s="21">
        <v>16191</v>
      </c>
      <c r="L529" s="21">
        <v>0</v>
      </c>
      <c r="M529" s="15">
        <v>0</v>
      </c>
      <c r="N529" s="21">
        <f t="shared" si="16"/>
        <v>16191</v>
      </c>
      <c r="O529" s="21">
        <v>10266.540000000001</v>
      </c>
      <c r="P529" s="21">
        <f t="shared" si="17"/>
        <v>5924.4599999999991</v>
      </c>
      <c r="Q529" s="19" t="s">
        <v>201</v>
      </c>
      <c r="R529" s="19">
        <v>2025</v>
      </c>
      <c r="S529" s="19">
        <v>5</v>
      </c>
    </row>
    <row r="530" spans="1:19" x14ac:dyDescent="0.3">
      <c r="A530" t="s">
        <v>588</v>
      </c>
      <c r="B530" s="2">
        <v>45804</v>
      </c>
      <c r="C530" t="s">
        <v>75</v>
      </c>
      <c r="D530" t="s">
        <v>34</v>
      </c>
      <c r="E530" t="s">
        <v>44</v>
      </c>
      <c r="F530" t="s">
        <v>37</v>
      </c>
      <c r="G530" t="s">
        <v>31</v>
      </c>
      <c r="H530" t="s">
        <v>25</v>
      </c>
      <c r="I530">
        <v>1</v>
      </c>
      <c r="J530" s="5">
        <v>38187</v>
      </c>
      <c r="K530" s="5">
        <v>38187</v>
      </c>
      <c r="L530" s="5">
        <v>0</v>
      </c>
      <c r="M530" s="12">
        <v>0</v>
      </c>
      <c r="N530" s="5">
        <f t="shared" si="16"/>
        <v>38187</v>
      </c>
      <c r="O530" s="5">
        <v>19540.560000000001</v>
      </c>
      <c r="P530" s="5">
        <f t="shared" si="17"/>
        <v>18646.439999999999</v>
      </c>
      <c r="Q530" t="s">
        <v>201</v>
      </c>
      <c r="R530">
        <v>2025</v>
      </c>
      <c r="S530">
        <v>5</v>
      </c>
    </row>
    <row r="531" spans="1:19" x14ac:dyDescent="0.3">
      <c r="A531" s="19" t="s">
        <v>589</v>
      </c>
      <c r="B531" s="20">
        <v>45805</v>
      </c>
      <c r="C531" s="19" t="s">
        <v>75</v>
      </c>
      <c r="D531" s="19" t="s">
        <v>34</v>
      </c>
      <c r="E531" s="19" t="s">
        <v>22</v>
      </c>
      <c r="F531" s="19" t="s">
        <v>23</v>
      </c>
      <c r="G531" s="19" t="s">
        <v>31</v>
      </c>
      <c r="H531" s="19" t="s">
        <v>25</v>
      </c>
      <c r="I531" s="19">
        <v>1</v>
      </c>
      <c r="J531" s="21">
        <v>36006</v>
      </c>
      <c r="K531" s="21">
        <v>36006</v>
      </c>
      <c r="L531" s="21">
        <v>0</v>
      </c>
      <c r="M531" s="15">
        <v>0</v>
      </c>
      <c r="N531" s="21">
        <f t="shared" si="16"/>
        <v>36006</v>
      </c>
      <c r="O531" s="21">
        <v>19597.8</v>
      </c>
      <c r="P531" s="21">
        <f t="shared" si="17"/>
        <v>16408.2</v>
      </c>
      <c r="Q531" s="19" t="s">
        <v>201</v>
      </c>
      <c r="R531" s="19">
        <v>2025</v>
      </c>
      <c r="S531" s="19">
        <v>5</v>
      </c>
    </row>
    <row r="532" spans="1:19" x14ac:dyDescent="0.3">
      <c r="A532" t="s">
        <v>590</v>
      </c>
      <c r="B532" s="2">
        <v>45807</v>
      </c>
      <c r="C532" t="s">
        <v>48</v>
      </c>
      <c r="D532" t="s">
        <v>34</v>
      </c>
      <c r="E532" t="s">
        <v>56</v>
      </c>
      <c r="F532" t="s">
        <v>37</v>
      </c>
      <c r="G532" t="s">
        <v>24</v>
      </c>
      <c r="H532" t="s">
        <v>25</v>
      </c>
      <c r="I532">
        <v>1</v>
      </c>
      <c r="J532" s="5">
        <v>25675</v>
      </c>
      <c r="K532" s="5">
        <v>25675</v>
      </c>
      <c r="L532" s="5">
        <v>0</v>
      </c>
      <c r="M532" s="12">
        <v>0</v>
      </c>
      <c r="N532" s="5">
        <f t="shared" si="16"/>
        <v>25675</v>
      </c>
      <c r="O532" s="5">
        <v>17113.689999999999</v>
      </c>
      <c r="P532" s="5">
        <f t="shared" si="17"/>
        <v>8561.3100000000013</v>
      </c>
      <c r="Q532" t="s">
        <v>201</v>
      </c>
      <c r="R532">
        <v>2025</v>
      </c>
      <c r="S532">
        <v>5</v>
      </c>
    </row>
    <row r="533" spans="1:19" x14ac:dyDescent="0.3">
      <c r="A533" s="19" t="s">
        <v>591</v>
      </c>
      <c r="B533" s="20">
        <v>45807</v>
      </c>
      <c r="C533" s="19" t="s">
        <v>28</v>
      </c>
      <c r="D533" s="19" t="s">
        <v>29</v>
      </c>
      <c r="E533" s="19" t="s">
        <v>22</v>
      </c>
      <c r="F533" s="19" t="s">
        <v>37</v>
      </c>
      <c r="G533" s="19" t="s">
        <v>31</v>
      </c>
      <c r="H533" s="19" t="s">
        <v>25</v>
      </c>
      <c r="I533" s="19">
        <v>2</v>
      </c>
      <c r="J533" s="21">
        <v>67362</v>
      </c>
      <c r="K533" s="21">
        <v>134724</v>
      </c>
      <c r="L533" s="21">
        <v>0</v>
      </c>
      <c r="M533" s="15">
        <v>0</v>
      </c>
      <c r="N533" s="21">
        <f t="shared" si="16"/>
        <v>134724</v>
      </c>
      <c r="O533" s="21">
        <v>89910.85</v>
      </c>
      <c r="P533" s="21">
        <f t="shared" si="17"/>
        <v>44813.149999999994</v>
      </c>
      <c r="Q533" s="19" t="s">
        <v>201</v>
      </c>
      <c r="R533" s="19">
        <v>2025</v>
      </c>
      <c r="S533" s="19">
        <v>5</v>
      </c>
    </row>
    <row r="534" spans="1:19" x14ac:dyDescent="0.3">
      <c r="A534" t="s">
        <v>592</v>
      </c>
      <c r="B534" s="2">
        <v>45808</v>
      </c>
      <c r="C534" t="s">
        <v>75</v>
      </c>
      <c r="D534" t="s">
        <v>34</v>
      </c>
      <c r="E534" t="s">
        <v>56</v>
      </c>
      <c r="F534" t="s">
        <v>40</v>
      </c>
      <c r="G534" t="s">
        <v>31</v>
      </c>
      <c r="H534" t="s">
        <v>25</v>
      </c>
      <c r="I534">
        <v>2</v>
      </c>
      <c r="J534" s="5">
        <v>39412</v>
      </c>
      <c r="K534" s="5">
        <v>78824</v>
      </c>
      <c r="L534" s="5">
        <v>7882.4</v>
      </c>
      <c r="M534" s="12">
        <v>0.1</v>
      </c>
      <c r="N534" s="5">
        <f t="shared" si="16"/>
        <v>70941.600000000006</v>
      </c>
      <c r="O534" s="5">
        <v>48369.25</v>
      </c>
      <c r="P534" s="5">
        <f t="shared" si="17"/>
        <v>22572.350000000006</v>
      </c>
      <c r="Q534" t="s">
        <v>201</v>
      </c>
      <c r="R534">
        <v>2025</v>
      </c>
      <c r="S534">
        <v>5</v>
      </c>
    </row>
    <row r="535" spans="1:19" x14ac:dyDescent="0.3">
      <c r="A535" s="19" t="s">
        <v>593</v>
      </c>
      <c r="B535" s="20">
        <v>45809</v>
      </c>
      <c r="C535" s="19" t="s">
        <v>28</v>
      </c>
      <c r="D535" s="19" t="s">
        <v>29</v>
      </c>
      <c r="E535" s="19" t="s">
        <v>44</v>
      </c>
      <c r="F535" s="19" t="s">
        <v>35</v>
      </c>
      <c r="G535" s="19" t="s">
        <v>24</v>
      </c>
      <c r="H535" s="19" t="s">
        <v>25</v>
      </c>
      <c r="I535" s="19">
        <v>3</v>
      </c>
      <c r="J535" s="21">
        <v>67156</v>
      </c>
      <c r="K535" s="21">
        <v>201468</v>
      </c>
      <c r="L535" s="21">
        <v>0</v>
      </c>
      <c r="M535" s="15">
        <v>0</v>
      </c>
      <c r="N535" s="21">
        <f t="shared" si="16"/>
        <v>201468</v>
      </c>
      <c r="O535" s="21">
        <v>105926.86</v>
      </c>
      <c r="P535" s="21">
        <f t="shared" si="17"/>
        <v>95541.14</v>
      </c>
      <c r="Q535" s="19" t="s">
        <v>241</v>
      </c>
      <c r="R535" s="19">
        <v>2025</v>
      </c>
      <c r="S535" s="19">
        <v>6</v>
      </c>
    </row>
    <row r="536" spans="1:19" x14ac:dyDescent="0.3">
      <c r="A536" t="s">
        <v>594</v>
      </c>
      <c r="B536" s="2">
        <v>45809</v>
      </c>
      <c r="C536" t="s">
        <v>48</v>
      </c>
      <c r="D536" t="s">
        <v>34</v>
      </c>
      <c r="E536" t="s">
        <v>44</v>
      </c>
      <c r="F536" t="s">
        <v>40</v>
      </c>
      <c r="G536" t="s">
        <v>31</v>
      </c>
      <c r="H536" t="s">
        <v>25</v>
      </c>
      <c r="I536">
        <v>2</v>
      </c>
      <c r="J536" s="5">
        <v>24458</v>
      </c>
      <c r="K536" s="5">
        <v>48916</v>
      </c>
      <c r="L536" s="5">
        <v>0</v>
      </c>
      <c r="M536" s="12">
        <v>0</v>
      </c>
      <c r="N536" s="5">
        <f t="shared" si="16"/>
        <v>48916</v>
      </c>
      <c r="O536" s="5">
        <v>25386.84</v>
      </c>
      <c r="P536" s="5">
        <f t="shared" si="17"/>
        <v>23529.16</v>
      </c>
      <c r="Q536" t="s">
        <v>241</v>
      </c>
      <c r="R536">
        <v>2025</v>
      </c>
      <c r="S536">
        <v>6</v>
      </c>
    </row>
    <row r="537" spans="1:19" x14ac:dyDescent="0.3">
      <c r="A537" s="19" t="s">
        <v>595</v>
      </c>
      <c r="B537" s="20">
        <v>45812</v>
      </c>
      <c r="C537" s="19" t="s">
        <v>46</v>
      </c>
      <c r="D537" s="19" t="s">
        <v>21</v>
      </c>
      <c r="E537" s="19" t="s">
        <v>22</v>
      </c>
      <c r="F537" s="19" t="s">
        <v>35</v>
      </c>
      <c r="G537" s="19" t="s">
        <v>31</v>
      </c>
      <c r="H537" s="19" t="s">
        <v>25</v>
      </c>
      <c r="I537" s="19">
        <v>3</v>
      </c>
      <c r="J537" s="21">
        <v>11386</v>
      </c>
      <c r="K537" s="21">
        <v>34158</v>
      </c>
      <c r="L537" s="21">
        <v>0</v>
      </c>
      <c r="M537" s="15">
        <v>0</v>
      </c>
      <c r="N537" s="21">
        <f t="shared" si="16"/>
        <v>34158</v>
      </c>
      <c r="O537" s="21">
        <v>18582.36</v>
      </c>
      <c r="P537" s="21">
        <f t="shared" si="17"/>
        <v>15575.64</v>
      </c>
      <c r="Q537" s="19" t="s">
        <v>241</v>
      </c>
      <c r="R537" s="19">
        <v>2025</v>
      </c>
      <c r="S537" s="19">
        <v>6</v>
      </c>
    </row>
    <row r="538" spans="1:19" x14ac:dyDescent="0.3">
      <c r="A538" t="s">
        <v>596</v>
      </c>
      <c r="B538" s="2">
        <v>45812</v>
      </c>
      <c r="C538" t="s">
        <v>82</v>
      </c>
      <c r="D538" t="s">
        <v>21</v>
      </c>
      <c r="E538" t="s">
        <v>22</v>
      </c>
      <c r="F538" t="s">
        <v>23</v>
      </c>
      <c r="G538" t="s">
        <v>31</v>
      </c>
      <c r="H538" t="s">
        <v>25</v>
      </c>
      <c r="I538">
        <v>1</v>
      </c>
      <c r="J538" s="5">
        <v>43919</v>
      </c>
      <c r="K538" s="5">
        <v>43919</v>
      </c>
      <c r="L538" s="5">
        <v>0</v>
      </c>
      <c r="M538" s="12">
        <v>0</v>
      </c>
      <c r="N538" s="5">
        <f t="shared" si="16"/>
        <v>43919</v>
      </c>
      <c r="O538" s="5">
        <v>29385.03</v>
      </c>
      <c r="P538" s="5">
        <f t="shared" si="17"/>
        <v>14533.970000000001</v>
      </c>
      <c r="Q538" t="s">
        <v>241</v>
      </c>
      <c r="R538">
        <v>2025</v>
      </c>
      <c r="S538">
        <v>6</v>
      </c>
    </row>
    <row r="539" spans="1:19" x14ac:dyDescent="0.3">
      <c r="A539" s="19" t="s">
        <v>597</v>
      </c>
      <c r="B539" s="20">
        <v>45812</v>
      </c>
      <c r="C539" s="19" t="s">
        <v>75</v>
      </c>
      <c r="D539" s="19" t="s">
        <v>34</v>
      </c>
      <c r="E539" s="19" t="s">
        <v>22</v>
      </c>
      <c r="F539" s="19" t="s">
        <v>37</v>
      </c>
      <c r="G539" s="19" t="s">
        <v>31</v>
      </c>
      <c r="H539" s="19" t="s">
        <v>25</v>
      </c>
      <c r="I539" s="19">
        <v>2</v>
      </c>
      <c r="J539" s="21">
        <v>37877</v>
      </c>
      <c r="K539" s="21">
        <v>75754</v>
      </c>
      <c r="L539" s="21">
        <v>0</v>
      </c>
      <c r="M539" s="15">
        <v>0</v>
      </c>
      <c r="N539" s="21">
        <f t="shared" si="16"/>
        <v>75754</v>
      </c>
      <c r="O539" s="21">
        <v>39471.949999999997</v>
      </c>
      <c r="P539" s="21">
        <f t="shared" si="17"/>
        <v>36282.050000000003</v>
      </c>
      <c r="Q539" s="19" t="s">
        <v>241</v>
      </c>
      <c r="R539" s="19">
        <v>2025</v>
      </c>
      <c r="S539" s="19">
        <v>6</v>
      </c>
    </row>
    <row r="540" spans="1:19" x14ac:dyDescent="0.3">
      <c r="A540" t="s">
        <v>598</v>
      </c>
      <c r="B540" s="2">
        <v>45813</v>
      </c>
      <c r="C540" t="s">
        <v>71</v>
      </c>
      <c r="D540" t="s">
        <v>34</v>
      </c>
      <c r="E540" t="s">
        <v>56</v>
      </c>
      <c r="F540" t="s">
        <v>40</v>
      </c>
      <c r="G540" t="s">
        <v>24</v>
      </c>
      <c r="H540" t="s">
        <v>240</v>
      </c>
      <c r="I540">
        <v>3</v>
      </c>
      <c r="J540" s="5">
        <v>47566</v>
      </c>
      <c r="K540" s="5">
        <v>142698</v>
      </c>
      <c r="L540" s="5">
        <v>14269.8</v>
      </c>
      <c r="M540" s="12">
        <v>0.1</v>
      </c>
      <c r="N540" s="5">
        <f t="shared" si="16"/>
        <v>128428.2</v>
      </c>
      <c r="O540" s="5">
        <v>72219.59</v>
      </c>
      <c r="P540" s="5">
        <f t="shared" si="17"/>
        <v>56208.61</v>
      </c>
      <c r="Q540" t="s">
        <v>241</v>
      </c>
      <c r="R540">
        <v>2025</v>
      </c>
      <c r="S540">
        <v>6</v>
      </c>
    </row>
    <row r="541" spans="1:19" x14ac:dyDescent="0.3">
      <c r="A541" s="19" t="s">
        <v>599</v>
      </c>
      <c r="B541" s="20">
        <v>45815</v>
      </c>
      <c r="C541" s="19" t="s">
        <v>82</v>
      </c>
      <c r="D541" s="19" t="s">
        <v>21</v>
      </c>
      <c r="E541" s="19" t="s">
        <v>22</v>
      </c>
      <c r="F541" s="19" t="s">
        <v>40</v>
      </c>
      <c r="G541" s="19" t="s">
        <v>24</v>
      </c>
      <c r="H541" s="19" t="s">
        <v>240</v>
      </c>
      <c r="I541" s="19">
        <v>5</v>
      </c>
      <c r="J541" s="21">
        <v>46974</v>
      </c>
      <c r="K541" s="21">
        <v>234870</v>
      </c>
      <c r="L541" s="21">
        <v>35230.5</v>
      </c>
      <c r="M541" s="15">
        <v>0.15</v>
      </c>
      <c r="N541" s="21">
        <f t="shared" si="16"/>
        <v>199639.5</v>
      </c>
      <c r="O541" s="21">
        <v>134893.51</v>
      </c>
      <c r="P541" s="21">
        <f t="shared" si="17"/>
        <v>64745.989999999991</v>
      </c>
      <c r="Q541" s="19" t="s">
        <v>241</v>
      </c>
      <c r="R541" s="19">
        <v>2025</v>
      </c>
      <c r="S541" s="19">
        <v>6</v>
      </c>
    </row>
    <row r="542" spans="1:19" x14ac:dyDescent="0.3">
      <c r="A542" t="s">
        <v>600</v>
      </c>
      <c r="B542" s="2">
        <v>45815</v>
      </c>
      <c r="C542" t="s">
        <v>64</v>
      </c>
      <c r="D542" t="s">
        <v>29</v>
      </c>
      <c r="E542" t="s">
        <v>56</v>
      </c>
      <c r="F542" t="s">
        <v>37</v>
      </c>
      <c r="G542" t="s">
        <v>24</v>
      </c>
      <c r="H542" t="s">
        <v>240</v>
      </c>
      <c r="I542">
        <v>4</v>
      </c>
      <c r="J542" s="5">
        <v>29840</v>
      </c>
      <c r="K542" s="5">
        <v>119360</v>
      </c>
      <c r="L542" s="5">
        <v>11936</v>
      </c>
      <c r="M542" s="12">
        <v>0.1</v>
      </c>
      <c r="N542" s="5">
        <f t="shared" si="16"/>
        <v>107424</v>
      </c>
      <c r="O542" s="5">
        <v>80044.639999999999</v>
      </c>
      <c r="P542" s="5">
        <f t="shared" si="17"/>
        <v>27379.360000000001</v>
      </c>
      <c r="Q542" t="s">
        <v>241</v>
      </c>
      <c r="R542">
        <v>2025</v>
      </c>
      <c r="S542">
        <v>6</v>
      </c>
    </row>
    <row r="543" spans="1:19" x14ac:dyDescent="0.3">
      <c r="A543" s="19" t="s">
        <v>601</v>
      </c>
      <c r="B543" s="20">
        <v>45816</v>
      </c>
      <c r="C543" s="19" t="s">
        <v>33</v>
      </c>
      <c r="D543" s="19" t="s">
        <v>34</v>
      </c>
      <c r="E543" s="19" t="s">
        <v>56</v>
      </c>
      <c r="F543" s="19" t="s">
        <v>37</v>
      </c>
      <c r="G543" s="19" t="s">
        <v>24</v>
      </c>
      <c r="H543" s="19" t="s">
        <v>25</v>
      </c>
      <c r="I543" s="19">
        <v>3</v>
      </c>
      <c r="J543" s="21">
        <v>44311</v>
      </c>
      <c r="K543" s="21">
        <v>132933</v>
      </c>
      <c r="L543" s="21">
        <v>19939.95</v>
      </c>
      <c r="M543" s="15">
        <v>0.15</v>
      </c>
      <c r="N543" s="21">
        <f t="shared" si="16"/>
        <v>112993.05</v>
      </c>
      <c r="O543" s="21">
        <v>76113.5</v>
      </c>
      <c r="P543" s="21">
        <f t="shared" si="17"/>
        <v>36879.550000000003</v>
      </c>
      <c r="Q543" s="19" t="s">
        <v>241</v>
      </c>
      <c r="R543" s="19">
        <v>2025</v>
      </c>
      <c r="S543" s="19">
        <v>6</v>
      </c>
    </row>
    <row r="544" spans="1:19" x14ac:dyDescent="0.3">
      <c r="A544" t="s">
        <v>602</v>
      </c>
      <c r="B544" s="2">
        <v>45816</v>
      </c>
      <c r="C544" t="s">
        <v>33</v>
      </c>
      <c r="D544" t="s">
        <v>34</v>
      </c>
      <c r="E544" t="s">
        <v>42</v>
      </c>
      <c r="F544" t="s">
        <v>40</v>
      </c>
      <c r="G544" t="s">
        <v>24</v>
      </c>
      <c r="H544" t="s">
        <v>240</v>
      </c>
      <c r="I544">
        <v>5</v>
      </c>
      <c r="J544" s="5">
        <v>45258</v>
      </c>
      <c r="K544" s="5">
        <v>226290</v>
      </c>
      <c r="L544" s="5">
        <v>22629</v>
      </c>
      <c r="M544" s="12">
        <v>0.1</v>
      </c>
      <c r="N544" s="5">
        <f t="shared" si="16"/>
        <v>203661</v>
      </c>
      <c r="O544" s="5">
        <v>129112.64</v>
      </c>
      <c r="P544" s="5">
        <f t="shared" si="17"/>
        <v>74548.36</v>
      </c>
      <c r="Q544" t="s">
        <v>241</v>
      </c>
      <c r="R544">
        <v>2025</v>
      </c>
      <c r="S544">
        <v>6</v>
      </c>
    </row>
    <row r="545" spans="1:19" x14ac:dyDescent="0.3">
      <c r="A545" s="19" t="s">
        <v>603</v>
      </c>
      <c r="B545" s="20">
        <v>45817</v>
      </c>
      <c r="C545" s="19" t="s">
        <v>48</v>
      </c>
      <c r="D545" s="19" t="s">
        <v>34</v>
      </c>
      <c r="E545" s="19" t="s">
        <v>42</v>
      </c>
      <c r="F545" s="19" t="s">
        <v>35</v>
      </c>
      <c r="G545" s="19" t="s">
        <v>24</v>
      </c>
      <c r="H545" s="19" t="s">
        <v>240</v>
      </c>
      <c r="I545" s="19">
        <v>3</v>
      </c>
      <c r="J545" s="21">
        <v>23949</v>
      </c>
      <c r="K545" s="21">
        <v>71847</v>
      </c>
      <c r="L545" s="21">
        <v>10777.05</v>
      </c>
      <c r="M545" s="15">
        <v>0.15</v>
      </c>
      <c r="N545" s="21">
        <f t="shared" si="16"/>
        <v>61069.95</v>
      </c>
      <c r="O545" s="21">
        <v>47964.88</v>
      </c>
      <c r="P545" s="21">
        <f t="shared" si="17"/>
        <v>13105.07</v>
      </c>
      <c r="Q545" s="19" t="s">
        <v>241</v>
      </c>
      <c r="R545" s="19">
        <v>2025</v>
      </c>
      <c r="S545" s="19">
        <v>6</v>
      </c>
    </row>
    <row r="546" spans="1:19" x14ac:dyDescent="0.3">
      <c r="A546" t="s">
        <v>604</v>
      </c>
      <c r="B546" s="2">
        <v>45817</v>
      </c>
      <c r="C546" t="s">
        <v>50</v>
      </c>
      <c r="D546" t="s">
        <v>34</v>
      </c>
      <c r="E546" t="s">
        <v>22</v>
      </c>
      <c r="F546" t="s">
        <v>40</v>
      </c>
      <c r="G546" t="s">
        <v>24</v>
      </c>
      <c r="H546" t="s">
        <v>25</v>
      </c>
      <c r="I546">
        <v>1</v>
      </c>
      <c r="J546" s="5">
        <v>17803</v>
      </c>
      <c r="K546" s="5">
        <v>17803</v>
      </c>
      <c r="L546" s="5">
        <v>0</v>
      </c>
      <c r="M546" s="12">
        <v>0</v>
      </c>
      <c r="N546" s="5">
        <f t="shared" si="16"/>
        <v>17803</v>
      </c>
      <c r="O546" s="5">
        <v>11546.85</v>
      </c>
      <c r="P546" s="5">
        <f t="shared" si="17"/>
        <v>6256.15</v>
      </c>
      <c r="Q546" t="s">
        <v>241</v>
      </c>
      <c r="R546">
        <v>2025</v>
      </c>
      <c r="S546">
        <v>6</v>
      </c>
    </row>
    <row r="547" spans="1:19" x14ac:dyDescent="0.3">
      <c r="A547" s="19" t="s">
        <v>605</v>
      </c>
      <c r="B547" s="20">
        <v>45817</v>
      </c>
      <c r="C547" s="19" t="s">
        <v>48</v>
      </c>
      <c r="D547" s="19" t="s">
        <v>34</v>
      </c>
      <c r="E547" s="19" t="s">
        <v>22</v>
      </c>
      <c r="F547" s="19" t="s">
        <v>40</v>
      </c>
      <c r="G547" s="19" t="s">
        <v>31</v>
      </c>
      <c r="H547" s="19" t="s">
        <v>240</v>
      </c>
      <c r="I547" s="19">
        <v>1</v>
      </c>
      <c r="J547" s="21">
        <v>24451</v>
      </c>
      <c r="K547" s="21">
        <v>24451</v>
      </c>
      <c r="L547" s="21">
        <v>1222.55</v>
      </c>
      <c r="M547" s="15">
        <v>0.05</v>
      </c>
      <c r="N547" s="21">
        <f t="shared" si="16"/>
        <v>23228.45</v>
      </c>
      <c r="O547" s="21">
        <v>15078.61</v>
      </c>
      <c r="P547" s="21">
        <f t="shared" si="17"/>
        <v>8149.84</v>
      </c>
      <c r="Q547" s="19" t="s">
        <v>241</v>
      </c>
      <c r="R547" s="19">
        <v>2025</v>
      </c>
      <c r="S547" s="19">
        <v>6</v>
      </c>
    </row>
    <row r="548" spans="1:19" x14ac:dyDescent="0.3">
      <c r="A548" t="s">
        <v>606</v>
      </c>
      <c r="B548" s="2">
        <v>45823</v>
      </c>
      <c r="C548" t="s">
        <v>48</v>
      </c>
      <c r="D548" t="s">
        <v>34</v>
      </c>
      <c r="E548" t="s">
        <v>42</v>
      </c>
      <c r="F548" t="s">
        <v>35</v>
      </c>
      <c r="G548" t="s">
        <v>24</v>
      </c>
      <c r="H548" t="s">
        <v>25</v>
      </c>
      <c r="I548">
        <v>3</v>
      </c>
      <c r="J548" s="5">
        <v>26450</v>
      </c>
      <c r="K548" s="5">
        <v>79350</v>
      </c>
      <c r="L548" s="5">
        <v>7935</v>
      </c>
      <c r="M548" s="12">
        <v>0.1</v>
      </c>
      <c r="N548" s="5">
        <f t="shared" si="16"/>
        <v>71415</v>
      </c>
      <c r="O548" s="5">
        <v>47385.65</v>
      </c>
      <c r="P548" s="5">
        <f t="shared" si="17"/>
        <v>24029.35</v>
      </c>
      <c r="Q548" t="s">
        <v>241</v>
      </c>
      <c r="R548">
        <v>2025</v>
      </c>
      <c r="S548">
        <v>6</v>
      </c>
    </row>
    <row r="549" spans="1:19" x14ac:dyDescent="0.3">
      <c r="A549" s="19" t="s">
        <v>607</v>
      </c>
      <c r="B549" s="20">
        <v>45825</v>
      </c>
      <c r="C549" s="19" t="s">
        <v>28</v>
      </c>
      <c r="D549" s="19" t="s">
        <v>29</v>
      </c>
      <c r="E549" s="19" t="s">
        <v>44</v>
      </c>
      <c r="F549" s="19" t="s">
        <v>40</v>
      </c>
      <c r="G549" s="19" t="s">
        <v>31</v>
      </c>
      <c r="H549" s="19" t="s">
        <v>25</v>
      </c>
      <c r="I549" s="19">
        <v>1</v>
      </c>
      <c r="J549" s="21">
        <v>69773</v>
      </c>
      <c r="K549" s="21">
        <v>69773</v>
      </c>
      <c r="L549" s="21">
        <v>0</v>
      </c>
      <c r="M549" s="15">
        <v>0</v>
      </c>
      <c r="N549" s="21">
        <f t="shared" si="16"/>
        <v>69773</v>
      </c>
      <c r="O549" s="21">
        <v>37142.559999999998</v>
      </c>
      <c r="P549" s="21">
        <f t="shared" si="17"/>
        <v>32630.440000000002</v>
      </c>
      <c r="Q549" s="19" t="s">
        <v>241</v>
      </c>
      <c r="R549" s="19">
        <v>2025</v>
      </c>
      <c r="S549" s="19">
        <v>6</v>
      </c>
    </row>
    <row r="550" spans="1:19" x14ac:dyDescent="0.3">
      <c r="A550" t="s">
        <v>608</v>
      </c>
      <c r="B550" s="2">
        <v>45828</v>
      </c>
      <c r="C550" t="s">
        <v>46</v>
      </c>
      <c r="D550" t="s">
        <v>21</v>
      </c>
      <c r="E550" t="s">
        <v>44</v>
      </c>
      <c r="F550" t="s">
        <v>40</v>
      </c>
      <c r="G550" t="s">
        <v>24</v>
      </c>
      <c r="H550" t="s">
        <v>25</v>
      </c>
      <c r="I550">
        <v>2</v>
      </c>
      <c r="J550" s="5">
        <v>11844</v>
      </c>
      <c r="K550" s="5">
        <v>23688</v>
      </c>
      <c r="L550" s="5">
        <v>0</v>
      </c>
      <c r="M550" s="12">
        <v>0</v>
      </c>
      <c r="N550" s="5">
        <f t="shared" si="16"/>
        <v>23688</v>
      </c>
      <c r="O550" s="5">
        <v>12719.76</v>
      </c>
      <c r="P550" s="5">
        <f t="shared" si="17"/>
        <v>10968.24</v>
      </c>
      <c r="Q550" t="s">
        <v>241</v>
      </c>
      <c r="R550">
        <v>2025</v>
      </c>
      <c r="S550">
        <v>6</v>
      </c>
    </row>
    <row r="551" spans="1:19" x14ac:dyDescent="0.3">
      <c r="A551" s="19" t="s">
        <v>609</v>
      </c>
      <c r="B551" s="20">
        <v>45828</v>
      </c>
      <c r="C551" s="19" t="s">
        <v>50</v>
      </c>
      <c r="D551" s="19" t="s">
        <v>34</v>
      </c>
      <c r="E551" s="19" t="s">
        <v>42</v>
      </c>
      <c r="F551" s="19" t="s">
        <v>30</v>
      </c>
      <c r="G551" s="19" t="s">
        <v>31</v>
      </c>
      <c r="H551" s="19" t="s">
        <v>240</v>
      </c>
      <c r="I551" s="19">
        <v>5</v>
      </c>
      <c r="J551" s="21">
        <v>18483</v>
      </c>
      <c r="K551" s="21">
        <v>92415</v>
      </c>
      <c r="L551" s="21">
        <v>9241.5</v>
      </c>
      <c r="M551" s="15">
        <v>0.1</v>
      </c>
      <c r="N551" s="21">
        <f t="shared" si="16"/>
        <v>83173.5</v>
      </c>
      <c r="O551" s="21">
        <v>55083.56</v>
      </c>
      <c r="P551" s="21">
        <f t="shared" si="17"/>
        <v>28089.940000000002</v>
      </c>
      <c r="Q551" s="19" t="s">
        <v>241</v>
      </c>
      <c r="R551" s="19">
        <v>2025</v>
      </c>
      <c r="S551" s="19">
        <v>6</v>
      </c>
    </row>
    <row r="552" spans="1:19" x14ac:dyDescent="0.3">
      <c r="A552" t="s">
        <v>610</v>
      </c>
      <c r="B552" s="2">
        <v>45829</v>
      </c>
      <c r="C552" t="s">
        <v>64</v>
      </c>
      <c r="D552" t="s">
        <v>29</v>
      </c>
      <c r="E552" t="s">
        <v>56</v>
      </c>
      <c r="F552" t="s">
        <v>40</v>
      </c>
      <c r="G552" t="s">
        <v>24</v>
      </c>
      <c r="H552" t="s">
        <v>240</v>
      </c>
      <c r="I552">
        <v>1</v>
      </c>
      <c r="J552" s="5">
        <v>29609</v>
      </c>
      <c r="K552" s="5">
        <v>29609</v>
      </c>
      <c r="L552" s="5">
        <v>2960.9</v>
      </c>
      <c r="M552" s="12">
        <v>0.1</v>
      </c>
      <c r="N552" s="5">
        <f t="shared" si="16"/>
        <v>26648.1</v>
      </c>
      <c r="O552" s="5">
        <v>16179.57</v>
      </c>
      <c r="P552" s="5">
        <f t="shared" si="17"/>
        <v>10468.529999999999</v>
      </c>
      <c r="Q552" t="s">
        <v>241</v>
      </c>
      <c r="R552">
        <v>2025</v>
      </c>
      <c r="S552">
        <v>6</v>
      </c>
    </row>
    <row r="553" spans="1:19" x14ac:dyDescent="0.3">
      <c r="A553" s="19" t="s">
        <v>611</v>
      </c>
      <c r="B553" s="20">
        <v>45831</v>
      </c>
      <c r="C553" s="19" t="s">
        <v>82</v>
      </c>
      <c r="D553" s="19" t="s">
        <v>21</v>
      </c>
      <c r="E553" s="19" t="s">
        <v>42</v>
      </c>
      <c r="F553" s="19" t="s">
        <v>30</v>
      </c>
      <c r="G553" s="19" t="s">
        <v>31</v>
      </c>
      <c r="H553" s="19" t="s">
        <v>240</v>
      </c>
      <c r="I553" s="19">
        <v>1</v>
      </c>
      <c r="J553" s="21">
        <v>44771</v>
      </c>
      <c r="K553" s="21">
        <v>44771</v>
      </c>
      <c r="L553" s="21">
        <v>2238.5500000000002</v>
      </c>
      <c r="M553" s="15">
        <v>0.05</v>
      </c>
      <c r="N553" s="21">
        <f t="shared" si="16"/>
        <v>42532.45</v>
      </c>
      <c r="O553" s="21">
        <v>29849.55</v>
      </c>
      <c r="P553" s="21">
        <f t="shared" si="17"/>
        <v>12682.899999999998</v>
      </c>
      <c r="Q553" s="19" t="s">
        <v>241</v>
      </c>
      <c r="R553" s="19">
        <v>2025</v>
      </c>
      <c r="S553" s="19">
        <v>6</v>
      </c>
    </row>
    <row r="554" spans="1:19" x14ac:dyDescent="0.3">
      <c r="A554" t="s">
        <v>612</v>
      </c>
      <c r="B554" s="2">
        <v>45832</v>
      </c>
      <c r="C554" t="s">
        <v>75</v>
      </c>
      <c r="D554" t="s">
        <v>34</v>
      </c>
      <c r="E554" t="s">
        <v>56</v>
      </c>
      <c r="F554" t="s">
        <v>37</v>
      </c>
      <c r="G554" t="s">
        <v>24</v>
      </c>
      <c r="H554" t="s">
        <v>25</v>
      </c>
      <c r="I554">
        <v>2</v>
      </c>
      <c r="J554" s="5">
        <v>38038</v>
      </c>
      <c r="K554" s="5">
        <v>76076</v>
      </c>
      <c r="L554" s="5">
        <v>0</v>
      </c>
      <c r="M554" s="12">
        <v>0</v>
      </c>
      <c r="N554" s="5">
        <f t="shared" si="16"/>
        <v>76076</v>
      </c>
      <c r="O554" s="5">
        <v>37595.730000000003</v>
      </c>
      <c r="P554" s="5">
        <f t="shared" si="17"/>
        <v>38480.269999999997</v>
      </c>
      <c r="Q554" t="s">
        <v>241</v>
      </c>
      <c r="R554">
        <v>2025</v>
      </c>
      <c r="S554">
        <v>6</v>
      </c>
    </row>
    <row r="555" spans="1:19" x14ac:dyDescent="0.3">
      <c r="A555" s="19" t="s">
        <v>613</v>
      </c>
      <c r="B555" s="20">
        <v>45833</v>
      </c>
      <c r="C555" s="19" t="s">
        <v>71</v>
      </c>
      <c r="D555" s="19" t="s">
        <v>34</v>
      </c>
      <c r="E555" s="19" t="s">
        <v>42</v>
      </c>
      <c r="F555" s="19" t="s">
        <v>37</v>
      </c>
      <c r="G555" s="19" t="s">
        <v>31</v>
      </c>
      <c r="H555" s="19" t="s">
        <v>25</v>
      </c>
      <c r="I555" s="19">
        <v>1</v>
      </c>
      <c r="J555" s="21">
        <v>52226</v>
      </c>
      <c r="K555" s="21">
        <v>52226</v>
      </c>
      <c r="L555" s="21">
        <v>0</v>
      </c>
      <c r="M555" s="15">
        <v>0</v>
      </c>
      <c r="N555" s="21">
        <f t="shared" si="16"/>
        <v>52226</v>
      </c>
      <c r="O555" s="21">
        <v>34070.99</v>
      </c>
      <c r="P555" s="21">
        <f t="shared" si="17"/>
        <v>18155.010000000002</v>
      </c>
      <c r="Q555" s="19" t="s">
        <v>241</v>
      </c>
      <c r="R555" s="19">
        <v>2025</v>
      </c>
      <c r="S555" s="19">
        <v>6</v>
      </c>
    </row>
    <row r="556" spans="1:19" x14ac:dyDescent="0.3">
      <c r="A556" t="s">
        <v>614</v>
      </c>
      <c r="B556" s="2">
        <v>45834</v>
      </c>
      <c r="C556" t="s">
        <v>82</v>
      </c>
      <c r="D556" t="s">
        <v>21</v>
      </c>
      <c r="E556" t="s">
        <v>42</v>
      </c>
      <c r="F556" t="s">
        <v>40</v>
      </c>
      <c r="G556" t="s">
        <v>31</v>
      </c>
      <c r="H556" t="s">
        <v>240</v>
      </c>
      <c r="I556">
        <v>1</v>
      </c>
      <c r="J556" s="5">
        <v>45916</v>
      </c>
      <c r="K556" s="5">
        <v>45916</v>
      </c>
      <c r="L556" s="5">
        <v>2295.8000000000002</v>
      </c>
      <c r="M556" s="12">
        <v>0.05</v>
      </c>
      <c r="N556" s="5">
        <f t="shared" si="16"/>
        <v>43620.2</v>
      </c>
      <c r="O556" s="5">
        <v>30976.26</v>
      </c>
      <c r="P556" s="5">
        <f t="shared" si="17"/>
        <v>12643.939999999999</v>
      </c>
      <c r="Q556" t="s">
        <v>241</v>
      </c>
      <c r="R556">
        <v>2025</v>
      </c>
      <c r="S556">
        <v>6</v>
      </c>
    </row>
    <row r="557" spans="1:19" x14ac:dyDescent="0.3">
      <c r="A557" s="19" t="s">
        <v>615</v>
      </c>
      <c r="B557" s="20">
        <v>45837</v>
      </c>
      <c r="C557" s="19" t="s">
        <v>48</v>
      </c>
      <c r="D557" s="19" t="s">
        <v>34</v>
      </c>
      <c r="E557" s="19" t="s">
        <v>44</v>
      </c>
      <c r="F557" s="19" t="s">
        <v>40</v>
      </c>
      <c r="G557" s="19" t="s">
        <v>24</v>
      </c>
      <c r="H557" s="19" t="s">
        <v>240</v>
      </c>
      <c r="I557" s="19">
        <v>1</v>
      </c>
      <c r="J557" s="21">
        <v>25434</v>
      </c>
      <c r="K557" s="21">
        <v>25434</v>
      </c>
      <c r="L557" s="21">
        <v>3815.1</v>
      </c>
      <c r="M557" s="15">
        <v>0.15</v>
      </c>
      <c r="N557" s="21">
        <f t="shared" si="16"/>
        <v>21618.9</v>
      </c>
      <c r="O557" s="21">
        <v>17288.759999999998</v>
      </c>
      <c r="P557" s="21">
        <f t="shared" si="17"/>
        <v>4330.1400000000031</v>
      </c>
      <c r="Q557" s="19" t="s">
        <v>241</v>
      </c>
      <c r="R557" s="19">
        <v>2025</v>
      </c>
      <c r="S557" s="19">
        <v>6</v>
      </c>
    </row>
    <row r="558" spans="1:19" x14ac:dyDescent="0.3">
      <c r="A558" t="s">
        <v>616</v>
      </c>
      <c r="B558" s="2">
        <v>45837</v>
      </c>
      <c r="C558" t="s">
        <v>28</v>
      </c>
      <c r="D558" t="s">
        <v>29</v>
      </c>
      <c r="E558" t="s">
        <v>44</v>
      </c>
      <c r="F558" t="s">
        <v>37</v>
      </c>
      <c r="G558" t="s">
        <v>31</v>
      </c>
      <c r="H558" t="s">
        <v>240</v>
      </c>
      <c r="I558">
        <v>2</v>
      </c>
      <c r="J558" s="5">
        <v>63734</v>
      </c>
      <c r="K558" s="5">
        <v>127468</v>
      </c>
      <c r="L558" s="5">
        <v>19120.2</v>
      </c>
      <c r="M558" s="12">
        <v>0.15</v>
      </c>
      <c r="N558" s="5">
        <f t="shared" si="16"/>
        <v>108347.8</v>
      </c>
      <c r="O558" s="5">
        <v>63652.9</v>
      </c>
      <c r="P558" s="5">
        <f t="shared" si="17"/>
        <v>44694.9</v>
      </c>
      <c r="Q558" t="s">
        <v>241</v>
      </c>
      <c r="R558">
        <v>2025</v>
      </c>
      <c r="S558">
        <v>6</v>
      </c>
    </row>
    <row r="559" spans="1:19" x14ac:dyDescent="0.3">
      <c r="A559" s="19" t="s">
        <v>617</v>
      </c>
      <c r="B559" s="20">
        <v>45837</v>
      </c>
      <c r="C559" s="19" t="s">
        <v>71</v>
      </c>
      <c r="D559" s="19" t="s">
        <v>34</v>
      </c>
      <c r="E559" s="19" t="s">
        <v>56</v>
      </c>
      <c r="F559" s="19" t="s">
        <v>37</v>
      </c>
      <c r="G559" s="19" t="s">
        <v>24</v>
      </c>
      <c r="H559" s="19" t="s">
        <v>25</v>
      </c>
      <c r="I559" s="19">
        <v>1</v>
      </c>
      <c r="J559" s="21">
        <v>47195</v>
      </c>
      <c r="K559" s="21">
        <v>47195</v>
      </c>
      <c r="L559" s="21">
        <v>0</v>
      </c>
      <c r="M559" s="15">
        <v>0</v>
      </c>
      <c r="N559" s="21">
        <f t="shared" si="16"/>
        <v>47195</v>
      </c>
      <c r="O559" s="21">
        <v>27001.040000000001</v>
      </c>
      <c r="P559" s="21">
        <f t="shared" si="17"/>
        <v>20193.96</v>
      </c>
      <c r="Q559" s="19" t="s">
        <v>241</v>
      </c>
      <c r="R559" s="19">
        <v>2025</v>
      </c>
      <c r="S559" s="19">
        <v>6</v>
      </c>
    </row>
    <row r="560" spans="1:19" x14ac:dyDescent="0.3">
      <c r="A560" t="s">
        <v>618</v>
      </c>
      <c r="B560" s="2">
        <v>45838</v>
      </c>
      <c r="C560" t="s">
        <v>75</v>
      </c>
      <c r="D560" t="s">
        <v>34</v>
      </c>
      <c r="E560" t="s">
        <v>44</v>
      </c>
      <c r="F560" t="s">
        <v>40</v>
      </c>
      <c r="G560" t="s">
        <v>24</v>
      </c>
      <c r="H560" t="s">
        <v>25</v>
      </c>
      <c r="I560">
        <v>2</v>
      </c>
      <c r="J560" s="5">
        <v>39743</v>
      </c>
      <c r="K560" s="5">
        <v>79486</v>
      </c>
      <c r="L560" s="5">
        <v>0</v>
      </c>
      <c r="M560" s="12">
        <v>0</v>
      </c>
      <c r="N560" s="5">
        <f t="shared" si="16"/>
        <v>79486</v>
      </c>
      <c r="O560" s="5">
        <v>50041.82</v>
      </c>
      <c r="P560" s="5">
        <f t="shared" si="17"/>
        <v>29444.18</v>
      </c>
      <c r="Q560" t="s">
        <v>241</v>
      </c>
      <c r="R560">
        <v>2025</v>
      </c>
      <c r="S560">
        <v>6</v>
      </c>
    </row>
    <row r="561" spans="1:19" x14ac:dyDescent="0.3">
      <c r="A561" s="19" t="s">
        <v>619</v>
      </c>
      <c r="B561" s="20">
        <v>45839</v>
      </c>
      <c r="C561" s="19" t="s">
        <v>64</v>
      </c>
      <c r="D561" s="19" t="s">
        <v>29</v>
      </c>
      <c r="E561" s="19" t="s">
        <v>22</v>
      </c>
      <c r="F561" s="19" t="s">
        <v>37</v>
      </c>
      <c r="G561" s="19" t="s">
        <v>24</v>
      </c>
      <c r="H561" s="19" t="s">
        <v>25</v>
      </c>
      <c r="I561" s="19">
        <v>2</v>
      </c>
      <c r="J561" s="21">
        <v>28921</v>
      </c>
      <c r="K561" s="21">
        <v>57842</v>
      </c>
      <c r="L561" s="21">
        <v>0</v>
      </c>
      <c r="M561" s="15">
        <v>0</v>
      </c>
      <c r="N561" s="21">
        <f t="shared" si="16"/>
        <v>57842</v>
      </c>
      <c r="O561" s="21">
        <v>35952.089999999997</v>
      </c>
      <c r="P561" s="21">
        <f t="shared" si="17"/>
        <v>21889.910000000003</v>
      </c>
      <c r="Q561" s="19" t="s">
        <v>272</v>
      </c>
      <c r="R561" s="19">
        <v>2025</v>
      </c>
      <c r="S561" s="19">
        <v>7</v>
      </c>
    </row>
    <row r="562" spans="1:19" x14ac:dyDescent="0.3">
      <c r="A562" t="s">
        <v>620</v>
      </c>
      <c r="B562" s="2">
        <v>45841</v>
      </c>
      <c r="C562" t="s">
        <v>28</v>
      </c>
      <c r="D562" t="s">
        <v>29</v>
      </c>
      <c r="E562" t="s">
        <v>44</v>
      </c>
      <c r="F562" t="s">
        <v>23</v>
      </c>
      <c r="G562" t="s">
        <v>24</v>
      </c>
      <c r="H562" t="s">
        <v>25</v>
      </c>
      <c r="I562">
        <v>3</v>
      </c>
      <c r="J562" s="5">
        <v>68454</v>
      </c>
      <c r="K562" s="5">
        <v>205362</v>
      </c>
      <c r="L562" s="5">
        <v>0</v>
      </c>
      <c r="M562" s="12">
        <v>0</v>
      </c>
      <c r="N562" s="5">
        <f t="shared" si="16"/>
        <v>205362</v>
      </c>
      <c r="O562" s="5">
        <v>125916.29</v>
      </c>
      <c r="P562" s="5">
        <f t="shared" si="17"/>
        <v>79445.710000000006</v>
      </c>
      <c r="Q562" t="s">
        <v>272</v>
      </c>
      <c r="R562">
        <v>2025</v>
      </c>
      <c r="S562">
        <v>7</v>
      </c>
    </row>
    <row r="563" spans="1:19" x14ac:dyDescent="0.3">
      <c r="A563" s="19" t="s">
        <v>621</v>
      </c>
      <c r="B563" s="20">
        <v>45841</v>
      </c>
      <c r="C563" s="19" t="s">
        <v>46</v>
      </c>
      <c r="D563" s="19" t="s">
        <v>21</v>
      </c>
      <c r="E563" s="19" t="s">
        <v>22</v>
      </c>
      <c r="F563" s="19" t="s">
        <v>30</v>
      </c>
      <c r="G563" s="19" t="s">
        <v>24</v>
      </c>
      <c r="H563" s="19" t="s">
        <v>25</v>
      </c>
      <c r="I563" s="19">
        <v>2</v>
      </c>
      <c r="J563" s="21">
        <v>11857</v>
      </c>
      <c r="K563" s="21">
        <v>23714</v>
      </c>
      <c r="L563" s="21">
        <v>0</v>
      </c>
      <c r="M563" s="15">
        <v>0</v>
      </c>
      <c r="N563" s="21">
        <f t="shared" si="16"/>
        <v>23714</v>
      </c>
      <c r="O563" s="21">
        <v>14600.33</v>
      </c>
      <c r="P563" s="21">
        <f t="shared" si="17"/>
        <v>9113.67</v>
      </c>
      <c r="Q563" s="19" t="s">
        <v>272</v>
      </c>
      <c r="R563" s="19">
        <v>2025</v>
      </c>
      <c r="S563" s="19">
        <v>7</v>
      </c>
    </row>
    <row r="564" spans="1:19" x14ac:dyDescent="0.3">
      <c r="A564" t="s">
        <v>622</v>
      </c>
      <c r="B564" s="2">
        <v>45842</v>
      </c>
      <c r="C564" t="s">
        <v>20</v>
      </c>
      <c r="D564" t="s">
        <v>21</v>
      </c>
      <c r="E564" t="s">
        <v>22</v>
      </c>
      <c r="F564" t="s">
        <v>37</v>
      </c>
      <c r="G564" t="s">
        <v>31</v>
      </c>
      <c r="H564" t="s">
        <v>25</v>
      </c>
      <c r="I564">
        <v>1</v>
      </c>
      <c r="J564" s="5">
        <v>14750</v>
      </c>
      <c r="K564" s="5">
        <v>14750</v>
      </c>
      <c r="L564" s="5">
        <v>0</v>
      </c>
      <c r="M564" s="12">
        <v>0</v>
      </c>
      <c r="N564" s="5">
        <f t="shared" si="16"/>
        <v>14750</v>
      </c>
      <c r="O564" s="5">
        <v>7548.27</v>
      </c>
      <c r="P564" s="5">
        <f t="shared" si="17"/>
        <v>7201.73</v>
      </c>
      <c r="Q564" t="s">
        <v>272</v>
      </c>
      <c r="R564">
        <v>2025</v>
      </c>
      <c r="S564">
        <v>7</v>
      </c>
    </row>
    <row r="565" spans="1:19" x14ac:dyDescent="0.3">
      <c r="A565" s="19" t="s">
        <v>623</v>
      </c>
      <c r="B565" s="20">
        <v>45842</v>
      </c>
      <c r="C565" s="19" t="s">
        <v>64</v>
      </c>
      <c r="D565" s="19" t="s">
        <v>29</v>
      </c>
      <c r="E565" s="19" t="s">
        <v>42</v>
      </c>
      <c r="F565" s="19" t="s">
        <v>35</v>
      </c>
      <c r="G565" s="19" t="s">
        <v>31</v>
      </c>
      <c r="H565" s="19" t="s">
        <v>240</v>
      </c>
      <c r="I565" s="19">
        <v>5</v>
      </c>
      <c r="J565" s="21">
        <v>28651</v>
      </c>
      <c r="K565" s="21">
        <v>143255</v>
      </c>
      <c r="L565" s="21">
        <v>14325.5</v>
      </c>
      <c r="M565" s="15">
        <v>0.1</v>
      </c>
      <c r="N565" s="21">
        <f t="shared" si="16"/>
        <v>128929.5</v>
      </c>
      <c r="O565" s="21">
        <v>95103.77</v>
      </c>
      <c r="P565" s="21">
        <f t="shared" si="17"/>
        <v>33825.729999999996</v>
      </c>
      <c r="Q565" s="19" t="s">
        <v>272</v>
      </c>
      <c r="R565" s="19">
        <v>2025</v>
      </c>
      <c r="S565" s="19">
        <v>7</v>
      </c>
    </row>
    <row r="566" spans="1:19" x14ac:dyDescent="0.3">
      <c r="A566" t="s">
        <v>624</v>
      </c>
      <c r="B566" s="2">
        <v>45843</v>
      </c>
      <c r="C566" t="s">
        <v>64</v>
      </c>
      <c r="D566" t="s">
        <v>29</v>
      </c>
      <c r="E566" t="s">
        <v>56</v>
      </c>
      <c r="F566" t="s">
        <v>23</v>
      </c>
      <c r="G566" t="s">
        <v>24</v>
      </c>
      <c r="H566" t="s">
        <v>240</v>
      </c>
      <c r="I566">
        <v>1</v>
      </c>
      <c r="J566" s="5">
        <v>32396</v>
      </c>
      <c r="K566" s="5">
        <v>32396</v>
      </c>
      <c r="L566" s="5">
        <v>4859.3999999999996</v>
      </c>
      <c r="M566" s="12">
        <v>0.15</v>
      </c>
      <c r="N566" s="5">
        <f t="shared" si="16"/>
        <v>27536.6</v>
      </c>
      <c r="O566" s="5">
        <v>21964.36</v>
      </c>
      <c r="P566" s="5">
        <f t="shared" si="17"/>
        <v>5572.239999999998</v>
      </c>
      <c r="Q566" t="s">
        <v>272</v>
      </c>
      <c r="R566">
        <v>2025</v>
      </c>
      <c r="S566">
        <v>7</v>
      </c>
    </row>
    <row r="567" spans="1:19" x14ac:dyDescent="0.3">
      <c r="A567" s="19" t="s">
        <v>625</v>
      </c>
      <c r="B567" s="20">
        <v>45845</v>
      </c>
      <c r="C567" s="19" t="s">
        <v>82</v>
      </c>
      <c r="D567" s="19" t="s">
        <v>21</v>
      </c>
      <c r="E567" s="19" t="s">
        <v>56</v>
      </c>
      <c r="F567" s="19" t="s">
        <v>30</v>
      </c>
      <c r="G567" s="19" t="s">
        <v>31</v>
      </c>
      <c r="H567" s="19" t="s">
        <v>25</v>
      </c>
      <c r="I567" s="19">
        <v>1</v>
      </c>
      <c r="J567" s="21">
        <v>48104</v>
      </c>
      <c r="K567" s="21">
        <v>48104</v>
      </c>
      <c r="L567" s="21">
        <v>0</v>
      </c>
      <c r="M567" s="15">
        <v>0</v>
      </c>
      <c r="N567" s="21">
        <f t="shared" si="16"/>
        <v>48104</v>
      </c>
      <c r="O567" s="21">
        <v>23215.73</v>
      </c>
      <c r="P567" s="21">
        <f t="shared" si="17"/>
        <v>24888.27</v>
      </c>
      <c r="Q567" s="19" t="s">
        <v>272</v>
      </c>
      <c r="R567" s="19">
        <v>2025</v>
      </c>
      <c r="S567" s="19">
        <v>7</v>
      </c>
    </row>
    <row r="568" spans="1:19" x14ac:dyDescent="0.3">
      <c r="A568" t="s">
        <v>626</v>
      </c>
      <c r="B568" s="2">
        <v>45848</v>
      </c>
      <c r="C568" t="s">
        <v>20</v>
      </c>
      <c r="D568" t="s">
        <v>21</v>
      </c>
      <c r="E568" t="s">
        <v>22</v>
      </c>
      <c r="F568" t="s">
        <v>40</v>
      </c>
      <c r="G568" t="s">
        <v>24</v>
      </c>
      <c r="H568" t="s">
        <v>240</v>
      </c>
      <c r="I568">
        <v>3</v>
      </c>
      <c r="J568" s="5">
        <v>15531</v>
      </c>
      <c r="K568" s="5">
        <v>46593</v>
      </c>
      <c r="L568" s="5">
        <v>9318.6</v>
      </c>
      <c r="M568" s="12">
        <v>0.2</v>
      </c>
      <c r="N568" s="5">
        <f t="shared" si="16"/>
        <v>37274.400000000001</v>
      </c>
      <c r="O568" s="5">
        <v>22384.240000000002</v>
      </c>
      <c r="P568" s="5">
        <f t="shared" si="17"/>
        <v>14890.16</v>
      </c>
      <c r="Q568" t="s">
        <v>272</v>
      </c>
      <c r="R568">
        <v>2025</v>
      </c>
      <c r="S568">
        <v>7</v>
      </c>
    </row>
    <row r="569" spans="1:19" x14ac:dyDescent="0.3">
      <c r="A569" s="19" t="s">
        <v>627</v>
      </c>
      <c r="B569" s="20">
        <v>45850</v>
      </c>
      <c r="C569" s="19" t="s">
        <v>64</v>
      </c>
      <c r="D569" s="19" t="s">
        <v>29</v>
      </c>
      <c r="E569" s="19" t="s">
        <v>44</v>
      </c>
      <c r="F569" s="19" t="s">
        <v>35</v>
      </c>
      <c r="G569" s="19" t="s">
        <v>31</v>
      </c>
      <c r="H569" s="19" t="s">
        <v>240</v>
      </c>
      <c r="I569" s="19">
        <v>3</v>
      </c>
      <c r="J569" s="21">
        <v>28424</v>
      </c>
      <c r="K569" s="21">
        <v>85272</v>
      </c>
      <c r="L569" s="21">
        <v>8527.2000000000007</v>
      </c>
      <c r="M569" s="15">
        <v>0.1</v>
      </c>
      <c r="N569" s="21">
        <f t="shared" si="16"/>
        <v>76744.800000000003</v>
      </c>
      <c r="O569" s="21">
        <v>45876.12</v>
      </c>
      <c r="P569" s="21">
        <f t="shared" si="17"/>
        <v>30868.68</v>
      </c>
      <c r="Q569" s="19" t="s">
        <v>272</v>
      </c>
      <c r="R569" s="19">
        <v>2025</v>
      </c>
      <c r="S569" s="19">
        <v>7</v>
      </c>
    </row>
    <row r="570" spans="1:19" x14ac:dyDescent="0.3">
      <c r="A570" t="s">
        <v>628</v>
      </c>
      <c r="B570" s="2">
        <v>45851</v>
      </c>
      <c r="C570" t="s">
        <v>50</v>
      </c>
      <c r="D570" t="s">
        <v>34</v>
      </c>
      <c r="E570" t="s">
        <v>22</v>
      </c>
      <c r="F570" t="s">
        <v>40</v>
      </c>
      <c r="G570" t="s">
        <v>31</v>
      </c>
      <c r="H570" t="s">
        <v>25</v>
      </c>
      <c r="I570">
        <v>3</v>
      </c>
      <c r="J570" s="5">
        <v>18229</v>
      </c>
      <c r="K570" s="5">
        <v>54687</v>
      </c>
      <c r="L570" s="5">
        <v>0</v>
      </c>
      <c r="M570" s="12">
        <v>0</v>
      </c>
      <c r="N570" s="5">
        <f t="shared" si="16"/>
        <v>54687</v>
      </c>
      <c r="O570" s="5">
        <v>35172.160000000003</v>
      </c>
      <c r="P570" s="5">
        <f t="shared" si="17"/>
        <v>19514.839999999997</v>
      </c>
      <c r="Q570" t="s">
        <v>272</v>
      </c>
      <c r="R570">
        <v>2025</v>
      </c>
      <c r="S570">
        <v>7</v>
      </c>
    </row>
    <row r="571" spans="1:19" x14ac:dyDescent="0.3">
      <c r="A571" s="19" t="s">
        <v>629</v>
      </c>
      <c r="B571" s="20">
        <v>45852</v>
      </c>
      <c r="C571" s="19" t="s">
        <v>48</v>
      </c>
      <c r="D571" s="19" t="s">
        <v>34</v>
      </c>
      <c r="E571" s="19" t="s">
        <v>22</v>
      </c>
      <c r="F571" s="19" t="s">
        <v>40</v>
      </c>
      <c r="G571" s="19" t="s">
        <v>31</v>
      </c>
      <c r="H571" s="19" t="s">
        <v>25</v>
      </c>
      <c r="I571" s="19">
        <v>1</v>
      </c>
      <c r="J571" s="21">
        <v>23086</v>
      </c>
      <c r="K571" s="21">
        <v>23086</v>
      </c>
      <c r="L571" s="21">
        <v>0</v>
      </c>
      <c r="M571" s="15">
        <v>0</v>
      </c>
      <c r="N571" s="21">
        <f t="shared" si="16"/>
        <v>23086</v>
      </c>
      <c r="O571" s="21">
        <v>13394.72</v>
      </c>
      <c r="P571" s="21">
        <f t="shared" si="17"/>
        <v>9691.2800000000007</v>
      </c>
      <c r="Q571" s="19" t="s">
        <v>272</v>
      </c>
      <c r="R571" s="19">
        <v>2025</v>
      </c>
      <c r="S571" s="19">
        <v>7</v>
      </c>
    </row>
    <row r="572" spans="1:19" x14ac:dyDescent="0.3">
      <c r="A572" t="s">
        <v>630</v>
      </c>
      <c r="B572" s="2">
        <v>45854</v>
      </c>
      <c r="C572" t="s">
        <v>71</v>
      </c>
      <c r="D572" t="s">
        <v>34</v>
      </c>
      <c r="E572" t="s">
        <v>22</v>
      </c>
      <c r="F572" t="s">
        <v>37</v>
      </c>
      <c r="G572" t="s">
        <v>31</v>
      </c>
      <c r="H572" t="s">
        <v>25</v>
      </c>
      <c r="I572">
        <v>1</v>
      </c>
      <c r="J572" s="5">
        <v>50485</v>
      </c>
      <c r="K572" s="5">
        <v>50485</v>
      </c>
      <c r="L572" s="5">
        <v>0</v>
      </c>
      <c r="M572" s="12">
        <v>0</v>
      </c>
      <c r="N572" s="5">
        <f t="shared" si="16"/>
        <v>50485</v>
      </c>
      <c r="O572" s="5">
        <v>31185.91</v>
      </c>
      <c r="P572" s="5">
        <f t="shared" si="17"/>
        <v>19299.09</v>
      </c>
      <c r="Q572" t="s">
        <v>272</v>
      </c>
      <c r="R572">
        <v>2025</v>
      </c>
      <c r="S572">
        <v>7</v>
      </c>
    </row>
    <row r="573" spans="1:19" x14ac:dyDescent="0.3">
      <c r="A573" s="19" t="s">
        <v>631</v>
      </c>
      <c r="B573" s="20">
        <v>45854</v>
      </c>
      <c r="C573" s="19" t="s">
        <v>64</v>
      </c>
      <c r="D573" s="19" t="s">
        <v>29</v>
      </c>
      <c r="E573" s="19" t="s">
        <v>42</v>
      </c>
      <c r="F573" s="19" t="s">
        <v>40</v>
      </c>
      <c r="G573" s="19" t="s">
        <v>31</v>
      </c>
      <c r="H573" s="19" t="s">
        <v>240</v>
      </c>
      <c r="I573" s="19">
        <v>2</v>
      </c>
      <c r="J573" s="21">
        <v>27788</v>
      </c>
      <c r="K573" s="21">
        <v>55576</v>
      </c>
      <c r="L573" s="21">
        <v>11115.2</v>
      </c>
      <c r="M573" s="15">
        <v>0.2</v>
      </c>
      <c r="N573" s="21">
        <f t="shared" si="16"/>
        <v>44460.800000000003</v>
      </c>
      <c r="O573" s="21">
        <v>31702.76</v>
      </c>
      <c r="P573" s="21">
        <f t="shared" si="17"/>
        <v>12758.040000000005</v>
      </c>
      <c r="Q573" s="19" t="s">
        <v>272</v>
      </c>
      <c r="R573" s="19">
        <v>2025</v>
      </c>
      <c r="S573" s="19">
        <v>7</v>
      </c>
    </row>
    <row r="574" spans="1:19" x14ac:dyDescent="0.3">
      <c r="A574" t="s">
        <v>632</v>
      </c>
      <c r="B574" s="2">
        <v>45855</v>
      </c>
      <c r="C574" t="s">
        <v>28</v>
      </c>
      <c r="D574" t="s">
        <v>29</v>
      </c>
      <c r="E574" t="s">
        <v>44</v>
      </c>
      <c r="F574" t="s">
        <v>37</v>
      </c>
      <c r="G574" t="s">
        <v>31</v>
      </c>
      <c r="H574" t="s">
        <v>25</v>
      </c>
      <c r="I574">
        <v>2</v>
      </c>
      <c r="J574" s="5">
        <v>66284</v>
      </c>
      <c r="K574" s="5">
        <v>132568</v>
      </c>
      <c r="L574" s="5">
        <v>0</v>
      </c>
      <c r="M574" s="12">
        <v>0</v>
      </c>
      <c r="N574" s="5">
        <f t="shared" si="16"/>
        <v>132568</v>
      </c>
      <c r="O574" s="5">
        <v>86020.87</v>
      </c>
      <c r="P574" s="5">
        <f t="shared" si="17"/>
        <v>46547.130000000005</v>
      </c>
      <c r="Q574" t="s">
        <v>272</v>
      </c>
      <c r="R574">
        <v>2025</v>
      </c>
      <c r="S574">
        <v>7</v>
      </c>
    </row>
    <row r="575" spans="1:19" x14ac:dyDescent="0.3">
      <c r="A575" s="19" t="s">
        <v>633</v>
      </c>
      <c r="B575" s="20">
        <v>45855</v>
      </c>
      <c r="C575" s="19" t="s">
        <v>64</v>
      </c>
      <c r="D575" s="19" t="s">
        <v>29</v>
      </c>
      <c r="E575" s="19" t="s">
        <v>22</v>
      </c>
      <c r="F575" s="19" t="s">
        <v>35</v>
      </c>
      <c r="G575" s="19" t="s">
        <v>31</v>
      </c>
      <c r="H575" s="19" t="s">
        <v>240</v>
      </c>
      <c r="I575" s="19">
        <v>1</v>
      </c>
      <c r="J575" s="21">
        <v>30206</v>
      </c>
      <c r="K575" s="21">
        <v>30206</v>
      </c>
      <c r="L575" s="21">
        <v>3020.6</v>
      </c>
      <c r="M575" s="15">
        <v>0.1</v>
      </c>
      <c r="N575" s="21">
        <f t="shared" si="16"/>
        <v>27185.4</v>
      </c>
      <c r="O575" s="21">
        <v>20322.77</v>
      </c>
      <c r="P575" s="21">
        <f t="shared" si="17"/>
        <v>6862.630000000001</v>
      </c>
      <c r="Q575" s="19" t="s">
        <v>272</v>
      </c>
      <c r="R575" s="19">
        <v>2025</v>
      </c>
      <c r="S575" s="19">
        <v>7</v>
      </c>
    </row>
    <row r="576" spans="1:19" x14ac:dyDescent="0.3">
      <c r="A576" t="s">
        <v>634</v>
      </c>
      <c r="B576" s="2">
        <v>45855</v>
      </c>
      <c r="C576" t="s">
        <v>46</v>
      </c>
      <c r="D576" t="s">
        <v>21</v>
      </c>
      <c r="E576" t="s">
        <v>56</v>
      </c>
      <c r="F576" t="s">
        <v>23</v>
      </c>
      <c r="G576" t="s">
        <v>31</v>
      </c>
      <c r="H576" t="s">
        <v>25</v>
      </c>
      <c r="I576">
        <v>1</v>
      </c>
      <c r="J576" s="5">
        <v>12078</v>
      </c>
      <c r="K576" s="5">
        <v>12078</v>
      </c>
      <c r="L576" s="5">
        <v>0</v>
      </c>
      <c r="M576" s="12">
        <v>0</v>
      </c>
      <c r="N576" s="5">
        <f t="shared" si="16"/>
        <v>12078</v>
      </c>
      <c r="O576" s="5">
        <v>6381.76</v>
      </c>
      <c r="P576" s="5">
        <f t="shared" si="17"/>
        <v>5696.24</v>
      </c>
      <c r="Q576" t="s">
        <v>272</v>
      </c>
      <c r="R576">
        <v>2025</v>
      </c>
      <c r="S576">
        <v>7</v>
      </c>
    </row>
    <row r="577" spans="1:19" x14ac:dyDescent="0.3">
      <c r="A577" s="19" t="s">
        <v>635</v>
      </c>
      <c r="B577" s="20">
        <v>45856</v>
      </c>
      <c r="C577" s="19" t="s">
        <v>33</v>
      </c>
      <c r="D577" s="19" t="s">
        <v>34</v>
      </c>
      <c r="E577" s="19" t="s">
        <v>42</v>
      </c>
      <c r="F577" s="19" t="s">
        <v>30</v>
      </c>
      <c r="G577" s="19" t="s">
        <v>31</v>
      </c>
      <c r="H577" s="19" t="s">
        <v>240</v>
      </c>
      <c r="I577" s="19">
        <v>2</v>
      </c>
      <c r="J577" s="21">
        <v>40554</v>
      </c>
      <c r="K577" s="21">
        <v>81108</v>
      </c>
      <c r="L577" s="21">
        <v>8110.8</v>
      </c>
      <c r="M577" s="15">
        <v>0.1</v>
      </c>
      <c r="N577" s="21">
        <f t="shared" si="16"/>
        <v>72997.2</v>
      </c>
      <c r="O577" s="21">
        <v>51958.2</v>
      </c>
      <c r="P577" s="21">
        <f t="shared" si="17"/>
        <v>21039</v>
      </c>
      <c r="Q577" s="19" t="s">
        <v>272</v>
      </c>
      <c r="R577" s="19">
        <v>2025</v>
      </c>
      <c r="S577" s="19">
        <v>7</v>
      </c>
    </row>
    <row r="578" spans="1:19" x14ac:dyDescent="0.3">
      <c r="A578" t="s">
        <v>636</v>
      </c>
      <c r="B578" s="2">
        <v>45857</v>
      </c>
      <c r="C578" t="s">
        <v>71</v>
      </c>
      <c r="D578" t="s">
        <v>34</v>
      </c>
      <c r="E578" t="s">
        <v>42</v>
      </c>
      <c r="F578" t="s">
        <v>37</v>
      </c>
      <c r="G578" t="s">
        <v>24</v>
      </c>
      <c r="H578" t="s">
        <v>25</v>
      </c>
      <c r="I578">
        <v>2</v>
      </c>
      <c r="J578" s="5">
        <v>48891</v>
      </c>
      <c r="K578" s="5">
        <v>97782</v>
      </c>
      <c r="L578" s="5">
        <v>0</v>
      </c>
      <c r="M578" s="12">
        <v>0</v>
      </c>
      <c r="N578" s="5">
        <f t="shared" si="16"/>
        <v>97782</v>
      </c>
      <c r="O578" s="5">
        <v>54891</v>
      </c>
      <c r="P578" s="5">
        <f t="shared" si="17"/>
        <v>42891</v>
      </c>
      <c r="Q578" t="s">
        <v>272</v>
      </c>
      <c r="R578">
        <v>2025</v>
      </c>
      <c r="S578">
        <v>7</v>
      </c>
    </row>
    <row r="579" spans="1:19" x14ac:dyDescent="0.3">
      <c r="A579" s="19" t="s">
        <v>637</v>
      </c>
      <c r="B579" s="20">
        <v>45857</v>
      </c>
      <c r="C579" s="19" t="s">
        <v>71</v>
      </c>
      <c r="D579" s="19" t="s">
        <v>34</v>
      </c>
      <c r="E579" s="19" t="s">
        <v>56</v>
      </c>
      <c r="F579" s="19" t="s">
        <v>35</v>
      </c>
      <c r="G579" s="19" t="s">
        <v>24</v>
      </c>
      <c r="H579" s="19" t="s">
        <v>25</v>
      </c>
      <c r="I579" s="19">
        <v>2</v>
      </c>
      <c r="J579" s="21">
        <v>49721</v>
      </c>
      <c r="K579" s="21">
        <v>99442</v>
      </c>
      <c r="L579" s="21">
        <v>0</v>
      </c>
      <c r="M579" s="15">
        <v>0</v>
      </c>
      <c r="N579" s="21">
        <f t="shared" ref="N579:N642" si="18">K579-L579</f>
        <v>99442</v>
      </c>
      <c r="O579" s="21">
        <v>58915.34</v>
      </c>
      <c r="P579" s="21">
        <f t="shared" si="17"/>
        <v>40526.660000000003</v>
      </c>
      <c r="Q579" s="19" t="s">
        <v>272</v>
      </c>
      <c r="R579" s="19">
        <v>2025</v>
      </c>
      <c r="S579" s="19">
        <v>7</v>
      </c>
    </row>
    <row r="580" spans="1:19" x14ac:dyDescent="0.3">
      <c r="A580" t="s">
        <v>638</v>
      </c>
      <c r="B580" s="2">
        <v>45858</v>
      </c>
      <c r="C580" t="s">
        <v>20</v>
      </c>
      <c r="D580" t="s">
        <v>21</v>
      </c>
      <c r="E580" t="s">
        <v>56</v>
      </c>
      <c r="F580" t="s">
        <v>35</v>
      </c>
      <c r="G580" t="s">
        <v>24</v>
      </c>
      <c r="H580" t="s">
        <v>240</v>
      </c>
      <c r="I580">
        <v>3</v>
      </c>
      <c r="J580" s="5">
        <v>14656</v>
      </c>
      <c r="K580" s="5">
        <v>43968</v>
      </c>
      <c r="L580" s="5">
        <v>6595.2</v>
      </c>
      <c r="M580" s="12">
        <v>0.15</v>
      </c>
      <c r="N580" s="5">
        <f t="shared" si="18"/>
        <v>37372.800000000003</v>
      </c>
      <c r="O580" s="5">
        <v>23413.599999999999</v>
      </c>
      <c r="P580" s="5">
        <f t="shared" ref="P580:P643" si="19">N580-O580</f>
        <v>13959.200000000004</v>
      </c>
      <c r="Q580" t="s">
        <v>272</v>
      </c>
      <c r="R580">
        <v>2025</v>
      </c>
      <c r="S580">
        <v>7</v>
      </c>
    </row>
    <row r="581" spans="1:19" x14ac:dyDescent="0.3">
      <c r="A581" s="19" t="s">
        <v>639</v>
      </c>
      <c r="B581" s="20">
        <v>45860</v>
      </c>
      <c r="C581" s="19" t="s">
        <v>20</v>
      </c>
      <c r="D581" s="19" t="s">
        <v>21</v>
      </c>
      <c r="E581" s="19" t="s">
        <v>56</v>
      </c>
      <c r="F581" s="19" t="s">
        <v>37</v>
      </c>
      <c r="G581" s="19" t="s">
        <v>31</v>
      </c>
      <c r="H581" s="19" t="s">
        <v>25</v>
      </c>
      <c r="I581" s="19">
        <v>2</v>
      </c>
      <c r="J581" s="21">
        <v>15578</v>
      </c>
      <c r="K581" s="21">
        <v>31156</v>
      </c>
      <c r="L581" s="21">
        <v>0</v>
      </c>
      <c r="M581" s="15">
        <v>0</v>
      </c>
      <c r="N581" s="21">
        <f t="shared" si="18"/>
        <v>31156</v>
      </c>
      <c r="O581" s="21">
        <v>19027.509999999998</v>
      </c>
      <c r="P581" s="21">
        <f t="shared" si="19"/>
        <v>12128.490000000002</v>
      </c>
      <c r="Q581" s="19" t="s">
        <v>272</v>
      </c>
      <c r="R581" s="19">
        <v>2025</v>
      </c>
      <c r="S581" s="19">
        <v>7</v>
      </c>
    </row>
    <row r="582" spans="1:19" x14ac:dyDescent="0.3">
      <c r="A582" t="s">
        <v>640</v>
      </c>
      <c r="B582" s="2">
        <v>45861</v>
      </c>
      <c r="C582" t="s">
        <v>82</v>
      </c>
      <c r="D582" t="s">
        <v>21</v>
      </c>
      <c r="E582" t="s">
        <v>22</v>
      </c>
      <c r="F582" t="s">
        <v>37</v>
      </c>
      <c r="G582" t="s">
        <v>31</v>
      </c>
      <c r="H582" t="s">
        <v>25</v>
      </c>
      <c r="I582">
        <v>4</v>
      </c>
      <c r="J582" s="5">
        <v>45073</v>
      </c>
      <c r="K582" s="5">
        <v>180292</v>
      </c>
      <c r="L582" s="5">
        <v>0</v>
      </c>
      <c r="M582" s="12">
        <v>0</v>
      </c>
      <c r="N582" s="5">
        <f t="shared" si="18"/>
        <v>180292</v>
      </c>
      <c r="O582" s="5">
        <v>105034.41</v>
      </c>
      <c r="P582" s="5">
        <f t="shared" si="19"/>
        <v>75257.59</v>
      </c>
      <c r="Q582" t="s">
        <v>272</v>
      </c>
      <c r="R582">
        <v>2025</v>
      </c>
      <c r="S582">
        <v>7</v>
      </c>
    </row>
    <row r="583" spans="1:19" x14ac:dyDescent="0.3">
      <c r="A583" s="19" t="s">
        <v>641</v>
      </c>
      <c r="B583" s="20">
        <v>45861</v>
      </c>
      <c r="C583" s="19" t="s">
        <v>82</v>
      </c>
      <c r="D583" s="19" t="s">
        <v>21</v>
      </c>
      <c r="E583" s="19" t="s">
        <v>22</v>
      </c>
      <c r="F583" s="19" t="s">
        <v>23</v>
      </c>
      <c r="G583" s="19" t="s">
        <v>31</v>
      </c>
      <c r="H583" s="19" t="s">
        <v>25</v>
      </c>
      <c r="I583" s="19">
        <v>2</v>
      </c>
      <c r="J583" s="21">
        <v>44505</v>
      </c>
      <c r="K583" s="21">
        <v>89010</v>
      </c>
      <c r="L583" s="21">
        <v>0</v>
      </c>
      <c r="M583" s="15">
        <v>0</v>
      </c>
      <c r="N583" s="21">
        <f t="shared" si="18"/>
        <v>89010</v>
      </c>
      <c r="O583" s="21">
        <v>59014.71</v>
      </c>
      <c r="P583" s="21">
        <f t="shared" si="19"/>
        <v>29995.29</v>
      </c>
      <c r="Q583" s="19" t="s">
        <v>272</v>
      </c>
      <c r="R583" s="19">
        <v>2025</v>
      </c>
      <c r="S583" s="19">
        <v>7</v>
      </c>
    </row>
    <row r="584" spans="1:19" x14ac:dyDescent="0.3">
      <c r="A584" t="s">
        <v>642</v>
      </c>
      <c r="B584" s="2">
        <v>45865</v>
      </c>
      <c r="C584" t="s">
        <v>33</v>
      </c>
      <c r="D584" t="s">
        <v>34</v>
      </c>
      <c r="E584" t="s">
        <v>56</v>
      </c>
      <c r="F584" t="s">
        <v>35</v>
      </c>
      <c r="G584" t="s">
        <v>31</v>
      </c>
      <c r="H584" t="s">
        <v>25</v>
      </c>
      <c r="I584">
        <v>4</v>
      </c>
      <c r="J584" s="5">
        <v>42402</v>
      </c>
      <c r="K584" s="5">
        <v>169608</v>
      </c>
      <c r="L584" s="5">
        <v>0</v>
      </c>
      <c r="M584" s="12">
        <v>0</v>
      </c>
      <c r="N584" s="5">
        <f t="shared" si="18"/>
        <v>169608</v>
      </c>
      <c r="O584" s="5">
        <v>102694.13</v>
      </c>
      <c r="P584" s="5">
        <f t="shared" si="19"/>
        <v>66913.87</v>
      </c>
      <c r="Q584" t="s">
        <v>272</v>
      </c>
      <c r="R584">
        <v>2025</v>
      </c>
      <c r="S584">
        <v>7</v>
      </c>
    </row>
    <row r="585" spans="1:19" x14ac:dyDescent="0.3">
      <c r="A585" s="19" t="s">
        <v>643</v>
      </c>
      <c r="B585" s="20">
        <v>45865</v>
      </c>
      <c r="C585" s="19" t="s">
        <v>33</v>
      </c>
      <c r="D585" s="19" t="s">
        <v>34</v>
      </c>
      <c r="E585" s="19" t="s">
        <v>56</v>
      </c>
      <c r="F585" s="19" t="s">
        <v>23</v>
      </c>
      <c r="G585" s="19" t="s">
        <v>24</v>
      </c>
      <c r="H585" s="19" t="s">
        <v>240</v>
      </c>
      <c r="I585" s="19">
        <v>3</v>
      </c>
      <c r="J585" s="21">
        <v>42288</v>
      </c>
      <c r="K585" s="21">
        <v>126864</v>
      </c>
      <c r="L585" s="21">
        <v>6343.2</v>
      </c>
      <c r="M585" s="15">
        <v>0.05</v>
      </c>
      <c r="N585" s="21">
        <f t="shared" si="18"/>
        <v>120520.8</v>
      </c>
      <c r="O585" s="21">
        <v>75806.06</v>
      </c>
      <c r="P585" s="21">
        <f t="shared" si="19"/>
        <v>44714.740000000005</v>
      </c>
      <c r="Q585" s="19" t="s">
        <v>272</v>
      </c>
      <c r="R585" s="19">
        <v>2025</v>
      </c>
      <c r="S585" s="19">
        <v>7</v>
      </c>
    </row>
    <row r="586" spans="1:19" x14ac:dyDescent="0.3">
      <c r="A586" t="s">
        <v>644</v>
      </c>
      <c r="B586" s="2">
        <v>45866</v>
      </c>
      <c r="C586" t="s">
        <v>75</v>
      </c>
      <c r="D586" t="s">
        <v>34</v>
      </c>
      <c r="E586" t="s">
        <v>56</v>
      </c>
      <c r="F586" t="s">
        <v>35</v>
      </c>
      <c r="G586" t="s">
        <v>24</v>
      </c>
      <c r="H586" t="s">
        <v>240</v>
      </c>
      <c r="I586">
        <v>2</v>
      </c>
      <c r="J586" s="5">
        <v>35913</v>
      </c>
      <c r="K586" s="5">
        <v>71826</v>
      </c>
      <c r="L586" s="5">
        <v>3591.3</v>
      </c>
      <c r="M586" s="12">
        <v>0.05</v>
      </c>
      <c r="N586" s="5">
        <f t="shared" si="18"/>
        <v>68234.7</v>
      </c>
      <c r="O586" s="5">
        <v>35078.6</v>
      </c>
      <c r="P586" s="5">
        <f t="shared" si="19"/>
        <v>33156.1</v>
      </c>
      <c r="Q586" t="s">
        <v>272</v>
      </c>
      <c r="R586">
        <v>2025</v>
      </c>
      <c r="S586">
        <v>7</v>
      </c>
    </row>
    <row r="587" spans="1:19" x14ac:dyDescent="0.3">
      <c r="A587" s="19" t="s">
        <v>645</v>
      </c>
      <c r="B587" s="20">
        <v>45866</v>
      </c>
      <c r="C587" s="19" t="s">
        <v>28</v>
      </c>
      <c r="D587" s="19" t="s">
        <v>29</v>
      </c>
      <c r="E587" s="19" t="s">
        <v>22</v>
      </c>
      <c r="F587" s="19" t="s">
        <v>35</v>
      </c>
      <c r="G587" s="19" t="s">
        <v>31</v>
      </c>
      <c r="H587" s="19" t="s">
        <v>25</v>
      </c>
      <c r="I587" s="19">
        <v>4</v>
      </c>
      <c r="J587" s="21">
        <v>63782</v>
      </c>
      <c r="K587" s="21">
        <v>255128</v>
      </c>
      <c r="L587" s="21">
        <v>0</v>
      </c>
      <c r="M587" s="15">
        <v>0</v>
      </c>
      <c r="N587" s="21">
        <f t="shared" si="18"/>
        <v>255128</v>
      </c>
      <c r="O587" s="21">
        <v>153291.39000000001</v>
      </c>
      <c r="P587" s="21">
        <f t="shared" si="19"/>
        <v>101836.60999999999</v>
      </c>
      <c r="Q587" s="19" t="s">
        <v>272</v>
      </c>
      <c r="R587" s="19">
        <v>2025</v>
      </c>
      <c r="S587" s="19">
        <v>7</v>
      </c>
    </row>
    <row r="588" spans="1:19" x14ac:dyDescent="0.3">
      <c r="A588" t="s">
        <v>646</v>
      </c>
      <c r="B588" s="2">
        <v>45866</v>
      </c>
      <c r="C588" t="s">
        <v>75</v>
      </c>
      <c r="D588" t="s">
        <v>34</v>
      </c>
      <c r="E588" t="s">
        <v>22</v>
      </c>
      <c r="F588" t="s">
        <v>35</v>
      </c>
      <c r="G588" t="s">
        <v>24</v>
      </c>
      <c r="H588" t="s">
        <v>240</v>
      </c>
      <c r="I588">
        <v>3</v>
      </c>
      <c r="J588" s="5">
        <v>36998</v>
      </c>
      <c r="K588" s="5">
        <v>110994</v>
      </c>
      <c r="L588" s="5">
        <v>11099.4</v>
      </c>
      <c r="M588" s="12">
        <v>0.1</v>
      </c>
      <c r="N588" s="5">
        <f t="shared" si="18"/>
        <v>99894.6</v>
      </c>
      <c r="O588" s="5">
        <v>71093.09</v>
      </c>
      <c r="P588" s="5">
        <f t="shared" si="19"/>
        <v>28801.510000000009</v>
      </c>
      <c r="Q588" t="s">
        <v>272</v>
      </c>
      <c r="R588">
        <v>2025</v>
      </c>
      <c r="S588">
        <v>7</v>
      </c>
    </row>
    <row r="589" spans="1:19" x14ac:dyDescent="0.3">
      <c r="A589" s="19" t="s">
        <v>647</v>
      </c>
      <c r="B589" s="20">
        <v>45868</v>
      </c>
      <c r="C589" s="19" t="s">
        <v>71</v>
      </c>
      <c r="D589" s="19" t="s">
        <v>34</v>
      </c>
      <c r="E589" s="19" t="s">
        <v>44</v>
      </c>
      <c r="F589" s="19" t="s">
        <v>35</v>
      </c>
      <c r="G589" s="19" t="s">
        <v>24</v>
      </c>
      <c r="H589" s="19" t="s">
        <v>240</v>
      </c>
      <c r="I589" s="19">
        <v>1</v>
      </c>
      <c r="J589" s="21">
        <v>49477</v>
      </c>
      <c r="K589" s="21">
        <v>49477</v>
      </c>
      <c r="L589" s="21">
        <v>7421.55</v>
      </c>
      <c r="M589" s="15">
        <v>0.15</v>
      </c>
      <c r="N589" s="21">
        <f t="shared" si="18"/>
        <v>42055.45</v>
      </c>
      <c r="O589" s="21">
        <v>28961.34</v>
      </c>
      <c r="P589" s="21">
        <f t="shared" si="19"/>
        <v>13094.109999999997</v>
      </c>
      <c r="Q589" s="19" t="s">
        <v>272</v>
      </c>
      <c r="R589" s="19">
        <v>2025</v>
      </c>
      <c r="S589" s="19">
        <v>7</v>
      </c>
    </row>
    <row r="590" spans="1:19" x14ac:dyDescent="0.3">
      <c r="A590" t="s">
        <v>648</v>
      </c>
      <c r="B590" s="2">
        <v>45869</v>
      </c>
      <c r="C590" t="s">
        <v>28</v>
      </c>
      <c r="D590" t="s">
        <v>29</v>
      </c>
      <c r="E590" t="s">
        <v>22</v>
      </c>
      <c r="F590" t="s">
        <v>37</v>
      </c>
      <c r="G590" t="s">
        <v>31</v>
      </c>
      <c r="H590" t="s">
        <v>25</v>
      </c>
      <c r="I590">
        <v>2</v>
      </c>
      <c r="J590" s="5">
        <v>68309</v>
      </c>
      <c r="K590" s="5">
        <v>136618</v>
      </c>
      <c r="L590" s="5">
        <v>6830.9</v>
      </c>
      <c r="M590" s="12">
        <v>0.05</v>
      </c>
      <c r="N590" s="5">
        <f t="shared" si="18"/>
        <v>129787.1</v>
      </c>
      <c r="O590" s="5">
        <v>89617.66</v>
      </c>
      <c r="P590" s="5">
        <f t="shared" si="19"/>
        <v>40169.440000000002</v>
      </c>
      <c r="Q590" t="s">
        <v>272</v>
      </c>
      <c r="R590">
        <v>2025</v>
      </c>
      <c r="S590">
        <v>7</v>
      </c>
    </row>
    <row r="591" spans="1:19" x14ac:dyDescent="0.3">
      <c r="A591" s="19" t="s">
        <v>649</v>
      </c>
      <c r="B591" s="20">
        <v>45869</v>
      </c>
      <c r="C591" s="19" t="s">
        <v>71</v>
      </c>
      <c r="D591" s="19" t="s">
        <v>34</v>
      </c>
      <c r="E591" s="19" t="s">
        <v>22</v>
      </c>
      <c r="F591" s="19" t="s">
        <v>37</v>
      </c>
      <c r="G591" s="19" t="s">
        <v>24</v>
      </c>
      <c r="H591" s="19" t="s">
        <v>25</v>
      </c>
      <c r="I591" s="19">
        <v>4</v>
      </c>
      <c r="J591" s="21">
        <v>46554</v>
      </c>
      <c r="K591" s="21">
        <v>186216</v>
      </c>
      <c r="L591" s="21">
        <v>0</v>
      </c>
      <c r="M591" s="15">
        <v>0</v>
      </c>
      <c r="N591" s="21">
        <f t="shared" si="18"/>
        <v>186216</v>
      </c>
      <c r="O591" s="21">
        <v>112090.45</v>
      </c>
      <c r="P591" s="21">
        <f t="shared" si="19"/>
        <v>74125.55</v>
      </c>
      <c r="Q591" s="19" t="s">
        <v>272</v>
      </c>
      <c r="R591" s="19">
        <v>2025</v>
      </c>
      <c r="S591" s="19">
        <v>7</v>
      </c>
    </row>
    <row r="592" spans="1:19" x14ac:dyDescent="0.3">
      <c r="A592" t="s">
        <v>650</v>
      </c>
      <c r="B592" s="2">
        <v>45870</v>
      </c>
      <c r="C592" t="s">
        <v>82</v>
      </c>
      <c r="D592" t="s">
        <v>21</v>
      </c>
      <c r="E592" t="s">
        <v>56</v>
      </c>
      <c r="F592" t="s">
        <v>40</v>
      </c>
      <c r="G592" t="s">
        <v>31</v>
      </c>
      <c r="H592" t="s">
        <v>25</v>
      </c>
      <c r="I592">
        <v>3</v>
      </c>
      <c r="J592" s="5">
        <v>47575</v>
      </c>
      <c r="K592" s="5">
        <v>142725</v>
      </c>
      <c r="L592" s="5">
        <v>0</v>
      </c>
      <c r="M592" s="12">
        <v>0</v>
      </c>
      <c r="N592" s="5">
        <f t="shared" si="18"/>
        <v>142725</v>
      </c>
      <c r="O592" s="5">
        <v>95531.78</v>
      </c>
      <c r="P592" s="5">
        <f t="shared" si="19"/>
        <v>47193.22</v>
      </c>
      <c r="Q592" t="s">
        <v>300</v>
      </c>
      <c r="R592">
        <v>2025</v>
      </c>
      <c r="S592">
        <v>8</v>
      </c>
    </row>
    <row r="593" spans="1:19" x14ac:dyDescent="0.3">
      <c r="A593" s="19" t="s">
        <v>651</v>
      </c>
      <c r="B593" s="20">
        <v>45870</v>
      </c>
      <c r="C593" s="19" t="s">
        <v>71</v>
      </c>
      <c r="D593" s="19" t="s">
        <v>34</v>
      </c>
      <c r="E593" s="19" t="s">
        <v>44</v>
      </c>
      <c r="F593" s="19" t="s">
        <v>37</v>
      </c>
      <c r="G593" s="19" t="s">
        <v>31</v>
      </c>
      <c r="H593" s="19" t="s">
        <v>25</v>
      </c>
      <c r="I593" s="19">
        <v>1</v>
      </c>
      <c r="J593" s="21">
        <v>49593</v>
      </c>
      <c r="K593" s="21">
        <v>49593</v>
      </c>
      <c r="L593" s="21">
        <v>0</v>
      </c>
      <c r="M593" s="15">
        <v>0</v>
      </c>
      <c r="N593" s="21">
        <f t="shared" si="18"/>
        <v>49593</v>
      </c>
      <c r="O593" s="21">
        <v>24708.59</v>
      </c>
      <c r="P593" s="21">
        <f t="shared" si="19"/>
        <v>24884.41</v>
      </c>
      <c r="Q593" s="19" t="s">
        <v>300</v>
      </c>
      <c r="R593" s="19">
        <v>2025</v>
      </c>
      <c r="S593" s="19">
        <v>8</v>
      </c>
    </row>
    <row r="594" spans="1:19" x14ac:dyDescent="0.3">
      <c r="A594" t="s">
        <v>652</v>
      </c>
      <c r="B594" s="2">
        <v>45871</v>
      </c>
      <c r="C594" t="s">
        <v>46</v>
      </c>
      <c r="D594" t="s">
        <v>21</v>
      </c>
      <c r="E594" t="s">
        <v>44</v>
      </c>
      <c r="F594" t="s">
        <v>35</v>
      </c>
      <c r="G594" t="s">
        <v>31</v>
      </c>
      <c r="H594" t="s">
        <v>25</v>
      </c>
      <c r="I594">
        <v>2</v>
      </c>
      <c r="J594" s="5">
        <v>12194</v>
      </c>
      <c r="K594" s="5">
        <v>24388</v>
      </c>
      <c r="L594" s="5">
        <v>0</v>
      </c>
      <c r="M594" s="12">
        <v>0</v>
      </c>
      <c r="N594" s="5">
        <f t="shared" si="18"/>
        <v>24388</v>
      </c>
      <c r="O594" s="5">
        <v>13604.43</v>
      </c>
      <c r="P594" s="5">
        <f t="shared" si="19"/>
        <v>10783.57</v>
      </c>
      <c r="Q594" t="s">
        <v>300</v>
      </c>
      <c r="R594">
        <v>2025</v>
      </c>
      <c r="S594">
        <v>8</v>
      </c>
    </row>
    <row r="595" spans="1:19" x14ac:dyDescent="0.3">
      <c r="A595" s="19" t="s">
        <v>653</v>
      </c>
      <c r="B595" s="20">
        <v>45872</v>
      </c>
      <c r="C595" s="19" t="s">
        <v>48</v>
      </c>
      <c r="D595" s="19" t="s">
        <v>34</v>
      </c>
      <c r="E595" s="19" t="s">
        <v>42</v>
      </c>
      <c r="F595" s="19" t="s">
        <v>35</v>
      </c>
      <c r="G595" s="19" t="s">
        <v>24</v>
      </c>
      <c r="H595" s="19" t="s">
        <v>25</v>
      </c>
      <c r="I595" s="19">
        <v>1</v>
      </c>
      <c r="J595" s="21">
        <v>26487</v>
      </c>
      <c r="K595" s="21">
        <v>26487</v>
      </c>
      <c r="L595" s="21">
        <v>2648.7</v>
      </c>
      <c r="M595" s="15">
        <v>0.1</v>
      </c>
      <c r="N595" s="21">
        <f t="shared" si="18"/>
        <v>23838.3</v>
      </c>
      <c r="O595" s="21">
        <v>14543.91</v>
      </c>
      <c r="P595" s="21">
        <f t="shared" si="19"/>
        <v>9294.39</v>
      </c>
      <c r="Q595" s="19" t="s">
        <v>300</v>
      </c>
      <c r="R595" s="19">
        <v>2025</v>
      </c>
      <c r="S595" s="19">
        <v>8</v>
      </c>
    </row>
    <row r="596" spans="1:19" x14ac:dyDescent="0.3">
      <c r="A596" t="s">
        <v>654</v>
      </c>
      <c r="B596" s="2">
        <v>45876</v>
      </c>
      <c r="C596" t="s">
        <v>64</v>
      </c>
      <c r="D596" t="s">
        <v>29</v>
      </c>
      <c r="E596" t="s">
        <v>42</v>
      </c>
      <c r="F596" t="s">
        <v>40</v>
      </c>
      <c r="G596" t="s">
        <v>24</v>
      </c>
      <c r="H596" t="s">
        <v>25</v>
      </c>
      <c r="I596">
        <v>1</v>
      </c>
      <c r="J596" s="5">
        <v>27619</v>
      </c>
      <c r="K596" s="5">
        <v>27619</v>
      </c>
      <c r="L596" s="5">
        <v>0</v>
      </c>
      <c r="M596" s="12">
        <v>0</v>
      </c>
      <c r="N596" s="5">
        <f t="shared" si="18"/>
        <v>27619</v>
      </c>
      <c r="O596" s="5">
        <v>15830.5</v>
      </c>
      <c r="P596" s="5">
        <f t="shared" si="19"/>
        <v>11788.5</v>
      </c>
      <c r="Q596" t="s">
        <v>300</v>
      </c>
      <c r="R596">
        <v>2025</v>
      </c>
      <c r="S596">
        <v>8</v>
      </c>
    </row>
    <row r="597" spans="1:19" x14ac:dyDescent="0.3">
      <c r="A597" s="19" t="s">
        <v>655</v>
      </c>
      <c r="B597" s="20">
        <v>45878</v>
      </c>
      <c r="C597" s="19" t="s">
        <v>50</v>
      </c>
      <c r="D597" s="19" t="s">
        <v>34</v>
      </c>
      <c r="E597" s="19" t="s">
        <v>56</v>
      </c>
      <c r="F597" s="19" t="s">
        <v>23</v>
      </c>
      <c r="G597" s="19" t="s">
        <v>24</v>
      </c>
      <c r="H597" s="19" t="s">
        <v>25</v>
      </c>
      <c r="I597" s="19">
        <v>1</v>
      </c>
      <c r="J597" s="21">
        <v>16801</v>
      </c>
      <c r="K597" s="21">
        <v>16801</v>
      </c>
      <c r="L597" s="21">
        <v>0</v>
      </c>
      <c r="M597" s="15">
        <v>0</v>
      </c>
      <c r="N597" s="21">
        <f t="shared" si="18"/>
        <v>16801</v>
      </c>
      <c r="O597" s="21">
        <v>10341.15</v>
      </c>
      <c r="P597" s="21">
        <f t="shared" si="19"/>
        <v>6459.85</v>
      </c>
      <c r="Q597" s="19" t="s">
        <v>300</v>
      </c>
      <c r="R597" s="19">
        <v>2025</v>
      </c>
      <c r="S597" s="19">
        <v>8</v>
      </c>
    </row>
    <row r="598" spans="1:19" x14ac:dyDescent="0.3">
      <c r="A598" t="s">
        <v>656</v>
      </c>
      <c r="B598" s="2">
        <v>45879</v>
      </c>
      <c r="C598" t="s">
        <v>33</v>
      </c>
      <c r="D598" t="s">
        <v>34</v>
      </c>
      <c r="E598" t="s">
        <v>22</v>
      </c>
      <c r="F598" t="s">
        <v>35</v>
      </c>
      <c r="G598" t="s">
        <v>31</v>
      </c>
      <c r="H598" t="s">
        <v>25</v>
      </c>
      <c r="I598">
        <v>1</v>
      </c>
      <c r="J598" s="5">
        <v>39875</v>
      </c>
      <c r="K598" s="5">
        <v>39875</v>
      </c>
      <c r="L598" s="5">
        <v>0</v>
      </c>
      <c r="M598" s="12">
        <v>0</v>
      </c>
      <c r="N598" s="5">
        <f t="shared" si="18"/>
        <v>39875</v>
      </c>
      <c r="O598" s="5">
        <v>19592.22</v>
      </c>
      <c r="P598" s="5">
        <f t="shared" si="19"/>
        <v>20282.78</v>
      </c>
      <c r="Q598" t="s">
        <v>300</v>
      </c>
      <c r="R598">
        <v>2025</v>
      </c>
      <c r="S598">
        <v>8</v>
      </c>
    </row>
    <row r="599" spans="1:19" x14ac:dyDescent="0.3">
      <c r="A599" s="19" t="s">
        <v>657</v>
      </c>
      <c r="B599" s="20">
        <v>45879</v>
      </c>
      <c r="C599" s="19" t="s">
        <v>75</v>
      </c>
      <c r="D599" s="19" t="s">
        <v>34</v>
      </c>
      <c r="E599" s="19" t="s">
        <v>56</v>
      </c>
      <c r="F599" s="19" t="s">
        <v>37</v>
      </c>
      <c r="G599" s="19" t="s">
        <v>24</v>
      </c>
      <c r="H599" s="19" t="s">
        <v>25</v>
      </c>
      <c r="I599" s="19">
        <v>4</v>
      </c>
      <c r="J599" s="21">
        <v>38699</v>
      </c>
      <c r="K599" s="21">
        <v>154796</v>
      </c>
      <c r="L599" s="21">
        <v>0</v>
      </c>
      <c r="M599" s="15">
        <v>0</v>
      </c>
      <c r="N599" s="21">
        <f t="shared" si="18"/>
        <v>154796</v>
      </c>
      <c r="O599" s="21">
        <v>104086.64</v>
      </c>
      <c r="P599" s="21">
        <f t="shared" si="19"/>
        <v>50709.36</v>
      </c>
      <c r="Q599" s="19" t="s">
        <v>300</v>
      </c>
      <c r="R599" s="19">
        <v>2025</v>
      </c>
      <c r="S599" s="19">
        <v>8</v>
      </c>
    </row>
    <row r="600" spans="1:19" x14ac:dyDescent="0.3">
      <c r="A600" t="s">
        <v>658</v>
      </c>
      <c r="B600" s="2">
        <v>45879</v>
      </c>
      <c r="C600" t="s">
        <v>82</v>
      </c>
      <c r="D600" t="s">
        <v>21</v>
      </c>
      <c r="E600" t="s">
        <v>42</v>
      </c>
      <c r="F600" t="s">
        <v>23</v>
      </c>
      <c r="G600" t="s">
        <v>31</v>
      </c>
      <c r="H600" t="s">
        <v>25</v>
      </c>
      <c r="I600">
        <v>3</v>
      </c>
      <c r="J600" s="5">
        <v>42106</v>
      </c>
      <c r="K600" s="5">
        <v>126318</v>
      </c>
      <c r="L600" s="5">
        <v>0</v>
      </c>
      <c r="M600" s="12">
        <v>0</v>
      </c>
      <c r="N600" s="5">
        <f t="shared" si="18"/>
        <v>126318</v>
      </c>
      <c r="O600" s="5">
        <v>84943.88</v>
      </c>
      <c r="P600" s="5">
        <f t="shared" si="19"/>
        <v>41374.119999999995</v>
      </c>
      <c r="Q600" t="s">
        <v>300</v>
      </c>
      <c r="R600">
        <v>2025</v>
      </c>
      <c r="S600">
        <v>8</v>
      </c>
    </row>
    <row r="601" spans="1:19" x14ac:dyDescent="0.3">
      <c r="A601" s="19" t="s">
        <v>659</v>
      </c>
      <c r="B601" s="20">
        <v>45881</v>
      </c>
      <c r="C601" s="19" t="s">
        <v>50</v>
      </c>
      <c r="D601" s="19" t="s">
        <v>34</v>
      </c>
      <c r="E601" s="19" t="s">
        <v>56</v>
      </c>
      <c r="F601" s="19" t="s">
        <v>40</v>
      </c>
      <c r="G601" s="19" t="s">
        <v>31</v>
      </c>
      <c r="H601" s="19" t="s">
        <v>25</v>
      </c>
      <c r="I601" s="19">
        <v>3</v>
      </c>
      <c r="J601" s="21">
        <v>18108</v>
      </c>
      <c r="K601" s="21">
        <v>54324</v>
      </c>
      <c r="L601" s="21">
        <v>0</v>
      </c>
      <c r="M601" s="15">
        <v>0</v>
      </c>
      <c r="N601" s="21">
        <f t="shared" si="18"/>
        <v>54324</v>
      </c>
      <c r="O601" s="21">
        <v>30411.759999999998</v>
      </c>
      <c r="P601" s="21">
        <f t="shared" si="19"/>
        <v>23912.240000000002</v>
      </c>
      <c r="Q601" s="19" t="s">
        <v>300</v>
      </c>
      <c r="R601" s="19">
        <v>2025</v>
      </c>
      <c r="S601" s="19">
        <v>8</v>
      </c>
    </row>
    <row r="602" spans="1:19" x14ac:dyDescent="0.3">
      <c r="A602" t="s">
        <v>660</v>
      </c>
      <c r="B602" s="2">
        <v>45884</v>
      </c>
      <c r="C602" t="s">
        <v>46</v>
      </c>
      <c r="D602" t="s">
        <v>21</v>
      </c>
      <c r="E602" t="s">
        <v>22</v>
      </c>
      <c r="F602" t="s">
        <v>40</v>
      </c>
      <c r="G602" t="s">
        <v>31</v>
      </c>
      <c r="H602" t="s">
        <v>25</v>
      </c>
      <c r="I602">
        <v>1</v>
      </c>
      <c r="J602" s="5">
        <v>12434</v>
      </c>
      <c r="K602" s="5">
        <v>12434</v>
      </c>
      <c r="L602" s="5">
        <v>0</v>
      </c>
      <c r="M602" s="12">
        <v>0</v>
      </c>
      <c r="N602" s="5">
        <f t="shared" si="18"/>
        <v>12434</v>
      </c>
      <c r="O602" s="5">
        <v>6214.96</v>
      </c>
      <c r="P602" s="5">
        <f t="shared" si="19"/>
        <v>6219.04</v>
      </c>
      <c r="Q602" t="s">
        <v>300</v>
      </c>
      <c r="R602">
        <v>2025</v>
      </c>
      <c r="S602">
        <v>8</v>
      </c>
    </row>
    <row r="603" spans="1:19" x14ac:dyDescent="0.3">
      <c r="A603" s="19" t="s">
        <v>661</v>
      </c>
      <c r="B603" s="20">
        <v>45884</v>
      </c>
      <c r="C603" s="19" t="s">
        <v>64</v>
      </c>
      <c r="D603" s="19" t="s">
        <v>29</v>
      </c>
      <c r="E603" s="19" t="s">
        <v>22</v>
      </c>
      <c r="F603" s="19" t="s">
        <v>30</v>
      </c>
      <c r="G603" s="19" t="s">
        <v>31</v>
      </c>
      <c r="H603" s="19" t="s">
        <v>25</v>
      </c>
      <c r="I603" s="19">
        <v>3</v>
      </c>
      <c r="J603" s="21">
        <v>31792</v>
      </c>
      <c r="K603" s="21">
        <v>95376</v>
      </c>
      <c r="L603" s="21">
        <v>0</v>
      </c>
      <c r="M603" s="15">
        <v>0</v>
      </c>
      <c r="N603" s="21">
        <f t="shared" si="18"/>
        <v>95376</v>
      </c>
      <c r="O603" s="21">
        <v>45933.69</v>
      </c>
      <c r="P603" s="21">
        <f t="shared" si="19"/>
        <v>49442.31</v>
      </c>
      <c r="Q603" s="19" t="s">
        <v>300</v>
      </c>
      <c r="R603" s="19">
        <v>2025</v>
      </c>
      <c r="S603" s="19">
        <v>8</v>
      </c>
    </row>
    <row r="604" spans="1:19" x14ac:dyDescent="0.3">
      <c r="A604" t="s">
        <v>662</v>
      </c>
      <c r="B604" s="2">
        <v>45885</v>
      </c>
      <c r="C604" t="s">
        <v>20</v>
      </c>
      <c r="D604" t="s">
        <v>21</v>
      </c>
      <c r="E604" t="s">
        <v>42</v>
      </c>
      <c r="F604" t="s">
        <v>37</v>
      </c>
      <c r="G604" t="s">
        <v>24</v>
      </c>
      <c r="H604" t="s">
        <v>25</v>
      </c>
      <c r="I604">
        <v>2</v>
      </c>
      <c r="J604" s="5">
        <v>15216</v>
      </c>
      <c r="K604" s="5">
        <v>30432</v>
      </c>
      <c r="L604" s="5">
        <v>0</v>
      </c>
      <c r="M604" s="12">
        <v>0</v>
      </c>
      <c r="N604" s="5">
        <f t="shared" si="18"/>
        <v>30432</v>
      </c>
      <c r="O604" s="5">
        <v>18144.21</v>
      </c>
      <c r="P604" s="5">
        <f t="shared" si="19"/>
        <v>12287.79</v>
      </c>
      <c r="Q604" t="s">
        <v>300</v>
      </c>
      <c r="R604">
        <v>2025</v>
      </c>
      <c r="S604">
        <v>8</v>
      </c>
    </row>
    <row r="605" spans="1:19" x14ac:dyDescent="0.3">
      <c r="A605" s="19" t="s">
        <v>663</v>
      </c>
      <c r="B605" s="20">
        <v>45886</v>
      </c>
      <c r="C605" s="19" t="s">
        <v>75</v>
      </c>
      <c r="D605" s="19" t="s">
        <v>34</v>
      </c>
      <c r="E605" s="19" t="s">
        <v>56</v>
      </c>
      <c r="F605" s="19" t="s">
        <v>40</v>
      </c>
      <c r="G605" s="19" t="s">
        <v>31</v>
      </c>
      <c r="H605" s="19" t="s">
        <v>25</v>
      </c>
      <c r="I605" s="19">
        <v>1</v>
      </c>
      <c r="J605" s="21">
        <v>37189</v>
      </c>
      <c r="K605" s="21">
        <v>37189</v>
      </c>
      <c r="L605" s="21">
        <v>1859.45</v>
      </c>
      <c r="M605" s="15">
        <v>0.05</v>
      </c>
      <c r="N605" s="21">
        <f t="shared" si="18"/>
        <v>35329.550000000003</v>
      </c>
      <c r="O605" s="21">
        <v>21177.45</v>
      </c>
      <c r="P605" s="21">
        <f t="shared" si="19"/>
        <v>14152.100000000002</v>
      </c>
      <c r="Q605" s="19" t="s">
        <v>300</v>
      </c>
      <c r="R605" s="19">
        <v>2025</v>
      </c>
      <c r="S605" s="19">
        <v>8</v>
      </c>
    </row>
    <row r="606" spans="1:19" x14ac:dyDescent="0.3">
      <c r="A606" t="s">
        <v>664</v>
      </c>
      <c r="B606" s="2">
        <v>45887</v>
      </c>
      <c r="C606" t="s">
        <v>28</v>
      </c>
      <c r="D606" t="s">
        <v>29</v>
      </c>
      <c r="E606" t="s">
        <v>22</v>
      </c>
      <c r="F606" t="s">
        <v>23</v>
      </c>
      <c r="G606" t="s">
        <v>31</v>
      </c>
      <c r="H606" t="s">
        <v>25</v>
      </c>
      <c r="I606">
        <v>2</v>
      </c>
      <c r="J606" s="5">
        <v>67148</v>
      </c>
      <c r="K606" s="5">
        <v>134296</v>
      </c>
      <c r="L606" s="5">
        <v>0</v>
      </c>
      <c r="M606" s="12">
        <v>0</v>
      </c>
      <c r="N606" s="5">
        <f t="shared" si="18"/>
        <v>134296</v>
      </c>
      <c r="O606" s="5">
        <v>81526.36</v>
      </c>
      <c r="P606" s="5">
        <f t="shared" si="19"/>
        <v>52769.64</v>
      </c>
      <c r="Q606" t="s">
        <v>300</v>
      </c>
      <c r="R606">
        <v>2025</v>
      </c>
      <c r="S606">
        <v>8</v>
      </c>
    </row>
    <row r="607" spans="1:19" x14ac:dyDescent="0.3">
      <c r="A607" s="19" t="s">
        <v>665</v>
      </c>
      <c r="B607" s="20">
        <v>45889</v>
      </c>
      <c r="C607" s="19" t="s">
        <v>64</v>
      </c>
      <c r="D607" s="19" t="s">
        <v>29</v>
      </c>
      <c r="E607" s="19" t="s">
        <v>56</v>
      </c>
      <c r="F607" s="19" t="s">
        <v>30</v>
      </c>
      <c r="G607" s="19" t="s">
        <v>31</v>
      </c>
      <c r="H607" s="19" t="s">
        <v>25</v>
      </c>
      <c r="I607" s="19">
        <v>5</v>
      </c>
      <c r="J607" s="21">
        <v>31309</v>
      </c>
      <c r="K607" s="21">
        <v>156545</v>
      </c>
      <c r="L607" s="21">
        <v>0</v>
      </c>
      <c r="M607" s="15">
        <v>0</v>
      </c>
      <c r="N607" s="21">
        <f t="shared" si="18"/>
        <v>156545</v>
      </c>
      <c r="O607" s="21">
        <v>79621.34</v>
      </c>
      <c r="P607" s="21">
        <f t="shared" si="19"/>
        <v>76923.66</v>
      </c>
      <c r="Q607" s="19" t="s">
        <v>300</v>
      </c>
      <c r="R607" s="19">
        <v>2025</v>
      </c>
      <c r="S607" s="19">
        <v>8</v>
      </c>
    </row>
    <row r="608" spans="1:19" x14ac:dyDescent="0.3">
      <c r="A608" t="s">
        <v>666</v>
      </c>
      <c r="B608" s="2">
        <v>45892</v>
      </c>
      <c r="C608" t="s">
        <v>75</v>
      </c>
      <c r="D608" t="s">
        <v>34</v>
      </c>
      <c r="E608" t="s">
        <v>22</v>
      </c>
      <c r="F608" t="s">
        <v>23</v>
      </c>
      <c r="G608" t="s">
        <v>24</v>
      </c>
      <c r="H608" t="s">
        <v>25</v>
      </c>
      <c r="I608">
        <v>3</v>
      </c>
      <c r="J608" s="5">
        <v>39932</v>
      </c>
      <c r="K608" s="5">
        <v>119796</v>
      </c>
      <c r="L608" s="5">
        <v>0</v>
      </c>
      <c r="M608" s="12">
        <v>0</v>
      </c>
      <c r="N608" s="5">
        <f t="shared" si="18"/>
        <v>119796</v>
      </c>
      <c r="O608" s="5">
        <v>70547.600000000006</v>
      </c>
      <c r="P608" s="5">
        <f t="shared" si="19"/>
        <v>49248.399999999994</v>
      </c>
      <c r="Q608" t="s">
        <v>300</v>
      </c>
      <c r="R608">
        <v>2025</v>
      </c>
      <c r="S608">
        <v>8</v>
      </c>
    </row>
    <row r="609" spans="1:19" x14ac:dyDescent="0.3">
      <c r="A609" s="19" t="s">
        <v>667</v>
      </c>
      <c r="B609" s="20">
        <v>45892</v>
      </c>
      <c r="C609" s="19" t="s">
        <v>46</v>
      </c>
      <c r="D609" s="19" t="s">
        <v>21</v>
      </c>
      <c r="E609" s="19" t="s">
        <v>44</v>
      </c>
      <c r="F609" s="19" t="s">
        <v>23</v>
      </c>
      <c r="G609" s="19" t="s">
        <v>31</v>
      </c>
      <c r="H609" s="19" t="s">
        <v>25</v>
      </c>
      <c r="I609" s="19">
        <v>3</v>
      </c>
      <c r="J609" s="21">
        <v>12466</v>
      </c>
      <c r="K609" s="21">
        <v>37398</v>
      </c>
      <c r="L609" s="21">
        <v>0</v>
      </c>
      <c r="M609" s="15">
        <v>0</v>
      </c>
      <c r="N609" s="21">
        <f t="shared" si="18"/>
        <v>37398</v>
      </c>
      <c r="O609" s="21">
        <v>23627.23</v>
      </c>
      <c r="P609" s="21">
        <f t="shared" si="19"/>
        <v>13770.77</v>
      </c>
      <c r="Q609" s="19" t="s">
        <v>300</v>
      </c>
      <c r="R609" s="19">
        <v>2025</v>
      </c>
      <c r="S609" s="19">
        <v>8</v>
      </c>
    </row>
    <row r="610" spans="1:19" x14ac:dyDescent="0.3">
      <c r="A610" t="s">
        <v>668</v>
      </c>
      <c r="B610" s="2">
        <v>45895</v>
      </c>
      <c r="C610" t="s">
        <v>50</v>
      </c>
      <c r="D610" t="s">
        <v>34</v>
      </c>
      <c r="E610" t="s">
        <v>42</v>
      </c>
      <c r="F610" t="s">
        <v>30</v>
      </c>
      <c r="G610" t="s">
        <v>24</v>
      </c>
      <c r="H610" t="s">
        <v>25</v>
      </c>
      <c r="I610">
        <v>2</v>
      </c>
      <c r="J610" s="5">
        <v>17884</v>
      </c>
      <c r="K610" s="5">
        <v>35768</v>
      </c>
      <c r="L610" s="5">
        <v>5365.2</v>
      </c>
      <c r="M610" s="12">
        <v>0.15</v>
      </c>
      <c r="N610" s="5">
        <f t="shared" si="18"/>
        <v>30402.799999999999</v>
      </c>
      <c r="O610" s="5">
        <v>17404.34</v>
      </c>
      <c r="P610" s="5">
        <f t="shared" si="19"/>
        <v>12998.46</v>
      </c>
      <c r="Q610" t="s">
        <v>300</v>
      </c>
      <c r="R610">
        <v>2025</v>
      </c>
      <c r="S610">
        <v>8</v>
      </c>
    </row>
    <row r="611" spans="1:19" x14ac:dyDescent="0.3">
      <c r="A611" s="19" t="s">
        <v>669</v>
      </c>
      <c r="B611" s="20">
        <v>45895</v>
      </c>
      <c r="C611" s="19" t="s">
        <v>71</v>
      </c>
      <c r="D611" s="19" t="s">
        <v>34</v>
      </c>
      <c r="E611" s="19" t="s">
        <v>42</v>
      </c>
      <c r="F611" s="19" t="s">
        <v>40</v>
      </c>
      <c r="G611" s="19" t="s">
        <v>31</v>
      </c>
      <c r="H611" s="19" t="s">
        <v>25</v>
      </c>
      <c r="I611" s="19">
        <v>2</v>
      </c>
      <c r="J611" s="21">
        <v>52153</v>
      </c>
      <c r="K611" s="21">
        <v>104306</v>
      </c>
      <c r="L611" s="21">
        <v>10430.6</v>
      </c>
      <c r="M611" s="15">
        <v>0.1</v>
      </c>
      <c r="N611" s="21">
        <f t="shared" si="18"/>
        <v>93875.4</v>
      </c>
      <c r="O611" s="21">
        <v>70093.88</v>
      </c>
      <c r="P611" s="21">
        <f t="shared" si="19"/>
        <v>23781.51999999999</v>
      </c>
      <c r="Q611" s="19" t="s">
        <v>300</v>
      </c>
      <c r="R611" s="19">
        <v>2025</v>
      </c>
      <c r="S611" s="19">
        <v>8</v>
      </c>
    </row>
    <row r="612" spans="1:19" x14ac:dyDescent="0.3">
      <c r="A612" t="s">
        <v>670</v>
      </c>
      <c r="B612" s="2">
        <v>45896</v>
      </c>
      <c r="C612" t="s">
        <v>50</v>
      </c>
      <c r="D612" t="s">
        <v>34</v>
      </c>
      <c r="E612" t="s">
        <v>44</v>
      </c>
      <c r="F612" t="s">
        <v>40</v>
      </c>
      <c r="G612" t="s">
        <v>24</v>
      </c>
      <c r="H612" t="s">
        <v>25</v>
      </c>
      <c r="I612">
        <v>1</v>
      </c>
      <c r="J612" s="5">
        <v>17236</v>
      </c>
      <c r="K612" s="5">
        <v>17236</v>
      </c>
      <c r="L612" s="5">
        <v>1723.6</v>
      </c>
      <c r="M612" s="12">
        <v>0.1</v>
      </c>
      <c r="N612" s="5">
        <f t="shared" si="18"/>
        <v>15512.4</v>
      </c>
      <c r="O612" s="5">
        <v>9436.1299999999992</v>
      </c>
      <c r="P612" s="5">
        <f t="shared" si="19"/>
        <v>6076.27</v>
      </c>
      <c r="Q612" t="s">
        <v>300</v>
      </c>
      <c r="R612">
        <v>2025</v>
      </c>
      <c r="S612">
        <v>8</v>
      </c>
    </row>
    <row r="613" spans="1:19" x14ac:dyDescent="0.3">
      <c r="A613" s="19" t="s">
        <v>671</v>
      </c>
      <c r="B613" s="20">
        <v>45898</v>
      </c>
      <c r="C613" s="19" t="s">
        <v>82</v>
      </c>
      <c r="D613" s="19" t="s">
        <v>21</v>
      </c>
      <c r="E613" s="19" t="s">
        <v>22</v>
      </c>
      <c r="F613" s="19" t="s">
        <v>30</v>
      </c>
      <c r="G613" s="19" t="s">
        <v>24</v>
      </c>
      <c r="H613" s="19" t="s">
        <v>25</v>
      </c>
      <c r="I613" s="19">
        <v>1</v>
      </c>
      <c r="J613" s="21">
        <v>47768</v>
      </c>
      <c r="K613" s="21">
        <v>47768</v>
      </c>
      <c r="L613" s="21">
        <v>0</v>
      </c>
      <c r="M613" s="15">
        <v>0</v>
      </c>
      <c r="N613" s="21">
        <f t="shared" si="18"/>
        <v>47768</v>
      </c>
      <c r="O613" s="21">
        <v>24844.639999999999</v>
      </c>
      <c r="P613" s="21">
        <f t="shared" si="19"/>
        <v>22923.360000000001</v>
      </c>
      <c r="Q613" s="19" t="s">
        <v>300</v>
      </c>
      <c r="R613" s="19">
        <v>2025</v>
      </c>
      <c r="S613" s="19">
        <v>8</v>
      </c>
    </row>
    <row r="614" spans="1:19" x14ac:dyDescent="0.3">
      <c r="A614" t="s">
        <v>672</v>
      </c>
      <c r="B614" s="2">
        <v>45900</v>
      </c>
      <c r="C614" t="s">
        <v>64</v>
      </c>
      <c r="D614" t="s">
        <v>29</v>
      </c>
      <c r="E614" t="s">
        <v>22</v>
      </c>
      <c r="F614" t="s">
        <v>30</v>
      </c>
      <c r="G614" t="s">
        <v>31</v>
      </c>
      <c r="H614" t="s">
        <v>25</v>
      </c>
      <c r="I614">
        <v>3</v>
      </c>
      <c r="J614" s="5">
        <v>31949</v>
      </c>
      <c r="K614" s="5">
        <v>95847</v>
      </c>
      <c r="L614" s="5">
        <v>0</v>
      </c>
      <c r="M614" s="12">
        <v>0</v>
      </c>
      <c r="N614" s="5">
        <f t="shared" si="18"/>
        <v>95847</v>
      </c>
      <c r="O614" s="5">
        <v>59901.62</v>
      </c>
      <c r="P614" s="5">
        <f t="shared" si="19"/>
        <v>35945.379999999997</v>
      </c>
      <c r="Q614" t="s">
        <v>300</v>
      </c>
      <c r="R614">
        <v>2025</v>
      </c>
      <c r="S614">
        <v>8</v>
      </c>
    </row>
    <row r="615" spans="1:19" x14ac:dyDescent="0.3">
      <c r="A615" s="19" t="s">
        <v>673</v>
      </c>
      <c r="B615" s="20">
        <v>45901</v>
      </c>
      <c r="C615" s="19" t="s">
        <v>46</v>
      </c>
      <c r="D615" s="19" t="s">
        <v>21</v>
      </c>
      <c r="E615" s="19" t="s">
        <v>56</v>
      </c>
      <c r="F615" s="19" t="s">
        <v>37</v>
      </c>
      <c r="G615" s="19" t="s">
        <v>24</v>
      </c>
      <c r="H615" s="19" t="s">
        <v>25</v>
      </c>
      <c r="I615" s="19">
        <v>2</v>
      </c>
      <c r="J615" s="21">
        <v>11651</v>
      </c>
      <c r="K615" s="21">
        <v>23302</v>
      </c>
      <c r="L615" s="21">
        <v>0</v>
      </c>
      <c r="M615" s="15">
        <v>0</v>
      </c>
      <c r="N615" s="21">
        <f t="shared" si="18"/>
        <v>23302</v>
      </c>
      <c r="O615" s="21">
        <v>13499.89</v>
      </c>
      <c r="P615" s="21">
        <f t="shared" si="19"/>
        <v>9802.11</v>
      </c>
      <c r="Q615" s="19" t="s">
        <v>334</v>
      </c>
      <c r="R615" s="19">
        <v>2025</v>
      </c>
      <c r="S615" s="19">
        <v>9</v>
      </c>
    </row>
    <row r="616" spans="1:19" x14ac:dyDescent="0.3">
      <c r="A616" t="s">
        <v>674</v>
      </c>
      <c r="B616" s="2">
        <v>45901</v>
      </c>
      <c r="C616" t="s">
        <v>71</v>
      </c>
      <c r="D616" t="s">
        <v>34</v>
      </c>
      <c r="E616" t="s">
        <v>22</v>
      </c>
      <c r="F616" t="s">
        <v>40</v>
      </c>
      <c r="G616" t="s">
        <v>31</v>
      </c>
      <c r="H616" t="s">
        <v>25</v>
      </c>
      <c r="I616">
        <v>3</v>
      </c>
      <c r="J616" s="5">
        <v>51687</v>
      </c>
      <c r="K616" s="5">
        <v>155061</v>
      </c>
      <c r="L616" s="5">
        <v>0</v>
      </c>
      <c r="M616" s="12">
        <v>0</v>
      </c>
      <c r="N616" s="5">
        <f t="shared" si="18"/>
        <v>155061</v>
      </c>
      <c r="O616" s="5">
        <v>90229.46</v>
      </c>
      <c r="P616" s="5">
        <f t="shared" si="19"/>
        <v>64831.539999999994</v>
      </c>
      <c r="Q616" t="s">
        <v>334</v>
      </c>
      <c r="R616">
        <v>2025</v>
      </c>
      <c r="S616">
        <v>9</v>
      </c>
    </row>
    <row r="617" spans="1:19" x14ac:dyDescent="0.3">
      <c r="A617" s="19" t="s">
        <v>675</v>
      </c>
      <c r="B617" s="20">
        <v>45904</v>
      </c>
      <c r="C617" s="19" t="s">
        <v>50</v>
      </c>
      <c r="D617" s="19" t="s">
        <v>34</v>
      </c>
      <c r="E617" s="19" t="s">
        <v>42</v>
      </c>
      <c r="F617" s="19" t="s">
        <v>23</v>
      </c>
      <c r="G617" s="19" t="s">
        <v>24</v>
      </c>
      <c r="H617" s="19" t="s">
        <v>25</v>
      </c>
      <c r="I617" s="19">
        <v>4</v>
      </c>
      <c r="J617" s="21">
        <v>17463</v>
      </c>
      <c r="K617" s="21">
        <v>69852</v>
      </c>
      <c r="L617" s="21">
        <v>0</v>
      </c>
      <c r="M617" s="15">
        <v>0</v>
      </c>
      <c r="N617" s="21">
        <f t="shared" si="18"/>
        <v>69852</v>
      </c>
      <c r="O617" s="21">
        <v>43276.34</v>
      </c>
      <c r="P617" s="21">
        <f t="shared" si="19"/>
        <v>26575.660000000003</v>
      </c>
      <c r="Q617" s="19" t="s">
        <v>334</v>
      </c>
      <c r="R617" s="19">
        <v>2025</v>
      </c>
      <c r="S617" s="19">
        <v>9</v>
      </c>
    </row>
    <row r="618" spans="1:19" x14ac:dyDescent="0.3">
      <c r="A618" t="s">
        <v>676</v>
      </c>
      <c r="B618" s="2">
        <v>45904</v>
      </c>
      <c r="C618" t="s">
        <v>82</v>
      </c>
      <c r="D618" t="s">
        <v>21</v>
      </c>
      <c r="E618" t="s">
        <v>44</v>
      </c>
      <c r="F618" t="s">
        <v>37</v>
      </c>
      <c r="G618" t="s">
        <v>24</v>
      </c>
      <c r="H618" t="s">
        <v>25</v>
      </c>
      <c r="I618">
        <v>5</v>
      </c>
      <c r="J618" s="5">
        <v>45167</v>
      </c>
      <c r="K618" s="5">
        <v>225835</v>
      </c>
      <c r="L618" s="5">
        <v>0</v>
      </c>
      <c r="M618" s="12">
        <v>0</v>
      </c>
      <c r="N618" s="5">
        <f t="shared" si="18"/>
        <v>225835</v>
      </c>
      <c r="O618" s="5">
        <v>144211.66</v>
      </c>
      <c r="P618" s="5">
        <f t="shared" si="19"/>
        <v>81623.34</v>
      </c>
      <c r="Q618" t="s">
        <v>334</v>
      </c>
      <c r="R618">
        <v>2025</v>
      </c>
      <c r="S618">
        <v>9</v>
      </c>
    </row>
    <row r="619" spans="1:19" x14ac:dyDescent="0.3">
      <c r="A619" s="19" t="s">
        <v>677</v>
      </c>
      <c r="B619" s="20">
        <v>45904</v>
      </c>
      <c r="C619" s="19" t="s">
        <v>48</v>
      </c>
      <c r="D619" s="19" t="s">
        <v>34</v>
      </c>
      <c r="E619" s="19" t="s">
        <v>42</v>
      </c>
      <c r="F619" s="19" t="s">
        <v>40</v>
      </c>
      <c r="G619" s="19" t="s">
        <v>31</v>
      </c>
      <c r="H619" s="19" t="s">
        <v>25</v>
      </c>
      <c r="I619" s="19">
        <v>4</v>
      </c>
      <c r="J619" s="21">
        <v>25109</v>
      </c>
      <c r="K619" s="21">
        <v>100436</v>
      </c>
      <c r="L619" s="21">
        <v>0</v>
      </c>
      <c r="M619" s="15">
        <v>0</v>
      </c>
      <c r="N619" s="21">
        <f t="shared" si="18"/>
        <v>100436</v>
      </c>
      <c r="O619" s="21">
        <v>48225.14</v>
      </c>
      <c r="P619" s="21">
        <f t="shared" si="19"/>
        <v>52210.86</v>
      </c>
      <c r="Q619" s="19" t="s">
        <v>334</v>
      </c>
      <c r="R619" s="19">
        <v>2025</v>
      </c>
      <c r="S619" s="19">
        <v>9</v>
      </c>
    </row>
    <row r="620" spans="1:19" x14ac:dyDescent="0.3">
      <c r="A620" t="s">
        <v>678</v>
      </c>
      <c r="B620" s="2">
        <v>45906</v>
      </c>
      <c r="C620" t="s">
        <v>46</v>
      </c>
      <c r="D620" t="s">
        <v>21</v>
      </c>
      <c r="E620" t="s">
        <v>56</v>
      </c>
      <c r="F620" t="s">
        <v>30</v>
      </c>
      <c r="G620" t="s">
        <v>31</v>
      </c>
      <c r="H620" t="s">
        <v>25</v>
      </c>
      <c r="I620">
        <v>2</v>
      </c>
      <c r="J620" s="5">
        <v>12777</v>
      </c>
      <c r="K620" s="5">
        <v>25554</v>
      </c>
      <c r="L620" s="5">
        <v>0</v>
      </c>
      <c r="M620" s="12">
        <v>0</v>
      </c>
      <c r="N620" s="5">
        <f t="shared" si="18"/>
        <v>25554</v>
      </c>
      <c r="O620" s="5">
        <v>13480.75</v>
      </c>
      <c r="P620" s="5">
        <f t="shared" si="19"/>
        <v>12073.25</v>
      </c>
      <c r="Q620" t="s">
        <v>334</v>
      </c>
      <c r="R620">
        <v>2025</v>
      </c>
      <c r="S620">
        <v>9</v>
      </c>
    </row>
    <row r="621" spans="1:19" x14ac:dyDescent="0.3">
      <c r="A621" s="19" t="s">
        <v>679</v>
      </c>
      <c r="B621" s="20">
        <v>45907</v>
      </c>
      <c r="C621" s="19" t="s">
        <v>33</v>
      </c>
      <c r="D621" s="19" t="s">
        <v>34</v>
      </c>
      <c r="E621" s="19" t="s">
        <v>56</v>
      </c>
      <c r="F621" s="19" t="s">
        <v>40</v>
      </c>
      <c r="G621" s="19" t="s">
        <v>24</v>
      </c>
      <c r="H621" s="19" t="s">
        <v>25</v>
      </c>
      <c r="I621" s="19">
        <v>1</v>
      </c>
      <c r="J621" s="21">
        <v>38642</v>
      </c>
      <c r="K621" s="21">
        <v>38642</v>
      </c>
      <c r="L621" s="21">
        <v>0</v>
      </c>
      <c r="M621" s="15">
        <v>0</v>
      </c>
      <c r="N621" s="21">
        <f t="shared" si="18"/>
        <v>38642</v>
      </c>
      <c r="O621" s="21">
        <v>25626.93</v>
      </c>
      <c r="P621" s="21">
        <f t="shared" si="19"/>
        <v>13015.07</v>
      </c>
      <c r="Q621" s="19" t="s">
        <v>334</v>
      </c>
      <c r="R621" s="19">
        <v>2025</v>
      </c>
      <c r="S621" s="19">
        <v>9</v>
      </c>
    </row>
    <row r="622" spans="1:19" x14ac:dyDescent="0.3">
      <c r="A622" t="s">
        <v>680</v>
      </c>
      <c r="B622" s="2">
        <v>45908</v>
      </c>
      <c r="C622" t="s">
        <v>64</v>
      </c>
      <c r="D622" t="s">
        <v>29</v>
      </c>
      <c r="E622" t="s">
        <v>42</v>
      </c>
      <c r="F622" t="s">
        <v>37</v>
      </c>
      <c r="G622" t="s">
        <v>24</v>
      </c>
      <c r="H622" t="s">
        <v>25</v>
      </c>
      <c r="I622">
        <v>4</v>
      </c>
      <c r="J622" s="5">
        <v>31534</v>
      </c>
      <c r="K622" s="5">
        <v>126136</v>
      </c>
      <c r="L622" s="5">
        <v>0</v>
      </c>
      <c r="M622" s="12">
        <v>0</v>
      </c>
      <c r="N622" s="5">
        <f t="shared" si="18"/>
        <v>126136</v>
      </c>
      <c r="O622" s="5">
        <v>65571.03</v>
      </c>
      <c r="P622" s="5">
        <f t="shared" si="19"/>
        <v>60564.97</v>
      </c>
      <c r="Q622" t="s">
        <v>334</v>
      </c>
      <c r="R622">
        <v>2025</v>
      </c>
      <c r="S622">
        <v>9</v>
      </c>
    </row>
    <row r="623" spans="1:19" x14ac:dyDescent="0.3">
      <c r="A623" s="19" t="s">
        <v>681</v>
      </c>
      <c r="B623" s="20">
        <v>45911</v>
      </c>
      <c r="C623" s="19" t="s">
        <v>75</v>
      </c>
      <c r="D623" s="19" t="s">
        <v>34</v>
      </c>
      <c r="E623" s="19" t="s">
        <v>42</v>
      </c>
      <c r="F623" s="19" t="s">
        <v>30</v>
      </c>
      <c r="G623" s="19" t="s">
        <v>31</v>
      </c>
      <c r="H623" s="19" t="s">
        <v>25</v>
      </c>
      <c r="I623" s="19">
        <v>3</v>
      </c>
      <c r="J623" s="21">
        <v>38668</v>
      </c>
      <c r="K623" s="21">
        <v>116004</v>
      </c>
      <c r="L623" s="21">
        <v>0</v>
      </c>
      <c r="M623" s="15">
        <v>0</v>
      </c>
      <c r="N623" s="21">
        <f t="shared" si="18"/>
        <v>116004</v>
      </c>
      <c r="O623" s="21">
        <v>62978.03</v>
      </c>
      <c r="P623" s="21">
        <f t="shared" si="19"/>
        <v>53025.97</v>
      </c>
      <c r="Q623" s="19" t="s">
        <v>334</v>
      </c>
      <c r="R623" s="19">
        <v>2025</v>
      </c>
      <c r="S623" s="19">
        <v>9</v>
      </c>
    </row>
    <row r="624" spans="1:19" x14ac:dyDescent="0.3">
      <c r="A624" t="s">
        <v>682</v>
      </c>
      <c r="B624" s="2">
        <v>45914</v>
      </c>
      <c r="C624" t="s">
        <v>50</v>
      </c>
      <c r="D624" t="s">
        <v>34</v>
      </c>
      <c r="E624" t="s">
        <v>22</v>
      </c>
      <c r="F624" t="s">
        <v>35</v>
      </c>
      <c r="G624" t="s">
        <v>31</v>
      </c>
      <c r="H624" t="s">
        <v>25</v>
      </c>
      <c r="I624">
        <v>3</v>
      </c>
      <c r="J624" s="5">
        <v>19101</v>
      </c>
      <c r="K624" s="5">
        <v>57303</v>
      </c>
      <c r="L624" s="5">
        <v>0</v>
      </c>
      <c r="M624" s="12">
        <v>0</v>
      </c>
      <c r="N624" s="5">
        <f t="shared" si="18"/>
        <v>57303</v>
      </c>
      <c r="O624" s="5">
        <v>28959.15</v>
      </c>
      <c r="P624" s="5">
        <f t="shared" si="19"/>
        <v>28343.85</v>
      </c>
      <c r="Q624" t="s">
        <v>334</v>
      </c>
      <c r="R624">
        <v>2025</v>
      </c>
      <c r="S624">
        <v>9</v>
      </c>
    </row>
    <row r="625" spans="1:19" x14ac:dyDescent="0.3">
      <c r="A625" s="19" t="s">
        <v>683</v>
      </c>
      <c r="B625" s="20">
        <v>45914</v>
      </c>
      <c r="C625" s="19" t="s">
        <v>46</v>
      </c>
      <c r="D625" s="19" t="s">
        <v>21</v>
      </c>
      <c r="E625" s="19" t="s">
        <v>42</v>
      </c>
      <c r="F625" s="19" t="s">
        <v>40</v>
      </c>
      <c r="G625" s="19" t="s">
        <v>24</v>
      </c>
      <c r="H625" s="19" t="s">
        <v>25</v>
      </c>
      <c r="I625" s="19">
        <v>3</v>
      </c>
      <c r="J625" s="21">
        <v>12435</v>
      </c>
      <c r="K625" s="21">
        <v>37305</v>
      </c>
      <c r="L625" s="21">
        <v>0</v>
      </c>
      <c r="M625" s="15">
        <v>0</v>
      </c>
      <c r="N625" s="21">
        <f t="shared" si="18"/>
        <v>37305</v>
      </c>
      <c r="O625" s="21">
        <v>25294.77</v>
      </c>
      <c r="P625" s="21">
        <f t="shared" si="19"/>
        <v>12010.23</v>
      </c>
      <c r="Q625" s="19" t="s">
        <v>334</v>
      </c>
      <c r="R625" s="19">
        <v>2025</v>
      </c>
      <c r="S625" s="19">
        <v>9</v>
      </c>
    </row>
    <row r="626" spans="1:19" x14ac:dyDescent="0.3">
      <c r="A626" t="s">
        <v>684</v>
      </c>
      <c r="B626" s="2">
        <v>45915</v>
      </c>
      <c r="C626" t="s">
        <v>50</v>
      </c>
      <c r="D626" t="s">
        <v>34</v>
      </c>
      <c r="E626" t="s">
        <v>56</v>
      </c>
      <c r="F626" t="s">
        <v>40</v>
      </c>
      <c r="G626" t="s">
        <v>31</v>
      </c>
      <c r="H626" t="s">
        <v>25</v>
      </c>
      <c r="I626">
        <v>1</v>
      </c>
      <c r="J626" s="5">
        <v>18334</v>
      </c>
      <c r="K626" s="5">
        <v>18334</v>
      </c>
      <c r="L626" s="5">
        <v>0</v>
      </c>
      <c r="M626" s="12">
        <v>0</v>
      </c>
      <c r="N626" s="5">
        <f t="shared" si="18"/>
        <v>18334</v>
      </c>
      <c r="O626" s="5">
        <v>10231.57</v>
      </c>
      <c r="P626" s="5">
        <f t="shared" si="19"/>
        <v>8102.43</v>
      </c>
      <c r="Q626" t="s">
        <v>334</v>
      </c>
      <c r="R626">
        <v>2025</v>
      </c>
      <c r="S626">
        <v>9</v>
      </c>
    </row>
    <row r="627" spans="1:19" x14ac:dyDescent="0.3">
      <c r="A627" s="19" t="s">
        <v>685</v>
      </c>
      <c r="B627" s="20">
        <v>45915</v>
      </c>
      <c r="C627" s="19" t="s">
        <v>33</v>
      </c>
      <c r="D627" s="19" t="s">
        <v>34</v>
      </c>
      <c r="E627" s="19" t="s">
        <v>42</v>
      </c>
      <c r="F627" s="19" t="s">
        <v>37</v>
      </c>
      <c r="G627" s="19" t="s">
        <v>24</v>
      </c>
      <c r="H627" s="19" t="s">
        <v>25</v>
      </c>
      <c r="I627" s="19">
        <v>3</v>
      </c>
      <c r="J627" s="21">
        <v>43768</v>
      </c>
      <c r="K627" s="21">
        <v>131304</v>
      </c>
      <c r="L627" s="21">
        <v>0</v>
      </c>
      <c r="M627" s="15">
        <v>0</v>
      </c>
      <c r="N627" s="21">
        <f t="shared" si="18"/>
        <v>131304</v>
      </c>
      <c r="O627" s="21">
        <v>86368.81</v>
      </c>
      <c r="P627" s="21">
        <f t="shared" si="19"/>
        <v>44935.19</v>
      </c>
      <c r="Q627" s="19" t="s">
        <v>334</v>
      </c>
      <c r="R627" s="19">
        <v>2025</v>
      </c>
      <c r="S627" s="19">
        <v>9</v>
      </c>
    </row>
    <row r="628" spans="1:19" x14ac:dyDescent="0.3">
      <c r="A628" t="s">
        <v>686</v>
      </c>
      <c r="B628" s="2">
        <v>45915</v>
      </c>
      <c r="C628" t="s">
        <v>71</v>
      </c>
      <c r="D628" t="s">
        <v>34</v>
      </c>
      <c r="E628" t="s">
        <v>56</v>
      </c>
      <c r="F628" t="s">
        <v>40</v>
      </c>
      <c r="G628" t="s">
        <v>24</v>
      </c>
      <c r="H628" t="s">
        <v>25</v>
      </c>
      <c r="I628">
        <v>1</v>
      </c>
      <c r="J628" s="5">
        <v>49913</v>
      </c>
      <c r="K628" s="5">
        <v>49913</v>
      </c>
      <c r="L628" s="5">
        <v>0</v>
      </c>
      <c r="M628" s="12">
        <v>0</v>
      </c>
      <c r="N628" s="5">
        <f t="shared" si="18"/>
        <v>49913</v>
      </c>
      <c r="O628" s="5">
        <v>33184.339999999997</v>
      </c>
      <c r="P628" s="5">
        <f t="shared" si="19"/>
        <v>16728.660000000003</v>
      </c>
      <c r="Q628" t="s">
        <v>334</v>
      </c>
      <c r="R628">
        <v>2025</v>
      </c>
      <c r="S628">
        <v>9</v>
      </c>
    </row>
    <row r="629" spans="1:19" x14ac:dyDescent="0.3">
      <c r="A629" s="19" t="s">
        <v>687</v>
      </c>
      <c r="B629" s="20">
        <v>45916</v>
      </c>
      <c r="C629" s="19" t="s">
        <v>48</v>
      </c>
      <c r="D629" s="19" t="s">
        <v>34</v>
      </c>
      <c r="E629" s="19" t="s">
        <v>42</v>
      </c>
      <c r="F629" s="19" t="s">
        <v>37</v>
      </c>
      <c r="G629" s="19" t="s">
        <v>24</v>
      </c>
      <c r="H629" s="19" t="s">
        <v>25</v>
      </c>
      <c r="I629" s="19">
        <v>1</v>
      </c>
      <c r="J629" s="21">
        <v>26890</v>
      </c>
      <c r="K629" s="21">
        <v>26890</v>
      </c>
      <c r="L629" s="21">
        <v>1344.5</v>
      </c>
      <c r="M629" s="15">
        <v>0.05</v>
      </c>
      <c r="N629" s="21">
        <f t="shared" si="18"/>
        <v>25545.5</v>
      </c>
      <c r="O629" s="21">
        <v>13552.14</v>
      </c>
      <c r="P629" s="21">
        <f t="shared" si="19"/>
        <v>11993.36</v>
      </c>
      <c r="Q629" s="19" t="s">
        <v>334</v>
      </c>
      <c r="R629" s="19">
        <v>2025</v>
      </c>
      <c r="S629" s="19">
        <v>9</v>
      </c>
    </row>
    <row r="630" spans="1:19" x14ac:dyDescent="0.3">
      <c r="A630" t="s">
        <v>688</v>
      </c>
      <c r="B630" s="2">
        <v>45917</v>
      </c>
      <c r="C630" t="s">
        <v>64</v>
      </c>
      <c r="D630" t="s">
        <v>29</v>
      </c>
      <c r="E630" t="s">
        <v>44</v>
      </c>
      <c r="F630" t="s">
        <v>40</v>
      </c>
      <c r="G630" t="s">
        <v>24</v>
      </c>
      <c r="H630" t="s">
        <v>25</v>
      </c>
      <c r="I630">
        <v>5</v>
      </c>
      <c r="J630" s="5">
        <v>28286</v>
      </c>
      <c r="K630" s="5">
        <v>141430</v>
      </c>
      <c r="L630" s="5">
        <v>0</v>
      </c>
      <c r="M630" s="12">
        <v>0</v>
      </c>
      <c r="N630" s="5">
        <f t="shared" si="18"/>
        <v>141430</v>
      </c>
      <c r="O630" s="5">
        <v>90451.05</v>
      </c>
      <c r="P630" s="5">
        <f t="shared" si="19"/>
        <v>50978.95</v>
      </c>
      <c r="Q630" t="s">
        <v>334</v>
      </c>
      <c r="R630">
        <v>2025</v>
      </c>
      <c r="S630">
        <v>9</v>
      </c>
    </row>
    <row r="631" spans="1:19" x14ac:dyDescent="0.3">
      <c r="A631" s="19" t="s">
        <v>689</v>
      </c>
      <c r="B631" s="20">
        <v>45918</v>
      </c>
      <c r="C631" s="19" t="s">
        <v>20</v>
      </c>
      <c r="D631" s="19" t="s">
        <v>21</v>
      </c>
      <c r="E631" s="19" t="s">
        <v>42</v>
      </c>
      <c r="F631" s="19" t="s">
        <v>40</v>
      </c>
      <c r="G631" s="19" t="s">
        <v>31</v>
      </c>
      <c r="H631" s="19" t="s">
        <v>25</v>
      </c>
      <c r="I631" s="19">
        <v>1</v>
      </c>
      <c r="J631" s="21">
        <v>14317</v>
      </c>
      <c r="K631" s="21">
        <v>14317</v>
      </c>
      <c r="L631" s="21">
        <v>1431.7</v>
      </c>
      <c r="M631" s="15">
        <v>0.1</v>
      </c>
      <c r="N631" s="21">
        <f t="shared" si="18"/>
        <v>12885.3</v>
      </c>
      <c r="O631" s="21">
        <v>8254.8799999999992</v>
      </c>
      <c r="P631" s="21">
        <f t="shared" si="19"/>
        <v>4630.42</v>
      </c>
      <c r="Q631" s="19" t="s">
        <v>334</v>
      </c>
      <c r="R631" s="19">
        <v>2025</v>
      </c>
      <c r="S631" s="19">
        <v>9</v>
      </c>
    </row>
    <row r="632" spans="1:19" x14ac:dyDescent="0.3">
      <c r="A632" t="s">
        <v>690</v>
      </c>
      <c r="B632" s="2">
        <v>45919</v>
      </c>
      <c r="C632" t="s">
        <v>33</v>
      </c>
      <c r="D632" t="s">
        <v>34</v>
      </c>
      <c r="E632" t="s">
        <v>22</v>
      </c>
      <c r="F632" t="s">
        <v>40</v>
      </c>
      <c r="G632" t="s">
        <v>31</v>
      </c>
      <c r="H632" t="s">
        <v>25</v>
      </c>
      <c r="I632">
        <v>1</v>
      </c>
      <c r="J632" s="5">
        <v>40701</v>
      </c>
      <c r="K632" s="5">
        <v>40701</v>
      </c>
      <c r="L632" s="5">
        <v>2035.05</v>
      </c>
      <c r="M632" s="12">
        <v>0.05</v>
      </c>
      <c r="N632" s="5">
        <f t="shared" si="18"/>
        <v>38665.949999999997</v>
      </c>
      <c r="O632" s="5">
        <v>24593.919999999998</v>
      </c>
      <c r="P632" s="5">
        <f t="shared" si="19"/>
        <v>14072.029999999999</v>
      </c>
      <c r="Q632" t="s">
        <v>334</v>
      </c>
      <c r="R632">
        <v>2025</v>
      </c>
      <c r="S632">
        <v>9</v>
      </c>
    </row>
    <row r="633" spans="1:19" x14ac:dyDescent="0.3">
      <c r="A633" s="19" t="s">
        <v>691</v>
      </c>
      <c r="B633" s="20">
        <v>45919</v>
      </c>
      <c r="C633" s="19" t="s">
        <v>75</v>
      </c>
      <c r="D633" s="19" t="s">
        <v>34</v>
      </c>
      <c r="E633" s="19" t="s">
        <v>56</v>
      </c>
      <c r="F633" s="19" t="s">
        <v>37</v>
      </c>
      <c r="G633" s="19" t="s">
        <v>31</v>
      </c>
      <c r="H633" s="19" t="s">
        <v>25</v>
      </c>
      <c r="I633" s="19">
        <v>1</v>
      </c>
      <c r="J633" s="21">
        <v>35232</v>
      </c>
      <c r="K633" s="21">
        <v>35232</v>
      </c>
      <c r="L633" s="21">
        <v>0</v>
      </c>
      <c r="M633" s="15">
        <v>0</v>
      </c>
      <c r="N633" s="21">
        <f t="shared" si="18"/>
        <v>35232</v>
      </c>
      <c r="O633" s="21">
        <v>23581.8</v>
      </c>
      <c r="P633" s="21">
        <f t="shared" si="19"/>
        <v>11650.2</v>
      </c>
      <c r="Q633" s="19" t="s">
        <v>334</v>
      </c>
      <c r="R633" s="19">
        <v>2025</v>
      </c>
      <c r="S633" s="19">
        <v>9</v>
      </c>
    </row>
    <row r="634" spans="1:19" x14ac:dyDescent="0.3">
      <c r="A634" t="s">
        <v>692</v>
      </c>
      <c r="B634" s="2">
        <v>45920</v>
      </c>
      <c r="C634" t="s">
        <v>71</v>
      </c>
      <c r="D634" t="s">
        <v>34</v>
      </c>
      <c r="E634" t="s">
        <v>44</v>
      </c>
      <c r="F634" t="s">
        <v>37</v>
      </c>
      <c r="G634" t="s">
        <v>24</v>
      </c>
      <c r="H634" t="s">
        <v>25</v>
      </c>
      <c r="I634">
        <v>3</v>
      </c>
      <c r="J634" s="5">
        <v>46923</v>
      </c>
      <c r="K634" s="5">
        <v>140769</v>
      </c>
      <c r="L634" s="5">
        <v>0</v>
      </c>
      <c r="M634" s="12">
        <v>0</v>
      </c>
      <c r="N634" s="5">
        <f t="shared" si="18"/>
        <v>140769</v>
      </c>
      <c r="O634" s="5">
        <v>91288.08</v>
      </c>
      <c r="P634" s="5">
        <f t="shared" si="19"/>
        <v>49480.92</v>
      </c>
      <c r="Q634" t="s">
        <v>334</v>
      </c>
      <c r="R634">
        <v>2025</v>
      </c>
      <c r="S634">
        <v>9</v>
      </c>
    </row>
    <row r="635" spans="1:19" x14ac:dyDescent="0.3">
      <c r="A635" s="19" t="s">
        <v>693</v>
      </c>
      <c r="B635" s="20">
        <v>45923</v>
      </c>
      <c r="C635" s="19" t="s">
        <v>64</v>
      </c>
      <c r="D635" s="19" t="s">
        <v>29</v>
      </c>
      <c r="E635" s="19" t="s">
        <v>22</v>
      </c>
      <c r="F635" s="19" t="s">
        <v>30</v>
      </c>
      <c r="G635" s="19" t="s">
        <v>24</v>
      </c>
      <c r="H635" s="19" t="s">
        <v>25</v>
      </c>
      <c r="I635" s="19">
        <v>5</v>
      </c>
      <c r="J635" s="21">
        <v>27610</v>
      </c>
      <c r="K635" s="21">
        <v>138050</v>
      </c>
      <c r="L635" s="21">
        <v>0</v>
      </c>
      <c r="M635" s="15">
        <v>0</v>
      </c>
      <c r="N635" s="21">
        <f t="shared" si="18"/>
        <v>138050</v>
      </c>
      <c r="O635" s="21">
        <v>88863.96</v>
      </c>
      <c r="P635" s="21">
        <f t="shared" si="19"/>
        <v>49186.039999999994</v>
      </c>
      <c r="Q635" s="19" t="s">
        <v>334</v>
      </c>
      <c r="R635" s="19">
        <v>2025</v>
      </c>
      <c r="S635" s="19">
        <v>9</v>
      </c>
    </row>
    <row r="636" spans="1:19" x14ac:dyDescent="0.3">
      <c r="A636" t="s">
        <v>694</v>
      </c>
      <c r="B636" s="2">
        <v>45924</v>
      </c>
      <c r="C636" t="s">
        <v>48</v>
      </c>
      <c r="D636" t="s">
        <v>34</v>
      </c>
      <c r="E636" t="s">
        <v>56</v>
      </c>
      <c r="F636" t="s">
        <v>37</v>
      </c>
      <c r="G636" t="s">
        <v>31</v>
      </c>
      <c r="H636" t="s">
        <v>25</v>
      </c>
      <c r="I636">
        <v>3</v>
      </c>
      <c r="J636" s="5">
        <v>25328</v>
      </c>
      <c r="K636" s="5">
        <v>75984</v>
      </c>
      <c r="L636" s="5">
        <v>11397.6</v>
      </c>
      <c r="M636" s="12">
        <v>0.15</v>
      </c>
      <c r="N636" s="5">
        <f t="shared" si="18"/>
        <v>64586.400000000001</v>
      </c>
      <c r="O636" s="5">
        <v>45606.720000000001</v>
      </c>
      <c r="P636" s="5">
        <f t="shared" si="19"/>
        <v>18979.68</v>
      </c>
      <c r="Q636" t="s">
        <v>334</v>
      </c>
      <c r="R636">
        <v>2025</v>
      </c>
      <c r="S636">
        <v>9</v>
      </c>
    </row>
    <row r="637" spans="1:19" x14ac:dyDescent="0.3">
      <c r="A637" s="19" t="s">
        <v>695</v>
      </c>
      <c r="B637" s="20">
        <v>45925</v>
      </c>
      <c r="C637" s="19" t="s">
        <v>82</v>
      </c>
      <c r="D637" s="19" t="s">
        <v>21</v>
      </c>
      <c r="E637" s="19" t="s">
        <v>42</v>
      </c>
      <c r="F637" s="19" t="s">
        <v>40</v>
      </c>
      <c r="G637" s="19" t="s">
        <v>24</v>
      </c>
      <c r="H637" s="19" t="s">
        <v>25</v>
      </c>
      <c r="I637" s="19">
        <v>1</v>
      </c>
      <c r="J637" s="21">
        <v>45019</v>
      </c>
      <c r="K637" s="21">
        <v>45019</v>
      </c>
      <c r="L637" s="21">
        <v>0</v>
      </c>
      <c r="M637" s="15">
        <v>0</v>
      </c>
      <c r="N637" s="21">
        <f t="shared" si="18"/>
        <v>45019</v>
      </c>
      <c r="O637" s="21">
        <v>27469.09</v>
      </c>
      <c r="P637" s="21">
        <f t="shared" si="19"/>
        <v>17549.91</v>
      </c>
      <c r="Q637" s="19" t="s">
        <v>334</v>
      </c>
      <c r="R637" s="19">
        <v>2025</v>
      </c>
      <c r="S637" s="19">
        <v>9</v>
      </c>
    </row>
    <row r="638" spans="1:19" x14ac:dyDescent="0.3">
      <c r="A638" t="s">
        <v>696</v>
      </c>
      <c r="B638" s="2">
        <v>45925</v>
      </c>
      <c r="C638" t="s">
        <v>71</v>
      </c>
      <c r="D638" t="s">
        <v>34</v>
      </c>
      <c r="E638" t="s">
        <v>44</v>
      </c>
      <c r="F638" t="s">
        <v>40</v>
      </c>
      <c r="G638" t="s">
        <v>31</v>
      </c>
      <c r="H638" t="s">
        <v>25</v>
      </c>
      <c r="I638">
        <v>3</v>
      </c>
      <c r="J638" s="5">
        <v>48462</v>
      </c>
      <c r="K638" s="5">
        <v>145386</v>
      </c>
      <c r="L638" s="5">
        <v>0</v>
      </c>
      <c r="M638" s="12">
        <v>0</v>
      </c>
      <c r="N638" s="5">
        <f t="shared" si="18"/>
        <v>145386</v>
      </c>
      <c r="O638" s="5">
        <v>95894.720000000001</v>
      </c>
      <c r="P638" s="5">
        <f t="shared" si="19"/>
        <v>49491.28</v>
      </c>
      <c r="Q638" t="s">
        <v>334</v>
      </c>
      <c r="R638">
        <v>2025</v>
      </c>
      <c r="S638">
        <v>9</v>
      </c>
    </row>
    <row r="639" spans="1:19" x14ac:dyDescent="0.3">
      <c r="A639" s="19" t="s">
        <v>697</v>
      </c>
      <c r="B639" s="20">
        <v>45925</v>
      </c>
      <c r="C639" s="19" t="s">
        <v>75</v>
      </c>
      <c r="D639" s="19" t="s">
        <v>34</v>
      </c>
      <c r="E639" s="19" t="s">
        <v>42</v>
      </c>
      <c r="F639" s="19" t="s">
        <v>40</v>
      </c>
      <c r="G639" s="19" t="s">
        <v>31</v>
      </c>
      <c r="H639" s="19" t="s">
        <v>25</v>
      </c>
      <c r="I639" s="19">
        <v>1</v>
      </c>
      <c r="J639" s="21">
        <v>36066</v>
      </c>
      <c r="K639" s="21">
        <v>36066</v>
      </c>
      <c r="L639" s="21">
        <v>3606.6</v>
      </c>
      <c r="M639" s="15">
        <v>0.1</v>
      </c>
      <c r="N639" s="21">
        <f t="shared" si="18"/>
        <v>32459.4</v>
      </c>
      <c r="O639" s="21">
        <v>23405.37</v>
      </c>
      <c r="P639" s="21">
        <f t="shared" si="19"/>
        <v>9054.0300000000025</v>
      </c>
      <c r="Q639" s="19" t="s">
        <v>334</v>
      </c>
      <c r="R639" s="19">
        <v>2025</v>
      </c>
      <c r="S639" s="19">
        <v>9</v>
      </c>
    </row>
    <row r="640" spans="1:19" x14ac:dyDescent="0.3">
      <c r="A640" t="s">
        <v>698</v>
      </c>
      <c r="B640" s="2">
        <v>45925</v>
      </c>
      <c r="C640" t="s">
        <v>50</v>
      </c>
      <c r="D640" t="s">
        <v>34</v>
      </c>
      <c r="E640" t="s">
        <v>42</v>
      </c>
      <c r="F640" t="s">
        <v>37</v>
      </c>
      <c r="G640" t="s">
        <v>24</v>
      </c>
      <c r="H640" t="s">
        <v>25</v>
      </c>
      <c r="I640">
        <v>1</v>
      </c>
      <c r="J640" s="5">
        <v>17345</v>
      </c>
      <c r="K640" s="5">
        <v>17345</v>
      </c>
      <c r="L640" s="5">
        <v>0</v>
      </c>
      <c r="M640" s="12">
        <v>0</v>
      </c>
      <c r="N640" s="5">
        <f t="shared" si="18"/>
        <v>17345</v>
      </c>
      <c r="O640" s="5">
        <v>11405.51</v>
      </c>
      <c r="P640" s="5">
        <f t="shared" si="19"/>
        <v>5939.49</v>
      </c>
      <c r="Q640" t="s">
        <v>334</v>
      </c>
      <c r="R640">
        <v>2025</v>
      </c>
      <c r="S640">
        <v>9</v>
      </c>
    </row>
    <row r="641" spans="1:19" x14ac:dyDescent="0.3">
      <c r="A641" s="19" t="s">
        <v>699</v>
      </c>
      <c r="B641" s="20">
        <v>45925</v>
      </c>
      <c r="C641" s="19" t="s">
        <v>71</v>
      </c>
      <c r="D641" s="19" t="s">
        <v>34</v>
      </c>
      <c r="E641" s="19" t="s">
        <v>42</v>
      </c>
      <c r="F641" s="19" t="s">
        <v>23</v>
      </c>
      <c r="G641" s="19" t="s">
        <v>31</v>
      </c>
      <c r="H641" s="19" t="s">
        <v>25</v>
      </c>
      <c r="I641" s="19">
        <v>3</v>
      </c>
      <c r="J641" s="21">
        <v>53847</v>
      </c>
      <c r="K641" s="21">
        <v>161541</v>
      </c>
      <c r="L641" s="21">
        <v>0</v>
      </c>
      <c r="M641" s="15">
        <v>0</v>
      </c>
      <c r="N641" s="21">
        <f t="shared" si="18"/>
        <v>161541</v>
      </c>
      <c r="O641" s="21">
        <v>78347.87</v>
      </c>
      <c r="P641" s="21">
        <f t="shared" si="19"/>
        <v>83193.13</v>
      </c>
      <c r="Q641" s="19" t="s">
        <v>334</v>
      </c>
      <c r="R641" s="19">
        <v>2025</v>
      </c>
      <c r="S641" s="19">
        <v>9</v>
      </c>
    </row>
    <row r="642" spans="1:19" x14ac:dyDescent="0.3">
      <c r="A642" t="s">
        <v>700</v>
      </c>
      <c r="B642" s="2">
        <v>45926</v>
      </c>
      <c r="C642" t="s">
        <v>33</v>
      </c>
      <c r="D642" t="s">
        <v>34</v>
      </c>
      <c r="E642" t="s">
        <v>44</v>
      </c>
      <c r="F642" t="s">
        <v>37</v>
      </c>
      <c r="G642" t="s">
        <v>24</v>
      </c>
      <c r="H642" t="s">
        <v>25</v>
      </c>
      <c r="I642">
        <v>4</v>
      </c>
      <c r="J642" s="5">
        <v>45238</v>
      </c>
      <c r="K642" s="5">
        <v>180952</v>
      </c>
      <c r="L642" s="5">
        <v>0</v>
      </c>
      <c r="M642" s="12">
        <v>0</v>
      </c>
      <c r="N642" s="5">
        <f t="shared" si="18"/>
        <v>180952</v>
      </c>
      <c r="O642" s="5">
        <v>104811.8</v>
      </c>
      <c r="P642" s="5">
        <f t="shared" si="19"/>
        <v>76140.2</v>
      </c>
      <c r="Q642" t="s">
        <v>334</v>
      </c>
      <c r="R642">
        <v>2025</v>
      </c>
      <c r="S642">
        <v>9</v>
      </c>
    </row>
    <row r="643" spans="1:19" x14ac:dyDescent="0.3">
      <c r="A643" s="19" t="s">
        <v>701</v>
      </c>
      <c r="B643" s="20">
        <v>45927</v>
      </c>
      <c r="C643" s="19" t="s">
        <v>64</v>
      </c>
      <c r="D643" s="19" t="s">
        <v>29</v>
      </c>
      <c r="E643" s="19" t="s">
        <v>42</v>
      </c>
      <c r="F643" s="19" t="s">
        <v>35</v>
      </c>
      <c r="G643" s="19" t="s">
        <v>31</v>
      </c>
      <c r="H643" s="19" t="s">
        <v>25</v>
      </c>
      <c r="I643" s="19">
        <v>2</v>
      </c>
      <c r="J643" s="21">
        <v>31921</v>
      </c>
      <c r="K643" s="21">
        <v>63842</v>
      </c>
      <c r="L643" s="21">
        <v>0</v>
      </c>
      <c r="M643" s="15">
        <v>0</v>
      </c>
      <c r="N643" s="21">
        <f t="shared" ref="N643:N706" si="20">K643-L643</f>
        <v>63842</v>
      </c>
      <c r="O643" s="21">
        <v>39280.21</v>
      </c>
      <c r="P643" s="21">
        <f t="shared" si="19"/>
        <v>24561.79</v>
      </c>
      <c r="Q643" s="19" t="s">
        <v>334</v>
      </c>
      <c r="R643" s="19">
        <v>2025</v>
      </c>
      <c r="S643" s="19">
        <v>9</v>
      </c>
    </row>
    <row r="644" spans="1:19" x14ac:dyDescent="0.3">
      <c r="A644" t="s">
        <v>702</v>
      </c>
      <c r="B644" s="2">
        <v>45930</v>
      </c>
      <c r="C644" t="s">
        <v>75</v>
      </c>
      <c r="D644" t="s">
        <v>34</v>
      </c>
      <c r="E644" t="s">
        <v>56</v>
      </c>
      <c r="F644" t="s">
        <v>35</v>
      </c>
      <c r="G644" t="s">
        <v>31</v>
      </c>
      <c r="H644" t="s">
        <v>25</v>
      </c>
      <c r="I644">
        <v>2</v>
      </c>
      <c r="J644" s="5">
        <v>37726</v>
      </c>
      <c r="K644" s="5">
        <v>75452</v>
      </c>
      <c r="L644" s="5">
        <v>0</v>
      </c>
      <c r="M644" s="12">
        <v>0</v>
      </c>
      <c r="N644" s="5">
        <f t="shared" si="20"/>
        <v>75452</v>
      </c>
      <c r="O644" s="5">
        <v>46880.480000000003</v>
      </c>
      <c r="P644" s="5">
        <f t="shared" ref="P644:P707" si="21">N644-O644</f>
        <v>28571.519999999997</v>
      </c>
      <c r="Q644" t="s">
        <v>334</v>
      </c>
      <c r="R644">
        <v>2025</v>
      </c>
      <c r="S644">
        <v>9</v>
      </c>
    </row>
    <row r="645" spans="1:19" x14ac:dyDescent="0.3">
      <c r="A645" s="19" t="s">
        <v>703</v>
      </c>
      <c r="B645" s="20">
        <v>45931</v>
      </c>
      <c r="C645" s="19" t="s">
        <v>50</v>
      </c>
      <c r="D645" s="19" t="s">
        <v>34</v>
      </c>
      <c r="E645" s="19" t="s">
        <v>22</v>
      </c>
      <c r="F645" s="19" t="s">
        <v>37</v>
      </c>
      <c r="G645" s="19" t="s">
        <v>24</v>
      </c>
      <c r="H645" s="19" t="s">
        <v>25</v>
      </c>
      <c r="I645" s="19">
        <v>1</v>
      </c>
      <c r="J645" s="21">
        <v>17022</v>
      </c>
      <c r="K645" s="21">
        <v>17022</v>
      </c>
      <c r="L645" s="21">
        <v>0</v>
      </c>
      <c r="M645" s="15">
        <v>0</v>
      </c>
      <c r="N645" s="21">
        <f t="shared" si="20"/>
        <v>17022</v>
      </c>
      <c r="O645" s="21">
        <v>8802.58</v>
      </c>
      <c r="P645" s="21">
        <f t="shared" si="21"/>
        <v>8219.42</v>
      </c>
      <c r="Q645" s="19" t="s">
        <v>364</v>
      </c>
      <c r="R645" s="19">
        <v>2025</v>
      </c>
      <c r="S645" s="19">
        <v>10</v>
      </c>
    </row>
    <row r="646" spans="1:19" x14ac:dyDescent="0.3">
      <c r="A646" t="s">
        <v>704</v>
      </c>
      <c r="B646" s="2">
        <v>45931</v>
      </c>
      <c r="C646" t="s">
        <v>82</v>
      </c>
      <c r="D646" t="s">
        <v>21</v>
      </c>
      <c r="E646" t="s">
        <v>56</v>
      </c>
      <c r="F646" t="s">
        <v>40</v>
      </c>
      <c r="G646" t="s">
        <v>24</v>
      </c>
      <c r="H646" t="s">
        <v>25</v>
      </c>
      <c r="I646">
        <v>1</v>
      </c>
      <c r="J646" s="5">
        <v>45125</v>
      </c>
      <c r="K646" s="5">
        <v>45125</v>
      </c>
      <c r="L646" s="5">
        <v>0</v>
      </c>
      <c r="M646" s="12">
        <v>0</v>
      </c>
      <c r="N646" s="5">
        <f t="shared" si="20"/>
        <v>45125</v>
      </c>
      <c r="O646" s="5">
        <v>26615.48</v>
      </c>
      <c r="P646" s="5">
        <f t="shared" si="21"/>
        <v>18509.52</v>
      </c>
      <c r="Q646" t="s">
        <v>364</v>
      </c>
      <c r="R646">
        <v>2025</v>
      </c>
      <c r="S646">
        <v>10</v>
      </c>
    </row>
    <row r="647" spans="1:19" x14ac:dyDescent="0.3">
      <c r="A647" s="19" t="s">
        <v>705</v>
      </c>
      <c r="B647" s="20">
        <v>45932</v>
      </c>
      <c r="C647" s="19" t="s">
        <v>75</v>
      </c>
      <c r="D647" s="19" t="s">
        <v>34</v>
      </c>
      <c r="E647" s="19" t="s">
        <v>22</v>
      </c>
      <c r="F647" s="19" t="s">
        <v>23</v>
      </c>
      <c r="G647" s="19" t="s">
        <v>31</v>
      </c>
      <c r="H647" s="19" t="s">
        <v>25</v>
      </c>
      <c r="I647" s="19">
        <v>1</v>
      </c>
      <c r="J647" s="21">
        <v>37252</v>
      </c>
      <c r="K647" s="21">
        <v>37252</v>
      </c>
      <c r="L647" s="21">
        <v>1862.6</v>
      </c>
      <c r="M647" s="15">
        <v>0.05</v>
      </c>
      <c r="N647" s="21">
        <f t="shared" si="20"/>
        <v>35389.4</v>
      </c>
      <c r="O647" s="21">
        <v>23876.69</v>
      </c>
      <c r="P647" s="21">
        <f t="shared" si="21"/>
        <v>11512.710000000003</v>
      </c>
      <c r="Q647" s="19" t="s">
        <v>364</v>
      </c>
      <c r="R647" s="19">
        <v>2025</v>
      </c>
      <c r="S647" s="19">
        <v>10</v>
      </c>
    </row>
    <row r="648" spans="1:19" x14ac:dyDescent="0.3">
      <c r="A648" t="s">
        <v>706</v>
      </c>
      <c r="B648" s="2">
        <v>45933</v>
      </c>
      <c r="C648" t="s">
        <v>50</v>
      </c>
      <c r="D648" t="s">
        <v>34</v>
      </c>
      <c r="E648" t="s">
        <v>44</v>
      </c>
      <c r="F648" t="s">
        <v>40</v>
      </c>
      <c r="G648" t="s">
        <v>24</v>
      </c>
      <c r="H648" t="s">
        <v>25</v>
      </c>
      <c r="I648">
        <v>2</v>
      </c>
      <c r="J648" s="5">
        <v>18364</v>
      </c>
      <c r="K648" s="5">
        <v>36728</v>
      </c>
      <c r="L648" s="5">
        <v>0</v>
      </c>
      <c r="M648" s="12">
        <v>0</v>
      </c>
      <c r="N648" s="5">
        <f t="shared" si="20"/>
        <v>36728</v>
      </c>
      <c r="O648" s="5">
        <v>17769.86</v>
      </c>
      <c r="P648" s="5">
        <f t="shared" si="21"/>
        <v>18958.14</v>
      </c>
      <c r="Q648" t="s">
        <v>364</v>
      </c>
      <c r="R648">
        <v>2025</v>
      </c>
      <c r="S648">
        <v>10</v>
      </c>
    </row>
    <row r="649" spans="1:19" x14ac:dyDescent="0.3">
      <c r="A649" s="19" t="s">
        <v>707</v>
      </c>
      <c r="B649" s="20">
        <v>45934</v>
      </c>
      <c r="C649" s="19" t="s">
        <v>75</v>
      </c>
      <c r="D649" s="19" t="s">
        <v>34</v>
      </c>
      <c r="E649" s="19" t="s">
        <v>42</v>
      </c>
      <c r="F649" s="19" t="s">
        <v>40</v>
      </c>
      <c r="G649" s="19" t="s">
        <v>24</v>
      </c>
      <c r="H649" s="19" t="s">
        <v>25</v>
      </c>
      <c r="I649" s="19">
        <v>1</v>
      </c>
      <c r="J649" s="21">
        <v>38122</v>
      </c>
      <c r="K649" s="21">
        <v>38122</v>
      </c>
      <c r="L649" s="21">
        <v>0</v>
      </c>
      <c r="M649" s="15">
        <v>0</v>
      </c>
      <c r="N649" s="21">
        <f t="shared" si="20"/>
        <v>38122</v>
      </c>
      <c r="O649" s="21">
        <v>22551.599999999999</v>
      </c>
      <c r="P649" s="21">
        <f t="shared" si="21"/>
        <v>15570.400000000001</v>
      </c>
      <c r="Q649" s="19" t="s">
        <v>364</v>
      </c>
      <c r="R649" s="19">
        <v>2025</v>
      </c>
      <c r="S649" s="19">
        <v>10</v>
      </c>
    </row>
    <row r="650" spans="1:19" x14ac:dyDescent="0.3">
      <c r="A650" t="s">
        <v>708</v>
      </c>
      <c r="B650" s="2">
        <v>45936</v>
      </c>
      <c r="C650" t="s">
        <v>20</v>
      </c>
      <c r="D650" t="s">
        <v>21</v>
      </c>
      <c r="E650" t="s">
        <v>56</v>
      </c>
      <c r="F650" t="s">
        <v>40</v>
      </c>
      <c r="G650" t="s">
        <v>31</v>
      </c>
      <c r="H650" t="s">
        <v>25</v>
      </c>
      <c r="I650">
        <v>3</v>
      </c>
      <c r="J650" s="5">
        <v>14093</v>
      </c>
      <c r="K650" s="5">
        <v>42279</v>
      </c>
      <c r="L650" s="5">
        <v>2113.9499999999998</v>
      </c>
      <c r="M650" s="12">
        <v>0.05</v>
      </c>
      <c r="N650" s="5">
        <f t="shared" si="20"/>
        <v>40165.050000000003</v>
      </c>
      <c r="O650" s="5">
        <v>27730.48</v>
      </c>
      <c r="P650" s="5">
        <f t="shared" si="21"/>
        <v>12434.570000000003</v>
      </c>
      <c r="Q650" t="s">
        <v>364</v>
      </c>
      <c r="R650">
        <v>2025</v>
      </c>
      <c r="S650">
        <v>10</v>
      </c>
    </row>
    <row r="651" spans="1:19" x14ac:dyDescent="0.3">
      <c r="A651" s="19" t="s">
        <v>709</v>
      </c>
      <c r="B651" s="20">
        <v>45937</v>
      </c>
      <c r="C651" s="19" t="s">
        <v>20</v>
      </c>
      <c r="D651" s="19" t="s">
        <v>21</v>
      </c>
      <c r="E651" s="19" t="s">
        <v>22</v>
      </c>
      <c r="F651" s="19" t="s">
        <v>40</v>
      </c>
      <c r="G651" s="19" t="s">
        <v>31</v>
      </c>
      <c r="H651" s="19" t="s">
        <v>25</v>
      </c>
      <c r="I651" s="19">
        <v>1</v>
      </c>
      <c r="J651" s="21">
        <v>15404</v>
      </c>
      <c r="K651" s="21">
        <v>15404</v>
      </c>
      <c r="L651" s="21">
        <v>0</v>
      </c>
      <c r="M651" s="15">
        <v>0</v>
      </c>
      <c r="N651" s="21">
        <f t="shared" si="20"/>
        <v>15404</v>
      </c>
      <c r="O651" s="21">
        <v>8508.92</v>
      </c>
      <c r="P651" s="21">
        <f t="shared" si="21"/>
        <v>6895.08</v>
      </c>
      <c r="Q651" s="19" t="s">
        <v>364</v>
      </c>
      <c r="R651" s="19">
        <v>2025</v>
      </c>
      <c r="S651" s="19">
        <v>10</v>
      </c>
    </row>
    <row r="652" spans="1:19" x14ac:dyDescent="0.3">
      <c r="A652" t="s">
        <v>710</v>
      </c>
      <c r="B652" s="2">
        <v>45937</v>
      </c>
      <c r="C652" t="s">
        <v>64</v>
      </c>
      <c r="D652" t="s">
        <v>29</v>
      </c>
      <c r="E652" t="s">
        <v>44</v>
      </c>
      <c r="F652" t="s">
        <v>40</v>
      </c>
      <c r="G652" t="s">
        <v>31</v>
      </c>
      <c r="H652" t="s">
        <v>25</v>
      </c>
      <c r="I652">
        <v>1</v>
      </c>
      <c r="J652" s="5">
        <v>31098</v>
      </c>
      <c r="K652" s="5">
        <v>31098</v>
      </c>
      <c r="L652" s="5">
        <v>0</v>
      </c>
      <c r="M652" s="12">
        <v>0</v>
      </c>
      <c r="N652" s="5">
        <f t="shared" si="20"/>
        <v>31098</v>
      </c>
      <c r="O652" s="5">
        <v>16661.509999999998</v>
      </c>
      <c r="P652" s="5">
        <f t="shared" si="21"/>
        <v>14436.490000000002</v>
      </c>
      <c r="Q652" t="s">
        <v>364</v>
      </c>
      <c r="R652">
        <v>2025</v>
      </c>
      <c r="S652">
        <v>10</v>
      </c>
    </row>
    <row r="653" spans="1:19" x14ac:dyDescent="0.3">
      <c r="A653" s="19" t="s">
        <v>711</v>
      </c>
      <c r="B653" s="20">
        <v>45937</v>
      </c>
      <c r="C653" s="19" t="s">
        <v>48</v>
      </c>
      <c r="D653" s="19" t="s">
        <v>34</v>
      </c>
      <c r="E653" s="19" t="s">
        <v>42</v>
      </c>
      <c r="F653" s="19" t="s">
        <v>40</v>
      </c>
      <c r="G653" s="19" t="s">
        <v>31</v>
      </c>
      <c r="H653" s="19" t="s">
        <v>25</v>
      </c>
      <c r="I653" s="19">
        <v>2</v>
      </c>
      <c r="J653" s="21">
        <v>26849</v>
      </c>
      <c r="K653" s="21">
        <v>53698</v>
      </c>
      <c r="L653" s="21">
        <v>0</v>
      </c>
      <c r="M653" s="15">
        <v>0</v>
      </c>
      <c r="N653" s="21">
        <f t="shared" si="20"/>
        <v>53698</v>
      </c>
      <c r="O653" s="21">
        <v>34776.53</v>
      </c>
      <c r="P653" s="21">
        <f t="shared" si="21"/>
        <v>18921.47</v>
      </c>
      <c r="Q653" s="19" t="s">
        <v>364</v>
      </c>
      <c r="R653" s="19">
        <v>2025</v>
      </c>
      <c r="S653" s="19">
        <v>10</v>
      </c>
    </row>
    <row r="654" spans="1:19" x14ac:dyDescent="0.3">
      <c r="A654" t="s">
        <v>712</v>
      </c>
      <c r="B654" s="2">
        <v>45938</v>
      </c>
      <c r="C654" t="s">
        <v>46</v>
      </c>
      <c r="D654" t="s">
        <v>21</v>
      </c>
      <c r="E654" t="s">
        <v>22</v>
      </c>
      <c r="F654" t="s">
        <v>40</v>
      </c>
      <c r="G654" t="s">
        <v>31</v>
      </c>
      <c r="H654" t="s">
        <v>25</v>
      </c>
      <c r="I654">
        <v>1</v>
      </c>
      <c r="J654" s="5">
        <v>11281</v>
      </c>
      <c r="K654" s="5">
        <v>11281</v>
      </c>
      <c r="L654" s="5">
        <v>0</v>
      </c>
      <c r="M654" s="12">
        <v>0</v>
      </c>
      <c r="N654" s="5">
        <f t="shared" si="20"/>
        <v>11281</v>
      </c>
      <c r="O654" s="5">
        <v>5738.74</v>
      </c>
      <c r="P654" s="5">
        <f t="shared" si="21"/>
        <v>5542.26</v>
      </c>
      <c r="Q654" t="s">
        <v>364</v>
      </c>
      <c r="R654">
        <v>2025</v>
      </c>
      <c r="S654">
        <v>10</v>
      </c>
    </row>
    <row r="655" spans="1:19" x14ac:dyDescent="0.3">
      <c r="A655" s="19" t="s">
        <v>713</v>
      </c>
      <c r="B655" s="20">
        <v>45939</v>
      </c>
      <c r="C655" s="19" t="s">
        <v>64</v>
      </c>
      <c r="D655" s="19" t="s">
        <v>29</v>
      </c>
      <c r="E655" s="19" t="s">
        <v>44</v>
      </c>
      <c r="F655" s="19" t="s">
        <v>30</v>
      </c>
      <c r="G655" s="19" t="s">
        <v>31</v>
      </c>
      <c r="H655" s="19" t="s">
        <v>25</v>
      </c>
      <c r="I655" s="19">
        <v>1</v>
      </c>
      <c r="J655" s="21">
        <v>31084</v>
      </c>
      <c r="K655" s="21">
        <v>31084</v>
      </c>
      <c r="L655" s="21">
        <v>0</v>
      </c>
      <c r="M655" s="15">
        <v>0</v>
      </c>
      <c r="N655" s="21">
        <f t="shared" si="20"/>
        <v>31084</v>
      </c>
      <c r="O655" s="21">
        <v>16247.68</v>
      </c>
      <c r="P655" s="21">
        <f t="shared" si="21"/>
        <v>14836.32</v>
      </c>
      <c r="Q655" s="19" t="s">
        <v>364</v>
      </c>
      <c r="R655" s="19">
        <v>2025</v>
      </c>
      <c r="S655" s="19">
        <v>10</v>
      </c>
    </row>
    <row r="656" spans="1:19" x14ac:dyDescent="0.3">
      <c r="A656" t="s">
        <v>714</v>
      </c>
      <c r="B656" s="2">
        <v>45940</v>
      </c>
      <c r="C656" t="s">
        <v>75</v>
      </c>
      <c r="D656" t="s">
        <v>34</v>
      </c>
      <c r="E656" t="s">
        <v>42</v>
      </c>
      <c r="F656" t="s">
        <v>40</v>
      </c>
      <c r="G656" t="s">
        <v>24</v>
      </c>
      <c r="H656" t="s">
        <v>25</v>
      </c>
      <c r="I656">
        <v>2</v>
      </c>
      <c r="J656" s="5">
        <v>36864</v>
      </c>
      <c r="K656" s="5">
        <v>73728</v>
      </c>
      <c r="L656" s="5">
        <v>0</v>
      </c>
      <c r="M656" s="12">
        <v>0</v>
      </c>
      <c r="N656" s="5">
        <f t="shared" si="20"/>
        <v>73728</v>
      </c>
      <c r="O656" s="5">
        <v>42583.1</v>
      </c>
      <c r="P656" s="5">
        <f t="shared" si="21"/>
        <v>31144.9</v>
      </c>
      <c r="Q656" t="s">
        <v>364</v>
      </c>
      <c r="R656">
        <v>2025</v>
      </c>
      <c r="S656">
        <v>10</v>
      </c>
    </row>
    <row r="657" spans="1:19" x14ac:dyDescent="0.3">
      <c r="A657" s="19" t="s">
        <v>715</v>
      </c>
      <c r="B657" s="20">
        <v>45944</v>
      </c>
      <c r="C657" s="19" t="s">
        <v>64</v>
      </c>
      <c r="D657" s="19" t="s">
        <v>29</v>
      </c>
      <c r="E657" s="19" t="s">
        <v>22</v>
      </c>
      <c r="F657" s="19" t="s">
        <v>40</v>
      </c>
      <c r="G657" s="19" t="s">
        <v>24</v>
      </c>
      <c r="H657" s="19" t="s">
        <v>25</v>
      </c>
      <c r="I657" s="19">
        <v>3</v>
      </c>
      <c r="J657" s="21">
        <v>28147</v>
      </c>
      <c r="K657" s="21">
        <v>84441</v>
      </c>
      <c r="L657" s="21">
        <v>0</v>
      </c>
      <c r="M657" s="15">
        <v>0</v>
      </c>
      <c r="N657" s="21">
        <f t="shared" si="20"/>
        <v>84441</v>
      </c>
      <c r="O657" s="21">
        <v>54621.919999999998</v>
      </c>
      <c r="P657" s="21">
        <f t="shared" si="21"/>
        <v>29819.08</v>
      </c>
      <c r="Q657" s="19" t="s">
        <v>364</v>
      </c>
      <c r="R657" s="19">
        <v>2025</v>
      </c>
      <c r="S657" s="19">
        <v>10</v>
      </c>
    </row>
    <row r="658" spans="1:19" x14ac:dyDescent="0.3">
      <c r="A658" t="s">
        <v>716</v>
      </c>
      <c r="B658" s="2">
        <v>45945</v>
      </c>
      <c r="C658" t="s">
        <v>64</v>
      </c>
      <c r="D658" t="s">
        <v>29</v>
      </c>
      <c r="E658" t="s">
        <v>56</v>
      </c>
      <c r="F658" t="s">
        <v>23</v>
      </c>
      <c r="G658" t="s">
        <v>31</v>
      </c>
      <c r="H658" t="s">
        <v>25</v>
      </c>
      <c r="I658">
        <v>3</v>
      </c>
      <c r="J658" s="5">
        <v>28292</v>
      </c>
      <c r="K658" s="5">
        <v>84876</v>
      </c>
      <c r="L658" s="5">
        <v>0</v>
      </c>
      <c r="M658" s="12">
        <v>0</v>
      </c>
      <c r="N658" s="5">
        <f t="shared" si="20"/>
        <v>84876</v>
      </c>
      <c r="O658" s="5">
        <v>41203.050000000003</v>
      </c>
      <c r="P658" s="5">
        <f t="shared" si="21"/>
        <v>43672.95</v>
      </c>
      <c r="Q658" t="s">
        <v>364</v>
      </c>
      <c r="R658">
        <v>2025</v>
      </c>
      <c r="S658">
        <v>10</v>
      </c>
    </row>
    <row r="659" spans="1:19" x14ac:dyDescent="0.3">
      <c r="A659" s="19" t="s">
        <v>717</v>
      </c>
      <c r="B659" s="20">
        <v>45945</v>
      </c>
      <c r="C659" s="19" t="s">
        <v>71</v>
      </c>
      <c r="D659" s="19" t="s">
        <v>34</v>
      </c>
      <c r="E659" s="19" t="s">
        <v>56</v>
      </c>
      <c r="F659" s="19" t="s">
        <v>37</v>
      </c>
      <c r="G659" s="19" t="s">
        <v>31</v>
      </c>
      <c r="H659" s="19" t="s">
        <v>25</v>
      </c>
      <c r="I659" s="19">
        <v>2</v>
      </c>
      <c r="J659" s="21">
        <v>46915</v>
      </c>
      <c r="K659" s="21">
        <v>93830</v>
      </c>
      <c r="L659" s="21">
        <v>0</v>
      </c>
      <c r="M659" s="15">
        <v>0</v>
      </c>
      <c r="N659" s="21">
        <f t="shared" si="20"/>
        <v>93830</v>
      </c>
      <c r="O659" s="21">
        <v>59699.47</v>
      </c>
      <c r="P659" s="21">
        <f t="shared" si="21"/>
        <v>34130.53</v>
      </c>
      <c r="Q659" s="19" t="s">
        <v>364</v>
      </c>
      <c r="R659" s="19">
        <v>2025</v>
      </c>
      <c r="S659" s="19">
        <v>10</v>
      </c>
    </row>
    <row r="660" spans="1:19" x14ac:dyDescent="0.3">
      <c r="A660" t="s">
        <v>718</v>
      </c>
      <c r="B660" s="2">
        <v>45947</v>
      </c>
      <c r="C660" t="s">
        <v>71</v>
      </c>
      <c r="D660" t="s">
        <v>34</v>
      </c>
      <c r="E660" t="s">
        <v>44</v>
      </c>
      <c r="F660" t="s">
        <v>30</v>
      </c>
      <c r="G660" t="s">
        <v>31</v>
      </c>
      <c r="H660" t="s">
        <v>25</v>
      </c>
      <c r="I660">
        <v>4</v>
      </c>
      <c r="J660" s="5">
        <v>48022</v>
      </c>
      <c r="K660" s="5">
        <v>192088</v>
      </c>
      <c r="L660" s="5">
        <v>0</v>
      </c>
      <c r="M660" s="12">
        <v>0</v>
      </c>
      <c r="N660" s="5">
        <f t="shared" si="20"/>
        <v>192088</v>
      </c>
      <c r="O660" s="5">
        <v>102498.05</v>
      </c>
      <c r="P660" s="5">
        <f t="shared" si="21"/>
        <v>89589.95</v>
      </c>
      <c r="Q660" t="s">
        <v>364</v>
      </c>
      <c r="R660">
        <v>2025</v>
      </c>
      <c r="S660">
        <v>10</v>
      </c>
    </row>
    <row r="661" spans="1:19" x14ac:dyDescent="0.3">
      <c r="A661" s="19" t="s">
        <v>719</v>
      </c>
      <c r="B661" s="20">
        <v>45947</v>
      </c>
      <c r="C661" s="19" t="s">
        <v>46</v>
      </c>
      <c r="D661" s="19" t="s">
        <v>21</v>
      </c>
      <c r="E661" s="19" t="s">
        <v>44</v>
      </c>
      <c r="F661" s="19" t="s">
        <v>40</v>
      </c>
      <c r="G661" s="19" t="s">
        <v>24</v>
      </c>
      <c r="H661" s="19" t="s">
        <v>25</v>
      </c>
      <c r="I661" s="19">
        <v>2</v>
      </c>
      <c r="J661" s="21">
        <v>11093</v>
      </c>
      <c r="K661" s="21">
        <v>22186</v>
      </c>
      <c r="L661" s="21">
        <v>0</v>
      </c>
      <c r="M661" s="15">
        <v>0</v>
      </c>
      <c r="N661" s="21">
        <f t="shared" si="20"/>
        <v>22186</v>
      </c>
      <c r="O661" s="21">
        <v>14229.02</v>
      </c>
      <c r="P661" s="21">
        <f t="shared" si="21"/>
        <v>7956.98</v>
      </c>
      <c r="Q661" s="19" t="s">
        <v>364</v>
      </c>
      <c r="R661" s="19">
        <v>2025</v>
      </c>
      <c r="S661" s="19">
        <v>10</v>
      </c>
    </row>
    <row r="662" spans="1:19" x14ac:dyDescent="0.3">
      <c r="A662" t="s">
        <v>720</v>
      </c>
      <c r="B662" s="2">
        <v>45948</v>
      </c>
      <c r="C662" t="s">
        <v>75</v>
      </c>
      <c r="D662" t="s">
        <v>34</v>
      </c>
      <c r="E662" t="s">
        <v>22</v>
      </c>
      <c r="F662" t="s">
        <v>35</v>
      </c>
      <c r="G662" t="s">
        <v>31</v>
      </c>
      <c r="H662" t="s">
        <v>25</v>
      </c>
      <c r="I662">
        <v>3</v>
      </c>
      <c r="J662" s="5">
        <v>38983</v>
      </c>
      <c r="K662" s="5">
        <v>116949</v>
      </c>
      <c r="L662" s="5">
        <v>5847.45</v>
      </c>
      <c r="M662" s="12">
        <v>0.05</v>
      </c>
      <c r="N662" s="5">
        <f t="shared" si="20"/>
        <v>111101.55</v>
      </c>
      <c r="O662" s="5">
        <v>70016.460000000006</v>
      </c>
      <c r="P662" s="5">
        <f t="shared" si="21"/>
        <v>41085.089999999997</v>
      </c>
      <c r="Q662" t="s">
        <v>364</v>
      </c>
      <c r="R662">
        <v>2025</v>
      </c>
      <c r="S662">
        <v>10</v>
      </c>
    </row>
    <row r="663" spans="1:19" x14ac:dyDescent="0.3">
      <c r="A663" s="19" t="s">
        <v>721</v>
      </c>
      <c r="B663" s="20">
        <v>45949</v>
      </c>
      <c r="C663" s="19" t="s">
        <v>33</v>
      </c>
      <c r="D663" s="19" t="s">
        <v>34</v>
      </c>
      <c r="E663" s="19" t="s">
        <v>22</v>
      </c>
      <c r="F663" s="19" t="s">
        <v>40</v>
      </c>
      <c r="G663" s="19" t="s">
        <v>24</v>
      </c>
      <c r="H663" s="19" t="s">
        <v>25</v>
      </c>
      <c r="I663" s="19">
        <v>2</v>
      </c>
      <c r="J663" s="21">
        <v>39172</v>
      </c>
      <c r="K663" s="21">
        <v>78344</v>
      </c>
      <c r="L663" s="21">
        <v>0</v>
      </c>
      <c r="M663" s="15">
        <v>0</v>
      </c>
      <c r="N663" s="21">
        <f t="shared" si="20"/>
        <v>78344</v>
      </c>
      <c r="O663" s="21">
        <v>37909.85</v>
      </c>
      <c r="P663" s="21">
        <f t="shared" si="21"/>
        <v>40434.15</v>
      </c>
      <c r="Q663" s="19" t="s">
        <v>364</v>
      </c>
      <c r="R663" s="19">
        <v>2025</v>
      </c>
      <c r="S663" s="19">
        <v>10</v>
      </c>
    </row>
    <row r="664" spans="1:19" x14ac:dyDescent="0.3">
      <c r="A664" t="s">
        <v>722</v>
      </c>
      <c r="B664" s="2">
        <v>45950</v>
      </c>
      <c r="C664" t="s">
        <v>64</v>
      </c>
      <c r="D664" t="s">
        <v>29</v>
      </c>
      <c r="E664" t="s">
        <v>22</v>
      </c>
      <c r="F664" t="s">
        <v>35</v>
      </c>
      <c r="G664" t="s">
        <v>24</v>
      </c>
      <c r="H664" t="s">
        <v>25</v>
      </c>
      <c r="I664">
        <v>1</v>
      </c>
      <c r="J664" s="5">
        <v>31564</v>
      </c>
      <c r="K664" s="5">
        <v>31564</v>
      </c>
      <c r="L664" s="5">
        <v>0</v>
      </c>
      <c r="M664" s="12">
        <v>0</v>
      </c>
      <c r="N664" s="5">
        <f t="shared" si="20"/>
        <v>31564</v>
      </c>
      <c r="O664" s="5">
        <v>16908.57</v>
      </c>
      <c r="P664" s="5">
        <f t="shared" si="21"/>
        <v>14655.43</v>
      </c>
      <c r="Q664" t="s">
        <v>364</v>
      </c>
      <c r="R664">
        <v>2025</v>
      </c>
      <c r="S664">
        <v>10</v>
      </c>
    </row>
    <row r="665" spans="1:19" x14ac:dyDescent="0.3">
      <c r="A665" s="19" t="s">
        <v>723</v>
      </c>
      <c r="B665" s="20">
        <v>45951</v>
      </c>
      <c r="C665" s="19" t="s">
        <v>46</v>
      </c>
      <c r="D665" s="19" t="s">
        <v>21</v>
      </c>
      <c r="E665" s="19" t="s">
        <v>56</v>
      </c>
      <c r="F665" s="19" t="s">
        <v>40</v>
      </c>
      <c r="G665" s="19" t="s">
        <v>31</v>
      </c>
      <c r="H665" s="19" t="s">
        <v>25</v>
      </c>
      <c r="I665" s="19">
        <v>2</v>
      </c>
      <c r="J665" s="21">
        <v>12666</v>
      </c>
      <c r="K665" s="21">
        <v>25332</v>
      </c>
      <c r="L665" s="21">
        <v>0</v>
      </c>
      <c r="M665" s="15">
        <v>0</v>
      </c>
      <c r="N665" s="21">
        <f t="shared" si="20"/>
        <v>25332</v>
      </c>
      <c r="O665" s="21">
        <v>16711.830000000002</v>
      </c>
      <c r="P665" s="21">
        <f t="shared" si="21"/>
        <v>8620.1699999999983</v>
      </c>
      <c r="Q665" s="19" t="s">
        <v>364</v>
      </c>
      <c r="R665" s="19">
        <v>2025</v>
      </c>
      <c r="S665" s="19">
        <v>10</v>
      </c>
    </row>
    <row r="666" spans="1:19" x14ac:dyDescent="0.3">
      <c r="A666" t="s">
        <v>724</v>
      </c>
      <c r="B666" s="2">
        <v>45952</v>
      </c>
      <c r="C666" t="s">
        <v>48</v>
      </c>
      <c r="D666" t="s">
        <v>34</v>
      </c>
      <c r="E666" t="s">
        <v>56</v>
      </c>
      <c r="F666" t="s">
        <v>37</v>
      </c>
      <c r="G666" t="s">
        <v>24</v>
      </c>
      <c r="H666" t="s">
        <v>25</v>
      </c>
      <c r="I666">
        <v>3</v>
      </c>
      <c r="J666" s="5">
        <v>26951</v>
      </c>
      <c r="K666" s="5">
        <v>80853</v>
      </c>
      <c r="L666" s="5">
        <v>0</v>
      </c>
      <c r="M666" s="12">
        <v>0</v>
      </c>
      <c r="N666" s="5">
        <f t="shared" si="20"/>
        <v>80853</v>
      </c>
      <c r="O666" s="5">
        <v>45883.91</v>
      </c>
      <c r="P666" s="5">
        <f t="shared" si="21"/>
        <v>34969.089999999997</v>
      </c>
      <c r="Q666" t="s">
        <v>364</v>
      </c>
      <c r="R666">
        <v>2025</v>
      </c>
      <c r="S666">
        <v>10</v>
      </c>
    </row>
    <row r="667" spans="1:19" x14ac:dyDescent="0.3">
      <c r="A667" s="19" t="s">
        <v>725</v>
      </c>
      <c r="B667" s="20">
        <v>45952</v>
      </c>
      <c r="C667" s="19" t="s">
        <v>75</v>
      </c>
      <c r="D667" s="19" t="s">
        <v>34</v>
      </c>
      <c r="E667" s="19" t="s">
        <v>42</v>
      </c>
      <c r="F667" s="19" t="s">
        <v>37</v>
      </c>
      <c r="G667" s="19" t="s">
        <v>24</v>
      </c>
      <c r="H667" s="19" t="s">
        <v>25</v>
      </c>
      <c r="I667" s="19">
        <v>3</v>
      </c>
      <c r="J667" s="21">
        <v>40072</v>
      </c>
      <c r="K667" s="21">
        <v>120216</v>
      </c>
      <c r="L667" s="21">
        <v>12021.6</v>
      </c>
      <c r="M667" s="15">
        <v>0.1</v>
      </c>
      <c r="N667" s="21">
        <f t="shared" si="20"/>
        <v>108194.4</v>
      </c>
      <c r="O667" s="21">
        <v>72353.289999999994</v>
      </c>
      <c r="P667" s="21">
        <f t="shared" si="21"/>
        <v>35841.11</v>
      </c>
      <c r="Q667" s="19" t="s">
        <v>364</v>
      </c>
      <c r="R667" s="19">
        <v>2025</v>
      </c>
      <c r="S667" s="19">
        <v>10</v>
      </c>
    </row>
    <row r="668" spans="1:19" x14ac:dyDescent="0.3">
      <c r="A668" t="s">
        <v>726</v>
      </c>
      <c r="B668" s="2">
        <v>45953</v>
      </c>
      <c r="C668" t="s">
        <v>82</v>
      </c>
      <c r="D668" t="s">
        <v>21</v>
      </c>
      <c r="E668" t="s">
        <v>44</v>
      </c>
      <c r="F668" t="s">
        <v>23</v>
      </c>
      <c r="G668" t="s">
        <v>24</v>
      </c>
      <c r="H668" t="s">
        <v>25</v>
      </c>
      <c r="I668">
        <v>2</v>
      </c>
      <c r="J668" s="5">
        <v>47450</v>
      </c>
      <c r="K668" s="5">
        <v>94900</v>
      </c>
      <c r="L668" s="5">
        <v>0</v>
      </c>
      <c r="M668" s="12">
        <v>0</v>
      </c>
      <c r="N668" s="5">
        <f t="shared" si="20"/>
        <v>94900</v>
      </c>
      <c r="O668" s="5">
        <v>51981.47</v>
      </c>
      <c r="P668" s="5">
        <f t="shared" si="21"/>
        <v>42918.53</v>
      </c>
      <c r="Q668" t="s">
        <v>364</v>
      </c>
      <c r="R668">
        <v>2025</v>
      </c>
      <c r="S668">
        <v>10</v>
      </c>
    </row>
    <row r="669" spans="1:19" x14ac:dyDescent="0.3">
      <c r="A669" s="19" t="s">
        <v>727</v>
      </c>
      <c r="B669" s="20">
        <v>45953</v>
      </c>
      <c r="C669" s="19" t="s">
        <v>48</v>
      </c>
      <c r="D669" s="19" t="s">
        <v>34</v>
      </c>
      <c r="E669" s="19" t="s">
        <v>44</v>
      </c>
      <c r="F669" s="19" t="s">
        <v>30</v>
      </c>
      <c r="G669" s="19" t="s">
        <v>31</v>
      </c>
      <c r="H669" s="19" t="s">
        <v>25</v>
      </c>
      <c r="I669" s="19">
        <v>4</v>
      </c>
      <c r="J669" s="21">
        <v>26378</v>
      </c>
      <c r="K669" s="21">
        <v>105512</v>
      </c>
      <c r="L669" s="21">
        <v>0</v>
      </c>
      <c r="M669" s="15">
        <v>0</v>
      </c>
      <c r="N669" s="21">
        <f t="shared" si="20"/>
        <v>105512</v>
      </c>
      <c r="O669" s="21">
        <v>59948.86</v>
      </c>
      <c r="P669" s="21">
        <f t="shared" si="21"/>
        <v>45563.14</v>
      </c>
      <c r="Q669" s="19" t="s">
        <v>364</v>
      </c>
      <c r="R669" s="19">
        <v>2025</v>
      </c>
      <c r="S669" s="19">
        <v>10</v>
      </c>
    </row>
    <row r="670" spans="1:19" x14ac:dyDescent="0.3">
      <c r="A670" t="s">
        <v>728</v>
      </c>
      <c r="B670" s="2">
        <v>45954</v>
      </c>
      <c r="C670" t="s">
        <v>71</v>
      </c>
      <c r="D670" t="s">
        <v>34</v>
      </c>
      <c r="E670" t="s">
        <v>56</v>
      </c>
      <c r="F670" t="s">
        <v>23</v>
      </c>
      <c r="G670" t="s">
        <v>24</v>
      </c>
      <c r="H670" t="s">
        <v>25</v>
      </c>
      <c r="I670">
        <v>2</v>
      </c>
      <c r="J670" s="5">
        <v>52440</v>
      </c>
      <c r="K670" s="5">
        <v>104880</v>
      </c>
      <c r="L670" s="5">
        <v>0</v>
      </c>
      <c r="M670" s="12">
        <v>0</v>
      </c>
      <c r="N670" s="5">
        <f t="shared" si="20"/>
        <v>104880</v>
      </c>
      <c r="O670" s="5">
        <v>58629.04</v>
      </c>
      <c r="P670" s="5">
        <f t="shared" si="21"/>
        <v>46250.96</v>
      </c>
      <c r="Q670" t="s">
        <v>364</v>
      </c>
      <c r="R670">
        <v>2025</v>
      </c>
      <c r="S670">
        <v>10</v>
      </c>
    </row>
    <row r="671" spans="1:19" x14ac:dyDescent="0.3">
      <c r="A671" s="19" t="s">
        <v>729</v>
      </c>
      <c r="B671" s="20">
        <v>45955</v>
      </c>
      <c r="C671" s="19" t="s">
        <v>75</v>
      </c>
      <c r="D671" s="19" t="s">
        <v>34</v>
      </c>
      <c r="E671" s="19" t="s">
        <v>56</v>
      </c>
      <c r="F671" s="19" t="s">
        <v>40</v>
      </c>
      <c r="G671" s="19" t="s">
        <v>24</v>
      </c>
      <c r="H671" s="19" t="s">
        <v>25</v>
      </c>
      <c r="I671" s="19">
        <v>3</v>
      </c>
      <c r="J671" s="21">
        <v>40038</v>
      </c>
      <c r="K671" s="21">
        <v>120114</v>
      </c>
      <c r="L671" s="21">
        <v>0</v>
      </c>
      <c r="M671" s="15">
        <v>0</v>
      </c>
      <c r="N671" s="21">
        <f t="shared" si="20"/>
        <v>120114</v>
      </c>
      <c r="O671" s="21">
        <v>75073.490000000005</v>
      </c>
      <c r="P671" s="21">
        <f t="shared" si="21"/>
        <v>45040.509999999995</v>
      </c>
      <c r="Q671" s="19" t="s">
        <v>364</v>
      </c>
      <c r="R671" s="19">
        <v>2025</v>
      </c>
      <c r="S671" s="19">
        <v>10</v>
      </c>
    </row>
    <row r="672" spans="1:19" x14ac:dyDescent="0.3">
      <c r="A672" t="s">
        <v>730</v>
      </c>
      <c r="B672" s="2">
        <v>45955</v>
      </c>
      <c r="C672" t="s">
        <v>48</v>
      </c>
      <c r="D672" t="s">
        <v>34</v>
      </c>
      <c r="E672" t="s">
        <v>44</v>
      </c>
      <c r="F672" t="s">
        <v>40</v>
      </c>
      <c r="G672" t="s">
        <v>31</v>
      </c>
      <c r="H672" t="s">
        <v>25</v>
      </c>
      <c r="I672">
        <v>2</v>
      </c>
      <c r="J672" s="5">
        <v>24498</v>
      </c>
      <c r="K672" s="5">
        <v>48996</v>
      </c>
      <c r="L672" s="5">
        <v>2449.8000000000002</v>
      </c>
      <c r="M672" s="12">
        <v>0.05</v>
      </c>
      <c r="N672" s="5">
        <f t="shared" si="20"/>
        <v>46546.2</v>
      </c>
      <c r="O672" s="5">
        <v>27313.22</v>
      </c>
      <c r="P672" s="5">
        <f t="shared" si="21"/>
        <v>19232.979999999996</v>
      </c>
      <c r="Q672" t="s">
        <v>364</v>
      </c>
      <c r="R672">
        <v>2025</v>
      </c>
      <c r="S672">
        <v>10</v>
      </c>
    </row>
    <row r="673" spans="1:19" x14ac:dyDescent="0.3">
      <c r="A673" s="19" t="s">
        <v>731</v>
      </c>
      <c r="B673" s="20">
        <v>45955</v>
      </c>
      <c r="C673" s="19" t="s">
        <v>33</v>
      </c>
      <c r="D673" s="19" t="s">
        <v>34</v>
      </c>
      <c r="E673" s="19" t="s">
        <v>56</v>
      </c>
      <c r="F673" s="19" t="s">
        <v>40</v>
      </c>
      <c r="G673" s="19" t="s">
        <v>31</v>
      </c>
      <c r="H673" s="19" t="s">
        <v>25</v>
      </c>
      <c r="I673" s="19">
        <v>1</v>
      </c>
      <c r="J673" s="21">
        <v>40456</v>
      </c>
      <c r="K673" s="21">
        <v>40456</v>
      </c>
      <c r="L673" s="21">
        <v>0</v>
      </c>
      <c r="M673" s="15">
        <v>0</v>
      </c>
      <c r="N673" s="21">
        <f t="shared" si="20"/>
        <v>40456</v>
      </c>
      <c r="O673" s="21">
        <v>23931.41</v>
      </c>
      <c r="P673" s="21">
        <f t="shared" si="21"/>
        <v>16524.59</v>
      </c>
      <c r="Q673" s="19" t="s">
        <v>364</v>
      </c>
      <c r="R673" s="19">
        <v>2025</v>
      </c>
      <c r="S673" s="19">
        <v>10</v>
      </c>
    </row>
    <row r="674" spans="1:19" x14ac:dyDescent="0.3">
      <c r="A674" t="s">
        <v>732</v>
      </c>
      <c r="B674" s="2">
        <v>45956</v>
      </c>
      <c r="C674" t="s">
        <v>82</v>
      </c>
      <c r="D674" t="s">
        <v>21</v>
      </c>
      <c r="E674" t="s">
        <v>42</v>
      </c>
      <c r="F674" t="s">
        <v>37</v>
      </c>
      <c r="G674" t="s">
        <v>31</v>
      </c>
      <c r="H674" t="s">
        <v>25</v>
      </c>
      <c r="I674">
        <v>1</v>
      </c>
      <c r="J674" s="5">
        <v>44596</v>
      </c>
      <c r="K674" s="5">
        <v>44596</v>
      </c>
      <c r="L674" s="5">
        <v>0</v>
      </c>
      <c r="M674" s="12">
        <v>0</v>
      </c>
      <c r="N674" s="5">
        <f t="shared" si="20"/>
        <v>44596</v>
      </c>
      <c r="O674" s="5">
        <v>23177.88</v>
      </c>
      <c r="P674" s="5">
        <f t="shared" si="21"/>
        <v>21418.12</v>
      </c>
      <c r="Q674" t="s">
        <v>364</v>
      </c>
      <c r="R674">
        <v>2025</v>
      </c>
      <c r="S674">
        <v>10</v>
      </c>
    </row>
    <row r="675" spans="1:19" x14ac:dyDescent="0.3">
      <c r="A675" s="19" t="s">
        <v>733</v>
      </c>
      <c r="B675" s="20">
        <v>45957</v>
      </c>
      <c r="C675" s="19" t="s">
        <v>50</v>
      </c>
      <c r="D675" s="19" t="s">
        <v>34</v>
      </c>
      <c r="E675" s="19" t="s">
        <v>42</v>
      </c>
      <c r="F675" s="19" t="s">
        <v>35</v>
      </c>
      <c r="G675" s="19" t="s">
        <v>31</v>
      </c>
      <c r="H675" s="19" t="s">
        <v>25</v>
      </c>
      <c r="I675" s="19">
        <v>3</v>
      </c>
      <c r="J675" s="21">
        <v>17757</v>
      </c>
      <c r="K675" s="21">
        <v>53271</v>
      </c>
      <c r="L675" s="21">
        <v>0</v>
      </c>
      <c r="M675" s="15">
        <v>0</v>
      </c>
      <c r="N675" s="21">
        <f t="shared" si="20"/>
        <v>53271</v>
      </c>
      <c r="O675" s="21">
        <v>29487.72</v>
      </c>
      <c r="P675" s="21">
        <f t="shared" si="21"/>
        <v>23783.279999999999</v>
      </c>
      <c r="Q675" s="19" t="s">
        <v>364</v>
      </c>
      <c r="R675" s="19">
        <v>2025</v>
      </c>
      <c r="S675" s="19">
        <v>10</v>
      </c>
    </row>
    <row r="676" spans="1:19" x14ac:dyDescent="0.3">
      <c r="A676" t="s">
        <v>734</v>
      </c>
      <c r="B676" s="2">
        <v>45957</v>
      </c>
      <c r="C676" t="s">
        <v>46</v>
      </c>
      <c r="D676" t="s">
        <v>21</v>
      </c>
      <c r="E676" t="s">
        <v>22</v>
      </c>
      <c r="F676" t="s">
        <v>35</v>
      </c>
      <c r="G676" t="s">
        <v>31</v>
      </c>
      <c r="H676" t="s">
        <v>25</v>
      </c>
      <c r="I676">
        <v>1</v>
      </c>
      <c r="J676" s="5">
        <v>11597</v>
      </c>
      <c r="K676" s="5">
        <v>11597</v>
      </c>
      <c r="L676" s="5">
        <v>0</v>
      </c>
      <c r="M676" s="12">
        <v>0</v>
      </c>
      <c r="N676" s="5">
        <f t="shared" si="20"/>
        <v>11597</v>
      </c>
      <c r="O676" s="5">
        <v>5936.25</v>
      </c>
      <c r="P676" s="5">
        <f t="shared" si="21"/>
        <v>5660.75</v>
      </c>
      <c r="Q676" t="s">
        <v>364</v>
      </c>
      <c r="R676">
        <v>2025</v>
      </c>
      <c r="S676">
        <v>10</v>
      </c>
    </row>
    <row r="677" spans="1:19" x14ac:dyDescent="0.3">
      <c r="A677" s="19" t="s">
        <v>735</v>
      </c>
      <c r="B677" s="20">
        <v>45957</v>
      </c>
      <c r="C677" s="19" t="s">
        <v>28</v>
      </c>
      <c r="D677" s="19" t="s">
        <v>29</v>
      </c>
      <c r="E677" s="19" t="s">
        <v>22</v>
      </c>
      <c r="F677" s="19" t="s">
        <v>30</v>
      </c>
      <c r="G677" s="19" t="s">
        <v>24</v>
      </c>
      <c r="H677" s="19" t="s">
        <v>25</v>
      </c>
      <c r="I677" s="19">
        <v>1</v>
      </c>
      <c r="J677" s="21">
        <v>64209</v>
      </c>
      <c r="K677" s="21">
        <v>64209</v>
      </c>
      <c r="L677" s="21">
        <v>0</v>
      </c>
      <c r="M677" s="15">
        <v>0</v>
      </c>
      <c r="N677" s="21">
        <f t="shared" si="20"/>
        <v>64209</v>
      </c>
      <c r="O677" s="21">
        <v>41074.449999999997</v>
      </c>
      <c r="P677" s="21">
        <f t="shared" si="21"/>
        <v>23134.550000000003</v>
      </c>
      <c r="Q677" s="19" t="s">
        <v>364</v>
      </c>
      <c r="R677" s="19">
        <v>2025</v>
      </c>
      <c r="S677" s="19">
        <v>10</v>
      </c>
    </row>
    <row r="678" spans="1:19" x14ac:dyDescent="0.3">
      <c r="A678" t="s">
        <v>736</v>
      </c>
      <c r="B678" s="2">
        <v>45958</v>
      </c>
      <c r="C678" t="s">
        <v>28</v>
      </c>
      <c r="D678" t="s">
        <v>29</v>
      </c>
      <c r="E678" t="s">
        <v>42</v>
      </c>
      <c r="F678" t="s">
        <v>35</v>
      </c>
      <c r="G678" t="s">
        <v>31</v>
      </c>
      <c r="H678" t="s">
        <v>25</v>
      </c>
      <c r="I678">
        <v>1</v>
      </c>
      <c r="J678" s="5">
        <v>66109</v>
      </c>
      <c r="K678" s="5">
        <v>66109</v>
      </c>
      <c r="L678" s="5">
        <v>0</v>
      </c>
      <c r="M678" s="12">
        <v>0</v>
      </c>
      <c r="N678" s="5">
        <f t="shared" si="20"/>
        <v>66109</v>
      </c>
      <c r="O678" s="5">
        <v>32010.74</v>
      </c>
      <c r="P678" s="5">
        <f t="shared" si="21"/>
        <v>34098.259999999995</v>
      </c>
      <c r="Q678" t="s">
        <v>364</v>
      </c>
      <c r="R678">
        <v>2025</v>
      </c>
      <c r="S678">
        <v>10</v>
      </c>
    </row>
    <row r="679" spans="1:19" x14ac:dyDescent="0.3">
      <c r="A679" s="19" t="s">
        <v>737</v>
      </c>
      <c r="B679" s="20">
        <v>45959</v>
      </c>
      <c r="C679" s="19" t="s">
        <v>48</v>
      </c>
      <c r="D679" s="19" t="s">
        <v>34</v>
      </c>
      <c r="E679" s="19" t="s">
        <v>56</v>
      </c>
      <c r="F679" s="19" t="s">
        <v>40</v>
      </c>
      <c r="G679" s="19" t="s">
        <v>24</v>
      </c>
      <c r="H679" s="19" t="s">
        <v>25</v>
      </c>
      <c r="I679" s="19">
        <v>4</v>
      </c>
      <c r="J679" s="21">
        <v>23769</v>
      </c>
      <c r="K679" s="21">
        <v>95076</v>
      </c>
      <c r="L679" s="21">
        <v>0</v>
      </c>
      <c r="M679" s="15">
        <v>0</v>
      </c>
      <c r="N679" s="21">
        <f t="shared" si="20"/>
        <v>95076</v>
      </c>
      <c r="O679" s="21">
        <v>58269.03</v>
      </c>
      <c r="P679" s="21">
        <f t="shared" si="21"/>
        <v>36806.97</v>
      </c>
      <c r="Q679" s="19" t="s">
        <v>364</v>
      </c>
      <c r="R679" s="19">
        <v>2025</v>
      </c>
      <c r="S679" s="19">
        <v>10</v>
      </c>
    </row>
    <row r="680" spans="1:19" x14ac:dyDescent="0.3">
      <c r="A680" t="s">
        <v>738</v>
      </c>
      <c r="B680" s="2">
        <v>45961</v>
      </c>
      <c r="C680" t="s">
        <v>71</v>
      </c>
      <c r="D680" t="s">
        <v>34</v>
      </c>
      <c r="E680" t="s">
        <v>22</v>
      </c>
      <c r="F680" t="s">
        <v>40</v>
      </c>
      <c r="G680" t="s">
        <v>31</v>
      </c>
      <c r="H680" t="s">
        <v>25</v>
      </c>
      <c r="I680">
        <v>2</v>
      </c>
      <c r="J680" s="5">
        <v>47174</v>
      </c>
      <c r="K680" s="5">
        <v>94348</v>
      </c>
      <c r="L680" s="5">
        <v>0</v>
      </c>
      <c r="M680" s="12">
        <v>0</v>
      </c>
      <c r="N680" s="5">
        <f t="shared" si="20"/>
        <v>94348</v>
      </c>
      <c r="O680" s="5">
        <v>45615.95</v>
      </c>
      <c r="P680" s="5">
        <f t="shared" si="21"/>
        <v>48732.05</v>
      </c>
      <c r="Q680" t="s">
        <v>364</v>
      </c>
      <c r="R680">
        <v>2025</v>
      </c>
      <c r="S680">
        <v>10</v>
      </c>
    </row>
    <row r="681" spans="1:19" x14ac:dyDescent="0.3">
      <c r="A681" s="19" t="s">
        <v>739</v>
      </c>
      <c r="B681" s="20">
        <v>45963</v>
      </c>
      <c r="C681" s="19" t="s">
        <v>75</v>
      </c>
      <c r="D681" s="19" t="s">
        <v>34</v>
      </c>
      <c r="E681" s="19" t="s">
        <v>56</v>
      </c>
      <c r="F681" s="19" t="s">
        <v>40</v>
      </c>
      <c r="G681" s="19" t="s">
        <v>24</v>
      </c>
      <c r="H681" s="19" t="s">
        <v>388</v>
      </c>
      <c r="I681" s="19">
        <v>2</v>
      </c>
      <c r="J681" s="21">
        <v>37670</v>
      </c>
      <c r="K681" s="21">
        <v>75340</v>
      </c>
      <c r="L681" s="21">
        <v>7534</v>
      </c>
      <c r="M681" s="15">
        <v>0.1</v>
      </c>
      <c r="N681" s="21">
        <f t="shared" si="20"/>
        <v>67806</v>
      </c>
      <c r="O681" s="21">
        <v>40155.72</v>
      </c>
      <c r="P681" s="21">
        <f t="shared" si="21"/>
        <v>27650.28</v>
      </c>
      <c r="Q681" s="19" t="s">
        <v>389</v>
      </c>
      <c r="R681" s="19">
        <v>2025</v>
      </c>
      <c r="S681" s="19">
        <v>11</v>
      </c>
    </row>
    <row r="682" spans="1:19" x14ac:dyDescent="0.3">
      <c r="A682" t="s">
        <v>740</v>
      </c>
      <c r="B682" s="2">
        <v>45963</v>
      </c>
      <c r="C682" t="s">
        <v>20</v>
      </c>
      <c r="D682" t="s">
        <v>21</v>
      </c>
      <c r="E682" t="s">
        <v>42</v>
      </c>
      <c r="F682" t="s">
        <v>23</v>
      </c>
      <c r="G682" t="s">
        <v>31</v>
      </c>
      <c r="H682" t="s">
        <v>25</v>
      </c>
      <c r="I682">
        <v>1</v>
      </c>
      <c r="J682" s="5">
        <v>14358</v>
      </c>
      <c r="K682" s="5">
        <v>14358</v>
      </c>
      <c r="L682" s="5">
        <v>0</v>
      </c>
      <c r="M682" s="12">
        <v>0</v>
      </c>
      <c r="N682" s="5">
        <f t="shared" si="20"/>
        <v>14358</v>
      </c>
      <c r="O682" s="5">
        <v>8854.3799999999992</v>
      </c>
      <c r="P682" s="5">
        <f t="shared" si="21"/>
        <v>5503.6200000000008</v>
      </c>
      <c r="Q682" t="s">
        <v>389</v>
      </c>
      <c r="R682">
        <v>2025</v>
      </c>
      <c r="S682">
        <v>11</v>
      </c>
    </row>
    <row r="683" spans="1:19" x14ac:dyDescent="0.3">
      <c r="A683" s="19" t="s">
        <v>741</v>
      </c>
      <c r="B683" s="20">
        <v>45965</v>
      </c>
      <c r="C683" s="19" t="s">
        <v>28</v>
      </c>
      <c r="D683" s="19" t="s">
        <v>29</v>
      </c>
      <c r="E683" s="19" t="s">
        <v>22</v>
      </c>
      <c r="F683" s="19" t="s">
        <v>40</v>
      </c>
      <c r="G683" s="19" t="s">
        <v>31</v>
      </c>
      <c r="H683" s="19" t="s">
        <v>388</v>
      </c>
      <c r="I683" s="19">
        <v>5</v>
      </c>
      <c r="J683" s="21">
        <v>64213</v>
      </c>
      <c r="K683" s="21">
        <v>321065</v>
      </c>
      <c r="L683" s="21">
        <v>32106.5</v>
      </c>
      <c r="M683" s="15">
        <v>0.1</v>
      </c>
      <c r="N683" s="21">
        <f t="shared" si="20"/>
        <v>288958.5</v>
      </c>
      <c r="O683" s="21">
        <v>192882.54</v>
      </c>
      <c r="P683" s="21">
        <f t="shared" si="21"/>
        <v>96075.959999999992</v>
      </c>
      <c r="Q683" s="19" t="s">
        <v>389</v>
      </c>
      <c r="R683" s="19">
        <v>2025</v>
      </c>
      <c r="S683" s="19">
        <v>11</v>
      </c>
    </row>
    <row r="684" spans="1:19" x14ac:dyDescent="0.3">
      <c r="A684" t="s">
        <v>742</v>
      </c>
      <c r="B684" s="2">
        <v>45967</v>
      </c>
      <c r="C684" t="s">
        <v>64</v>
      </c>
      <c r="D684" t="s">
        <v>29</v>
      </c>
      <c r="E684" t="s">
        <v>22</v>
      </c>
      <c r="F684" t="s">
        <v>23</v>
      </c>
      <c r="G684" t="s">
        <v>31</v>
      </c>
      <c r="H684" t="s">
        <v>388</v>
      </c>
      <c r="I684">
        <v>1</v>
      </c>
      <c r="J684" s="5">
        <v>32154</v>
      </c>
      <c r="K684" s="5">
        <v>32154</v>
      </c>
      <c r="L684" s="5">
        <v>3215.4</v>
      </c>
      <c r="M684" s="12">
        <v>0.1</v>
      </c>
      <c r="N684" s="5">
        <f t="shared" si="20"/>
        <v>28938.6</v>
      </c>
      <c r="O684" s="5">
        <v>16436.490000000002</v>
      </c>
      <c r="P684" s="5">
        <f t="shared" si="21"/>
        <v>12502.109999999997</v>
      </c>
      <c r="Q684" t="s">
        <v>389</v>
      </c>
      <c r="R684">
        <v>2025</v>
      </c>
      <c r="S684">
        <v>11</v>
      </c>
    </row>
    <row r="685" spans="1:19" x14ac:dyDescent="0.3">
      <c r="A685" s="19" t="s">
        <v>743</v>
      </c>
      <c r="B685" s="20">
        <v>45967</v>
      </c>
      <c r="C685" s="19" t="s">
        <v>28</v>
      </c>
      <c r="D685" s="19" t="s">
        <v>29</v>
      </c>
      <c r="E685" s="19" t="s">
        <v>22</v>
      </c>
      <c r="F685" s="19" t="s">
        <v>35</v>
      </c>
      <c r="G685" s="19" t="s">
        <v>24</v>
      </c>
      <c r="H685" s="19" t="s">
        <v>388</v>
      </c>
      <c r="I685" s="19">
        <v>2</v>
      </c>
      <c r="J685" s="21">
        <v>67091</v>
      </c>
      <c r="K685" s="21">
        <v>134182</v>
      </c>
      <c r="L685" s="21">
        <v>6709.1</v>
      </c>
      <c r="M685" s="15">
        <v>0.05</v>
      </c>
      <c r="N685" s="21">
        <f t="shared" si="20"/>
        <v>127472.9</v>
      </c>
      <c r="O685" s="21">
        <v>88874.85</v>
      </c>
      <c r="P685" s="21">
        <f t="shared" si="21"/>
        <v>38598.049999999988</v>
      </c>
      <c r="Q685" s="19" t="s">
        <v>389</v>
      </c>
      <c r="R685" s="19">
        <v>2025</v>
      </c>
      <c r="S685" s="19">
        <v>11</v>
      </c>
    </row>
    <row r="686" spans="1:19" x14ac:dyDescent="0.3">
      <c r="A686" t="s">
        <v>744</v>
      </c>
      <c r="B686" s="2">
        <v>45967</v>
      </c>
      <c r="C686" t="s">
        <v>82</v>
      </c>
      <c r="D686" t="s">
        <v>21</v>
      </c>
      <c r="E686" t="s">
        <v>44</v>
      </c>
      <c r="F686" t="s">
        <v>35</v>
      </c>
      <c r="G686" t="s">
        <v>31</v>
      </c>
      <c r="H686" t="s">
        <v>388</v>
      </c>
      <c r="I686">
        <v>2</v>
      </c>
      <c r="J686" s="5">
        <v>46135</v>
      </c>
      <c r="K686" s="5">
        <v>92270</v>
      </c>
      <c r="L686" s="5">
        <v>18454</v>
      </c>
      <c r="M686" s="12">
        <v>0.2</v>
      </c>
      <c r="N686" s="5">
        <f t="shared" si="20"/>
        <v>73816</v>
      </c>
      <c r="O686" s="5">
        <v>61506.38</v>
      </c>
      <c r="P686" s="5">
        <f t="shared" si="21"/>
        <v>12309.620000000003</v>
      </c>
      <c r="Q686" t="s">
        <v>389</v>
      </c>
      <c r="R686">
        <v>2025</v>
      </c>
      <c r="S686">
        <v>11</v>
      </c>
    </row>
    <row r="687" spans="1:19" x14ac:dyDescent="0.3">
      <c r="A687" s="19" t="s">
        <v>745</v>
      </c>
      <c r="B687" s="20">
        <v>45968</v>
      </c>
      <c r="C687" s="19" t="s">
        <v>71</v>
      </c>
      <c r="D687" s="19" t="s">
        <v>34</v>
      </c>
      <c r="E687" s="19" t="s">
        <v>42</v>
      </c>
      <c r="F687" s="19" t="s">
        <v>40</v>
      </c>
      <c r="G687" s="19" t="s">
        <v>24</v>
      </c>
      <c r="H687" s="19" t="s">
        <v>388</v>
      </c>
      <c r="I687" s="19">
        <v>2</v>
      </c>
      <c r="J687" s="21">
        <v>51958</v>
      </c>
      <c r="K687" s="21">
        <v>103916</v>
      </c>
      <c r="L687" s="21">
        <v>10391.6</v>
      </c>
      <c r="M687" s="15">
        <v>0.1</v>
      </c>
      <c r="N687" s="21">
        <f t="shared" si="20"/>
        <v>93524.4</v>
      </c>
      <c r="O687" s="21">
        <v>53827.13</v>
      </c>
      <c r="P687" s="21">
        <f t="shared" si="21"/>
        <v>39697.269999999997</v>
      </c>
      <c r="Q687" s="19" t="s">
        <v>389</v>
      </c>
      <c r="R687" s="19">
        <v>2025</v>
      </c>
      <c r="S687" s="19">
        <v>11</v>
      </c>
    </row>
    <row r="688" spans="1:19" x14ac:dyDescent="0.3">
      <c r="A688" t="s">
        <v>746</v>
      </c>
      <c r="B688" s="2">
        <v>45973</v>
      </c>
      <c r="C688" t="s">
        <v>50</v>
      </c>
      <c r="D688" t="s">
        <v>34</v>
      </c>
      <c r="E688" t="s">
        <v>22</v>
      </c>
      <c r="F688" t="s">
        <v>40</v>
      </c>
      <c r="G688" t="s">
        <v>31</v>
      </c>
      <c r="H688" t="s">
        <v>388</v>
      </c>
      <c r="I688">
        <v>3</v>
      </c>
      <c r="J688" s="5">
        <v>17828</v>
      </c>
      <c r="K688" s="5">
        <v>53484</v>
      </c>
      <c r="L688" s="5">
        <v>8022.6</v>
      </c>
      <c r="M688" s="12">
        <v>0.15</v>
      </c>
      <c r="N688" s="5">
        <f t="shared" si="20"/>
        <v>45461.4</v>
      </c>
      <c r="O688" s="5">
        <v>29761.200000000001</v>
      </c>
      <c r="P688" s="5">
        <f t="shared" si="21"/>
        <v>15700.2</v>
      </c>
      <c r="Q688" t="s">
        <v>389</v>
      </c>
      <c r="R688">
        <v>2025</v>
      </c>
      <c r="S688">
        <v>11</v>
      </c>
    </row>
    <row r="689" spans="1:19" x14ac:dyDescent="0.3">
      <c r="A689" s="19" t="s">
        <v>747</v>
      </c>
      <c r="B689" s="20">
        <v>45973</v>
      </c>
      <c r="C689" s="19" t="s">
        <v>82</v>
      </c>
      <c r="D689" s="19" t="s">
        <v>21</v>
      </c>
      <c r="E689" s="19" t="s">
        <v>44</v>
      </c>
      <c r="F689" s="19" t="s">
        <v>37</v>
      </c>
      <c r="G689" s="19" t="s">
        <v>24</v>
      </c>
      <c r="H689" s="19" t="s">
        <v>25</v>
      </c>
      <c r="I689" s="19">
        <v>1</v>
      </c>
      <c r="J689" s="21">
        <v>44240</v>
      </c>
      <c r="K689" s="21">
        <v>44240</v>
      </c>
      <c r="L689" s="21">
        <v>0</v>
      </c>
      <c r="M689" s="15">
        <v>0</v>
      </c>
      <c r="N689" s="21">
        <f t="shared" si="20"/>
        <v>44240</v>
      </c>
      <c r="O689" s="21">
        <v>24871.91</v>
      </c>
      <c r="P689" s="21">
        <f t="shared" si="21"/>
        <v>19368.09</v>
      </c>
      <c r="Q689" s="19" t="s">
        <v>389</v>
      </c>
      <c r="R689" s="19">
        <v>2025</v>
      </c>
      <c r="S689" s="19">
        <v>11</v>
      </c>
    </row>
    <row r="690" spans="1:19" x14ac:dyDescent="0.3">
      <c r="A690" t="s">
        <v>748</v>
      </c>
      <c r="B690" s="2">
        <v>45973</v>
      </c>
      <c r="C690" t="s">
        <v>20</v>
      </c>
      <c r="D690" t="s">
        <v>21</v>
      </c>
      <c r="E690" t="s">
        <v>22</v>
      </c>
      <c r="F690" t="s">
        <v>40</v>
      </c>
      <c r="G690" t="s">
        <v>31</v>
      </c>
      <c r="H690" t="s">
        <v>25</v>
      </c>
      <c r="I690">
        <v>2</v>
      </c>
      <c r="J690" s="5">
        <v>14885</v>
      </c>
      <c r="K690" s="5">
        <v>29770</v>
      </c>
      <c r="L690" s="5">
        <v>0</v>
      </c>
      <c r="M690" s="12">
        <v>0</v>
      </c>
      <c r="N690" s="5">
        <f t="shared" si="20"/>
        <v>29770</v>
      </c>
      <c r="O690" s="5">
        <v>16132.96</v>
      </c>
      <c r="P690" s="5">
        <f t="shared" si="21"/>
        <v>13637.04</v>
      </c>
      <c r="Q690" t="s">
        <v>389</v>
      </c>
      <c r="R690">
        <v>2025</v>
      </c>
      <c r="S690">
        <v>11</v>
      </c>
    </row>
    <row r="691" spans="1:19" x14ac:dyDescent="0.3">
      <c r="A691" s="19" t="s">
        <v>749</v>
      </c>
      <c r="B691" s="20">
        <v>45974</v>
      </c>
      <c r="C691" s="19" t="s">
        <v>28</v>
      </c>
      <c r="D691" s="19" t="s">
        <v>29</v>
      </c>
      <c r="E691" s="19" t="s">
        <v>22</v>
      </c>
      <c r="F691" s="19" t="s">
        <v>35</v>
      </c>
      <c r="G691" s="19" t="s">
        <v>31</v>
      </c>
      <c r="H691" s="19" t="s">
        <v>25</v>
      </c>
      <c r="I691" s="19">
        <v>1</v>
      </c>
      <c r="J691" s="21">
        <v>65204</v>
      </c>
      <c r="K691" s="21">
        <v>65204</v>
      </c>
      <c r="L691" s="21">
        <v>9780.6</v>
      </c>
      <c r="M691" s="15">
        <v>0.15</v>
      </c>
      <c r="N691" s="21">
        <f t="shared" si="20"/>
        <v>55423.4</v>
      </c>
      <c r="O691" s="21">
        <v>38114.26</v>
      </c>
      <c r="P691" s="21">
        <f t="shared" si="21"/>
        <v>17309.14</v>
      </c>
      <c r="Q691" s="19" t="s">
        <v>389</v>
      </c>
      <c r="R691" s="19">
        <v>2025</v>
      </c>
      <c r="S691" s="19">
        <v>11</v>
      </c>
    </row>
    <row r="692" spans="1:19" x14ac:dyDescent="0.3">
      <c r="A692" t="s">
        <v>750</v>
      </c>
      <c r="B692" s="2">
        <v>45975</v>
      </c>
      <c r="C692" t="s">
        <v>20</v>
      </c>
      <c r="D692" t="s">
        <v>21</v>
      </c>
      <c r="E692" t="s">
        <v>22</v>
      </c>
      <c r="F692" t="s">
        <v>40</v>
      </c>
      <c r="G692" t="s">
        <v>31</v>
      </c>
      <c r="H692" t="s">
        <v>25</v>
      </c>
      <c r="I692">
        <v>3</v>
      </c>
      <c r="J692" s="5">
        <v>14615</v>
      </c>
      <c r="K692" s="5">
        <v>43845</v>
      </c>
      <c r="L692" s="5">
        <v>0</v>
      </c>
      <c r="M692" s="12">
        <v>0</v>
      </c>
      <c r="N692" s="5">
        <f t="shared" si="20"/>
        <v>43845</v>
      </c>
      <c r="O692" s="5">
        <v>25823.37</v>
      </c>
      <c r="P692" s="5">
        <f t="shared" si="21"/>
        <v>18021.63</v>
      </c>
      <c r="Q692" t="s">
        <v>389</v>
      </c>
      <c r="R692">
        <v>2025</v>
      </c>
      <c r="S692">
        <v>11</v>
      </c>
    </row>
    <row r="693" spans="1:19" x14ac:dyDescent="0.3">
      <c r="A693" s="19" t="s">
        <v>751</v>
      </c>
      <c r="B693" s="20">
        <v>45975</v>
      </c>
      <c r="C693" s="19" t="s">
        <v>75</v>
      </c>
      <c r="D693" s="19" t="s">
        <v>34</v>
      </c>
      <c r="E693" s="19" t="s">
        <v>42</v>
      </c>
      <c r="F693" s="19" t="s">
        <v>30</v>
      </c>
      <c r="G693" s="19" t="s">
        <v>24</v>
      </c>
      <c r="H693" s="19" t="s">
        <v>25</v>
      </c>
      <c r="I693" s="19">
        <v>2</v>
      </c>
      <c r="J693" s="21">
        <v>35983</v>
      </c>
      <c r="K693" s="21">
        <v>71966</v>
      </c>
      <c r="L693" s="21">
        <v>0</v>
      </c>
      <c r="M693" s="15">
        <v>0</v>
      </c>
      <c r="N693" s="21">
        <f t="shared" si="20"/>
        <v>71966</v>
      </c>
      <c r="O693" s="21">
        <v>46613.09</v>
      </c>
      <c r="P693" s="21">
        <f t="shared" si="21"/>
        <v>25352.910000000003</v>
      </c>
      <c r="Q693" s="19" t="s">
        <v>389</v>
      </c>
      <c r="R693" s="19">
        <v>2025</v>
      </c>
      <c r="S693" s="19">
        <v>11</v>
      </c>
    </row>
    <row r="694" spans="1:19" x14ac:dyDescent="0.3">
      <c r="A694" t="s">
        <v>752</v>
      </c>
      <c r="B694" s="2">
        <v>45976</v>
      </c>
      <c r="C694" t="s">
        <v>33</v>
      </c>
      <c r="D694" t="s">
        <v>34</v>
      </c>
      <c r="E694" t="s">
        <v>44</v>
      </c>
      <c r="F694" t="s">
        <v>40</v>
      </c>
      <c r="G694" t="s">
        <v>24</v>
      </c>
      <c r="H694" t="s">
        <v>388</v>
      </c>
      <c r="I694">
        <v>2</v>
      </c>
      <c r="J694" s="5">
        <v>42898</v>
      </c>
      <c r="K694" s="5">
        <v>85796</v>
      </c>
      <c r="L694" s="5">
        <v>12869.4</v>
      </c>
      <c r="M694" s="12">
        <v>0.15</v>
      </c>
      <c r="N694" s="5">
        <f t="shared" si="20"/>
        <v>72926.600000000006</v>
      </c>
      <c r="O694" s="5">
        <v>48782.76</v>
      </c>
      <c r="P694" s="5">
        <f t="shared" si="21"/>
        <v>24143.840000000004</v>
      </c>
      <c r="Q694" t="s">
        <v>389</v>
      </c>
      <c r="R694">
        <v>2025</v>
      </c>
      <c r="S694">
        <v>11</v>
      </c>
    </row>
    <row r="695" spans="1:19" x14ac:dyDescent="0.3">
      <c r="A695" s="19" t="s">
        <v>753</v>
      </c>
      <c r="B695" s="20">
        <v>45976</v>
      </c>
      <c r="C695" s="19" t="s">
        <v>50</v>
      </c>
      <c r="D695" s="19" t="s">
        <v>34</v>
      </c>
      <c r="E695" s="19" t="s">
        <v>42</v>
      </c>
      <c r="F695" s="19" t="s">
        <v>30</v>
      </c>
      <c r="G695" s="19" t="s">
        <v>31</v>
      </c>
      <c r="H695" s="19" t="s">
        <v>25</v>
      </c>
      <c r="I695" s="19">
        <v>3</v>
      </c>
      <c r="J695" s="21">
        <v>18349</v>
      </c>
      <c r="K695" s="21">
        <v>55047</v>
      </c>
      <c r="L695" s="21">
        <v>0</v>
      </c>
      <c r="M695" s="15">
        <v>0</v>
      </c>
      <c r="N695" s="21">
        <f t="shared" si="20"/>
        <v>55047</v>
      </c>
      <c r="O695" s="21">
        <v>31746.43</v>
      </c>
      <c r="P695" s="21">
        <f t="shared" si="21"/>
        <v>23300.57</v>
      </c>
      <c r="Q695" s="19" t="s">
        <v>389</v>
      </c>
      <c r="R695" s="19">
        <v>2025</v>
      </c>
      <c r="S695" s="19">
        <v>11</v>
      </c>
    </row>
    <row r="696" spans="1:19" x14ac:dyDescent="0.3">
      <c r="A696" t="s">
        <v>754</v>
      </c>
      <c r="B696" s="2">
        <v>45976</v>
      </c>
      <c r="C696" t="s">
        <v>46</v>
      </c>
      <c r="D696" t="s">
        <v>21</v>
      </c>
      <c r="E696" t="s">
        <v>22</v>
      </c>
      <c r="F696" t="s">
        <v>30</v>
      </c>
      <c r="G696" t="s">
        <v>24</v>
      </c>
      <c r="H696" t="s">
        <v>25</v>
      </c>
      <c r="I696">
        <v>3</v>
      </c>
      <c r="J696" s="5">
        <v>11972</v>
      </c>
      <c r="K696" s="5">
        <v>35916</v>
      </c>
      <c r="L696" s="5">
        <v>0</v>
      </c>
      <c r="M696" s="12">
        <v>0</v>
      </c>
      <c r="N696" s="5">
        <f t="shared" si="20"/>
        <v>35916</v>
      </c>
      <c r="O696" s="5">
        <v>22139.72</v>
      </c>
      <c r="P696" s="5">
        <f t="shared" si="21"/>
        <v>13776.279999999999</v>
      </c>
      <c r="Q696" t="s">
        <v>389</v>
      </c>
      <c r="R696">
        <v>2025</v>
      </c>
      <c r="S696">
        <v>11</v>
      </c>
    </row>
    <row r="697" spans="1:19" x14ac:dyDescent="0.3">
      <c r="A697" s="19" t="s">
        <v>755</v>
      </c>
      <c r="B697" s="20">
        <v>45977</v>
      </c>
      <c r="C697" s="19" t="s">
        <v>64</v>
      </c>
      <c r="D697" s="19" t="s">
        <v>29</v>
      </c>
      <c r="E697" s="19" t="s">
        <v>42</v>
      </c>
      <c r="F697" s="19" t="s">
        <v>37</v>
      </c>
      <c r="G697" s="19" t="s">
        <v>31</v>
      </c>
      <c r="H697" s="19" t="s">
        <v>388</v>
      </c>
      <c r="I697" s="19">
        <v>1</v>
      </c>
      <c r="J697" s="21">
        <v>28489</v>
      </c>
      <c r="K697" s="21">
        <v>28489</v>
      </c>
      <c r="L697" s="21">
        <v>2848.9</v>
      </c>
      <c r="M697" s="15">
        <v>0.1</v>
      </c>
      <c r="N697" s="21">
        <f t="shared" si="20"/>
        <v>25640.1</v>
      </c>
      <c r="O697" s="21">
        <v>14920.88</v>
      </c>
      <c r="P697" s="21">
        <f t="shared" si="21"/>
        <v>10719.22</v>
      </c>
      <c r="Q697" s="19" t="s">
        <v>389</v>
      </c>
      <c r="R697" s="19">
        <v>2025</v>
      </c>
      <c r="S697" s="19">
        <v>11</v>
      </c>
    </row>
    <row r="698" spans="1:19" x14ac:dyDescent="0.3">
      <c r="A698" t="s">
        <v>756</v>
      </c>
      <c r="B698" s="2">
        <v>45978</v>
      </c>
      <c r="C698" t="s">
        <v>71</v>
      </c>
      <c r="D698" t="s">
        <v>34</v>
      </c>
      <c r="E698" t="s">
        <v>42</v>
      </c>
      <c r="F698" t="s">
        <v>40</v>
      </c>
      <c r="G698" t="s">
        <v>31</v>
      </c>
      <c r="H698" t="s">
        <v>388</v>
      </c>
      <c r="I698">
        <v>3</v>
      </c>
      <c r="J698" s="5">
        <v>47989</v>
      </c>
      <c r="K698" s="5">
        <v>143967</v>
      </c>
      <c r="L698" s="5">
        <v>14396.7</v>
      </c>
      <c r="M698" s="12">
        <v>0.1</v>
      </c>
      <c r="N698" s="5">
        <f t="shared" si="20"/>
        <v>129570.3</v>
      </c>
      <c r="O698" s="5">
        <v>89454.68</v>
      </c>
      <c r="P698" s="5">
        <f t="shared" si="21"/>
        <v>40115.62000000001</v>
      </c>
      <c r="Q698" t="s">
        <v>389</v>
      </c>
      <c r="R698">
        <v>2025</v>
      </c>
      <c r="S698">
        <v>11</v>
      </c>
    </row>
    <row r="699" spans="1:19" x14ac:dyDescent="0.3">
      <c r="A699" s="19" t="s">
        <v>757</v>
      </c>
      <c r="B699" s="20">
        <v>45979</v>
      </c>
      <c r="C699" s="19" t="s">
        <v>50</v>
      </c>
      <c r="D699" s="19" t="s">
        <v>34</v>
      </c>
      <c r="E699" s="19" t="s">
        <v>56</v>
      </c>
      <c r="F699" s="19" t="s">
        <v>30</v>
      </c>
      <c r="G699" s="19" t="s">
        <v>24</v>
      </c>
      <c r="H699" s="19" t="s">
        <v>388</v>
      </c>
      <c r="I699" s="19">
        <v>3</v>
      </c>
      <c r="J699" s="21">
        <v>19202</v>
      </c>
      <c r="K699" s="21">
        <v>57606</v>
      </c>
      <c r="L699" s="21">
        <v>5760.6</v>
      </c>
      <c r="M699" s="15">
        <v>0.1</v>
      </c>
      <c r="N699" s="21">
        <f t="shared" si="20"/>
        <v>51845.4</v>
      </c>
      <c r="O699" s="21">
        <v>36226.15</v>
      </c>
      <c r="P699" s="21">
        <f t="shared" si="21"/>
        <v>15619.25</v>
      </c>
      <c r="Q699" s="19" t="s">
        <v>389</v>
      </c>
      <c r="R699" s="19">
        <v>2025</v>
      </c>
      <c r="S699" s="19">
        <v>11</v>
      </c>
    </row>
    <row r="700" spans="1:19" x14ac:dyDescent="0.3">
      <c r="A700" t="s">
        <v>758</v>
      </c>
      <c r="B700" s="2">
        <v>45979</v>
      </c>
      <c r="C700" t="s">
        <v>46</v>
      </c>
      <c r="D700" t="s">
        <v>21</v>
      </c>
      <c r="E700" t="s">
        <v>56</v>
      </c>
      <c r="F700" t="s">
        <v>40</v>
      </c>
      <c r="G700" t="s">
        <v>24</v>
      </c>
      <c r="H700" t="s">
        <v>25</v>
      </c>
      <c r="I700">
        <v>1</v>
      </c>
      <c r="J700" s="5">
        <v>12869</v>
      </c>
      <c r="K700" s="5">
        <v>12869</v>
      </c>
      <c r="L700" s="5">
        <v>0</v>
      </c>
      <c r="M700" s="12">
        <v>0</v>
      </c>
      <c r="N700" s="5">
        <f t="shared" si="20"/>
        <v>12869</v>
      </c>
      <c r="O700" s="5">
        <v>7089.34</v>
      </c>
      <c r="P700" s="5">
        <f t="shared" si="21"/>
        <v>5779.66</v>
      </c>
      <c r="Q700" t="s">
        <v>389</v>
      </c>
      <c r="R700">
        <v>2025</v>
      </c>
      <c r="S700">
        <v>11</v>
      </c>
    </row>
    <row r="701" spans="1:19" x14ac:dyDescent="0.3">
      <c r="A701" s="19" t="s">
        <v>759</v>
      </c>
      <c r="B701" s="20">
        <v>45980</v>
      </c>
      <c r="C701" s="19" t="s">
        <v>82</v>
      </c>
      <c r="D701" s="19" t="s">
        <v>21</v>
      </c>
      <c r="E701" s="19" t="s">
        <v>22</v>
      </c>
      <c r="F701" s="19" t="s">
        <v>23</v>
      </c>
      <c r="G701" s="19" t="s">
        <v>24</v>
      </c>
      <c r="H701" s="19" t="s">
        <v>388</v>
      </c>
      <c r="I701" s="19">
        <v>4</v>
      </c>
      <c r="J701" s="21">
        <v>47182</v>
      </c>
      <c r="K701" s="21">
        <v>188728</v>
      </c>
      <c r="L701" s="21">
        <v>18872.8</v>
      </c>
      <c r="M701" s="15">
        <v>0.1</v>
      </c>
      <c r="N701" s="21">
        <f t="shared" si="20"/>
        <v>169855.2</v>
      </c>
      <c r="O701" s="21">
        <v>104815.57</v>
      </c>
      <c r="P701" s="21">
        <f t="shared" si="21"/>
        <v>65039.630000000005</v>
      </c>
      <c r="Q701" s="19" t="s">
        <v>389</v>
      </c>
      <c r="R701" s="19">
        <v>2025</v>
      </c>
      <c r="S701" s="19">
        <v>11</v>
      </c>
    </row>
    <row r="702" spans="1:19" x14ac:dyDescent="0.3">
      <c r="A702" t="s">
        <v>760</v>
      </c>
      <c r="B702" s="2">
        <v>45980</v>
      </c>
      <c r="C702" t="s">
        <v>75</v>
      </c>
      <c r="D702" t="s">
        <v>34</v>
      </c>
      <c r="E702" t="s">
        <v>22</v>
      </c>
      <c r="F702" t="s">
        <v>23</v>
      </c>
      <c r="G702" t="s">
        <v>31</v>
      </c>
      <c r="H702" t="s">
        <v>388</v>
      </c>
      <c r="I702">
        <v>1</v>
      </c>
      <c r="J702" s="5">
        <v>39814</v>
      </c>
      <c r="K702" s="5">
        <v>39814</v>
      </c>
      <c r="L702" s="5">
        <v>1990.7</v>
      </c>
      <c r="M702" s="12">
        <v>0.05</v>
      </c>
      <c r="N702" s="5">
        <f t="shared" si="20"/>
        <v>37823.300000000003</v>
      </c>
      <c r="O702" s="5">
        <v>20626.689999999999</v>
      </c>
      <c r="P702" s="5">
        <f t="shared" si="21"/>
        <v>17196.610000000004</v>
      </c>
      <c r="Q702" t="s">
        <v>389</v>
      </c>
      <c r="R702">
        <v>2025</v>
      </c>
      <c r="S702">
        <v>11</v>
      </c>
    </row>
    <row r="703" spans="1:19" x14ac:dyDescent="0.3">
      <c r="A703" s="19" t="s">
        <v>761</v>
      </c>
      <c r="B703" s="20">
        <v>45980</v>
      </c>
      <c r="C703" s="19" t="s">
        <v>48</v>
      </c>
      <c r="D703" s="19" t="s">
        <v>34</v>
      </c>
      <c r="E703" s="19" t="s">
        <v>56</v>
      </c>
      <c r="F703" s="19" t="s">
        <v>40</v>
      </c>
      <c r="G703" s="19" t="s">
        <v>31</v>
      </c>
      <c r="H703" s="19" t="s">
        <v>388</v>
      </c>
      <c r="I703" s="19">
        <v>3</v>
      </c>
      <c r="J703" s="21">
        <v>24783</v>
      </c>
      <c r="K703" s="21">
        <v>74349</v>
      </c>
      <c r="L703" s="21">
        <v>11152.35</v>
      </c>
      <c r="M703" s="15">
        <v>0.15</v>
      </c>
      <c r="N703" s="21">
        <f t="shared" si="20"/>
        <v>63196.65</v>
      </c>
      <c r="O703" s="21">
        <v>46495.839999999997</v>
      </c>
      <c r="P703" s="21">
        <f t="shared" si="21"/>
        <v>16700.810000000005</v>
      </c>
      <c r="Q703" s="19" t="s">
        <v>389</v>
      </c>
      <c r="R703" s="19">
        <v>2025</v>
      </c>
      <c r="S703" s="19">
        <v>11</v>
      </c>
    </row>
    <row r="704" spans="1:19" x14ac:dyDescent="0.3">
      <c r="A704" t="s">
        <v>762</v>
      </c>
      <c r="B704" s="2">
        <v>45981</v>
      </c>
      <c r="C704" t="s">
        <v>20</v>
      </c>
      <c r="D704" t="s">
        <v>21</v>
      </c>
      <c r="E704" t="s">
        <v>42</v>
      </c>
      <c r="F704" t="s">
        <v>40</v>
      </c>
      <c r="G704" t="s">
        <v>31</v>
      </c>
      <c r="H704" t="s">
        <v>388</v>
      </c>
      <c r="I704">
        <v>1</v>
      </c>
      <c r="J704" s="5">
        <v>14868</v>
      </c>
      <c r="K704" s="5">
        <v>14868</v>
      </c>
      <c r="L704" s="5">
        <v>743.4</v>
      </c>
      <c r="M704" s="12">
        <v>0.05</v>
      </c>
      <c r="N704" s="5">
        <f t="shared" si="20"/>
        <v>14124.6</v>
      </c>
      <c r="O704" s="5">
        <v>9166.58</v>
      </c>
      <c r="P704" s="5">
        <f t="shared" si="21"/>
        <v>4958.0200000000004</v>
      </c>
      <c r="Q704" t="s">
        <v>389</v>
      </c>
      <c r="R704">
        <v>2025</v>
      </c>
      <c r="S704">
        <v>11</v>
      </c>
    </row>
    <row r="705" spans="1:19" x14ac:dyDescent="0.3">
      <c r="A705" s="19" t="s">
        <v>763</v>
      </c>
      <c r="B705" s="20">
        <v>45981</v>
      </c>
      <c r="C705" s="19" t="s">
        <v>20</v>
      </c>
      <c r="D705" s="19" t="s">
        <v>21</v>
      </c>
      <c r="E705" s="19" t="s">
        <v>22</v>
      </c>
      <c r="F705" s="19" t="s">
        <v>35</v>
      </c>
      <c r="G705" s="19" t="s">
        <v>31</v>
      </c>
      <c r="H705" s="19" t="s">
        <v>25</v>
      </c>
      <c r="I705" s="19">
        <v>1</v>
      </c>
      <c r="J705" s="21">
        <v>15650</v>
      </c>
      <c r="K705" s="21">
        <v>15650</v>
      </c>
      <c r="L705" s="21">
        <v>0</v>
      </c>
      <c r="M705" s="15">
        <v>0</v>
      </c>
      <c r="N705" s="21">
        <f t="shared" si="20"/>
        <v>15650</v>
      </c>
      <c r="O705" s="21">
        <v>10475.620000000001</v>
      </c>
      <c r="P705" s="21">
        <f t="shared" si="21"/>
        <v>5174.3799999999992</v>
      </c>
      <c r="Q705" s="19" t="s">
        <v>389</v>
      </c>
      <c r="R705" s="19">
        <v>2025</v>
      </c>
      <c r="S705" s="19">
        <v>11</v>
      </c>
    </row>
    <row r="706" spans="1:19" x14ac:dyDescent="0.3">
      <c r="A706" t="s">
        <v>764</v>
      </c>
      <c r="B706" s="2">
        <v>45981</v>
      </c>
      <c r="C706" t="s">
        <v>50</v>
      </c>
      <c r="D706" t="s">
        <v>34</v>
      </c>
      <c r="E706" t="s">
        <v>22</v>
      </c>
      <c r="F706" t="s">
        <v>35</v>
      </c>
      <c r="G706" t="s">
        <v>31</v>
      </c>
      <c r="H706" t="s">
        <v>388</v>
      </c>
      <c r="I706">
        <v>2</v>
      </c>
      <c r="J706" s="5">
        <v>19270</v>
      </c>
      <c r="K706" s="5">
        <v>38540</v>
      </c>
      <c r="L706" s="5">
        <v>3854</v>
      </c>
      <c r="M706" s="12">
        <v>0.1</v>
      </c>
      <c r="N706" s="5">
        <f t="shared" si="20"/>
        <v>34686</v>
      </c>
      <c r="O706" s="5">
        <v>20897.87</v>
      </c>
      <c r="P706" s="5">
        <f t="shared" si="21"/>
        <v>13788.130000000001</v>
      </c>
      <c r="Q706" t="s">
        <v>389</v>
      </c>
      <c r="R706">
        <v>2025</v>
      </c>
      <c r="S706">
        <v>11</v>
      </c>
    </row>
    <row r="707" spans="1:19" x14ac:dyDescent="0.3">
      <c r="A707" s="19" t="s">
        <v>765</v>
      </c>
      <c r="B707" s="20">
        <v>45982</v>
      </c>
      <c r="C707" s="19" t="s">
        <v>82</v>
      </c>
      <c r="D707" s="19" t="s">
        <v>21</v>
      </c>
      <c r="E707" s="19" t="s">
        <v>42</v>
      </c>
      <c r="F707" s="19" t="s">
        <v>23</v>
      </c>
      <c r="G707" s="19" t="s">
        <v>31</v>
      </c>
      <c r="H707" s="19" t="s">
        <v>388</v>
      </c>
      <c r="I707" s="19">
        <v>3</v>
      </c>
      <c r="J707" s="21">
        <v>45751</v>
      </c>
      <c r="K707" s="21">
        <v>137253</v>
      </c>
      <c r="L707" s="21">
        <v>13725.3</v>
      </c>
      <c r="M707" s="15">
        <v>0.1</v>
      </c>
      <c r="N707" s="21">
        <f t="shared" ref="N707:N770" si="22">K707-L707</f>
        <v>123527.7</v>
      </c>
      <c r="O707" s="21">
        <v>88630</v>
      </c>
      <c r="P707" s="21">
        <f t="shared" si="21"/>
        <v>34897.699999999997</v>
      </c>
      <c r="Q707" s="19" t="s">
        <v>389</v>
      </c>
      <c r="R707" s="19">
        <v>2025</v>
      </c>
      <c r="S707" s="19">
        <v>11</v>
      </c>
    </row>
    <row r="708" spans="1:19" x14ac:dyDescent="0.3">
      <c r="A708" t="s">
        <v>766</v>
      </c>
      <c r="B708" s="2">
        <v>45983</v>
      </c>
      <c r="C708" t="s">
        <v>71</v>
      </c>
      <c r="D708" t="s">
        <v>34</v>
      </c>
      <c r="E708" t="s">
        <v>56</v>
      </c>
      <c r="F708" t="s">
        <v>23</v>
      </c>
      <c r="G708" t="s">
        <v>31</v>
      </c>
      <c r="H708" t="s">
        <v>388</v>
      </c>
      <c r="I708">
        <v>3</v>
      </c>
      <c r="J708" s="5">
        <v>47300</v>
      </c>
      <c r="K708" s="5">
        <v>141900</v>
      </c>
      <c r="L708" s="5">
        <v>14190</v>
      </c>
      <c r="M708" s="12">
        <v>0.1</v>
      </c>
      <c r="N708" s="5">
        <f t="shared" si="22"/>
        <v>127710</v>
      </c>
      <c r="O708" s="5">
        <v>71899.850000000006</v>
      </c>
      <c r="P708" s="5">
        <f t="shared" ref="P708:P771" si="23">N708-O708</f>
        <v>55810.149999999994</v>
      </c>
      <c r="Q708" t="s">
        <v>389</v>
      </c>
      <c r="R708">
        <v>2025</v>
      </c>
      <c r="S708">
        <v>11</v>
      </c>
    </row>
    <row r="709" spans="1:19" x14ac:dyDescent="0.3">
      <c r="A709" s="19" t="s">
        <v>767</v>
      </c>
      <c r="B709" s="20">
        <v>45984</v>
      </c>
      <c r="C709" s="19" t="s">
        <v>20</v>
      </c>
      <c r="D709" s="19" t="s">
        <v>21</v>
      </c>
      <c r="E709" s="19" t="s">
        <v>44</v>
      </c>
      <c r="F709" s="19" t="s">
        <v>30</v>
      </c>
      <c r="G709" s="19" t="s">
        <v>24</v>
      </c>
      <c r="H709" s="19" t="s">
        <v>388</v>
      </c>
      <c r="I709" s="19">
        <v>1</v>
      </c>
      <c r="J709" s="21">
        <v>14082</v>
      </c>
      <c r="K709" s="21">
        <v>14082</v>
      </c>
      <c r="L709" s="21">
        <v>2112.3000000000002</v>
      </c>
      <c r="M709" s="15">
        <v>0.15</v>
      </c>
      <c r="N709" s="21">
        <f t="shared" si="22"/>
        <v>11969.7</v>
      </c>
      <c r="O709" s="21">
        <v>7392.52</v>
      </c>
      <c r="P709" s="21">
        <f t="shared" si="23"/>
        <v>4577.18</v>
      </c>
      <c r="Q709" s="19" t="s">
        <v>389</v>
      </c>
      <c r="R709" s="19">
        <v>2025</v>
      </c>
      <c r="S709" s="19">
        <v>11</v>
      </c>
    </row>
    <row r="710" spans="1:19" x14ac:dyDescent="0.3">
      <c r="A710" t="s">
        <v>768</v>
      </c>
      <c r="B710" s="2">
        <v>45988</v>
      </c>
      <c r="C710" t="s">
        <v>82</v>
      </c>
      <c r="D710" t="s">
        <v>21</v>
      </c>
      <c r="E710" t="s">
        <v>42</v>
      </c>
      <c r="F710" t="s">
        <v>35</v>
      </c>
      <c r="G710" t="s">
        <v>31</v>
      </c>
      <c r="H710" t="s">
        <v>388</v>
      </c>
      <c r="I710">
        <v>2</v>
      </c>
      <c r="J710" s="5">
        <v>41775</v>
      </c>
      <c r="K710" s="5">
        <v>83550</v>
      </c>
      <c r="L710" s="5">
        <v>8355</v>
      </c>
      <c r="M710" s="12">
        <v>0.1</v>
      </c>
      <c r="N710" s="5">
        <f t="shared" si="22"/>
        <v>75195</v>
      </c>
      <c r="O710" s="5">
        <v>40474.29</v>
      </c>
      <c r="P710" s="5">
        <f t="shared" si="23"/>
        <v>34720.71</v>
      </c>
      <c r="Q710" t="s">
        <v>389</v>
      </c>
      <c r="R710">
        <v>2025</v>
      </c>
      <c r="S710">
        <v>11</v>
      </c>
    </row>
    <row r="711" spans="1:19" x14ac:dyDescent="0.3">
      <c r="A711" s="19" t="s">
        <v>769</v>
      </c>
      <c r="B711" s="20">
        <v>45988</v>
      </c>
      <c r="C711" s="19" t="s">
        <v>64</v>
      </c>
      <c r="D711" s="19" t="s">
        <v>29</v>
      </c>
      <c r="E711" s="19" t="s">
        <v>42</v>
      </c>
      <c r="F711" s="19" t="s">
        <v>40</v>
      </c>
      <c r="G711" s="19" t="s">
        <v>31</v>
      </c>
      <c r="H711" s="19" t="s">
        <v>25</v>
      </c>
      <c r="I711" s="19">
        <v>4</v>
      </c>
      <c r="J711" s="21">
        <v>28545</v>
      </c>
      <c r="K711" s="21">
        <v>114180</v>
      </c>
      <c r="L711" s="21">
        <v>0</v>
      </c>
      <c r="M711" s="15">
        <v>0</v>
      </c>
      <c r="N711" s="21">
        <f t="shared" si="22"/>
        <v>114180</v>
      </c>
      <c r="O711" s="21">
        <v>59360.160000000003</v>
      </c>
      <c r="P711" s="21">
        <f t="shared" si="23"/>
        <v>54819.839999999997</v>
      </c>
      <c r="Q711" s="19" t="s">
        <v>389</v>
      </c>
      <c r="R711" s="19">
        <v>2025</v>
      </c>
      <c r="S711" s="19">
        <v>11</v>
      </c>
    </row>
    <row r="712" spans="1:19" x14ac:dyDescent="0.3">
      <c r="A712" t="s">
        <v>770</v>
      </c>
      <c r="B712" s="2">
        <v>45989</v>
      </c>
      <c r="C712" t="s">
        <v>71</v>
      </c>
      <c r="D712" t="s">
        <v>34</v>
      </c>
      <c r="E712" t="s">
        <v>42</v>
      </c>
      <c r="F712" t="s">
        <v>40</v>
      </c>
      <c r="G712" t="s">
        <v>31</v>
      </c>
      <c r="H712" t="s">
        <v>25</v>
      </c>
      <c r="I712">
        <v>2</v>
      </c>
      <c r="J712" s="5">
        <v>53479</v>
      </c>
      <c r="K712" s="5">
        <v>106958</v>
      </c>
      <c r="L712" s="5">
        <v>0</v>
      </c>
      <c r="M712" s="12">
        <v>0</v>
      </c>
      <c r="N712" s="5">
        <f t="shared" si="22"/>
        <v>106958</v>
      </c>
      <c r="O712" s="5">
        <v>70563.78</v>
      </c>
      <c r="P712" s="5">
        <f t="shared" si="23"/>
        <v>36394.22</v>
      </c>
      <c r="Q712" t="s">
        <v>389</v>
      </c>
      <c r="R712">
        <v>2025</v>
      </c>
      <c r="S712">
        <v>11</v>
      </c>
    </row>
    <row r="713" spans="1:19" x14ac:dyDescent="0.3">
      <c r="A713" s="19" t="s">
        <v>771</v>
      </c>
      <c r="B713" s="20">
        <v>45990</v>
      </c>
      <c r="C713" s="19" t="s">
        <v>46</v>
      </c>
      <c r="D713" s="19" t="s">
        <v>21</v>
      </c>
      <c r="E713" s="19" t="s">
        <v>44</v>
      </c>
      <c r="F713" s="19" t="s">
        <v>30</v>
      </c>
      <c r="G713" s="19" t="s">
        <v>31</v>
      </c>
      <c r="H713" s="19" t="s">
        <v>388</v>
      </c>
      <c r="I713" s="19">
        <v>5</v>
      </c>
      <c r="J713" s="21">
        <v>12698</v>
      </c>
      <c r="K713" s="21">
        <v>63490</v>
      </c>
      <c r="L713" s="21">
        <v>6349</v>
      </c>
      <c r="M713" s="15">
        <v>0.1</v>
      </c>
      <c r="N713" s="21">
        <f t="shared" si="22"/>
        <v>57141</v>
      </c>
      <c r="O713" s="21">
        <v>35241.14</v>
      </c>
      <c r="P713" s="21">
        <f t="shared" si="23"/>
        <v>21899.86</v>
      </c>
      <c r="Q713" s="19" t="s">
        <v>389</v>
      </c>
      <c r="R713" s="19">
        <v>2025</v>
      </c>
      <c r="S713" s="19">
        <v>11</v>
      </c>
    </row>
    <row r="714" spans="1:19" x14ac:dyDescent="0.3">
      <c r="A714" t="s">
        <v>772</v>
      </c>
      <c r="B714" s="2">
        <v>45990</v>
      </c>
      <c r="C714" t="s">
        <v>33</v>
      </c>
      <c r="D714" t="s">
        <v>34</v>
      </c>
      <c r="E714" t="s">
        <v>42</v>
      </c>
      <c r="F714" t="s">
        <v>40</v>
      </c>
      <c r="G714" t="s">
        <v>31</v>
      </c>
      <c r="H714" t="s">
        <v>388</v>
      </c>
      <c r="I714">
        <v>2</v>
      </c>
      <c r="J714" s="5">
        <v>39541</v>
      </c>
      <c r="K714" s="5">
        <v>79082</v>
      </c>
      <c r="L714" s="5">
        <v>3954.1</v>
      </c>
      <c r="M714" s="12">
        <v>0.05</v>
      </c>
      <c r="N714" s="5">
        <f t="shared" si="22"/>
        <v>75127.899999999994</v>
      </c>
      <c r="O714" s="5">
        <v>43331.57</v>
      </c>
      <c r="P714" s="5">
        <f t="shared" si="23"/>
        <v>31796.329999999994</v>
      </c>
      <c r="Q714" t="s">
        <v>389</v>
      </c>
      <c r="R714">
        <v>2025</v>
      </c>
      <c r="S714">
        <v>11</v>
      </c>
    </row>
    <row r="715" spans="1:19" x14ac:dyDescent="0.3">
      <c r="A715" s="19" t="s">
        <v>773</v>
      </c>
      <c r="B715" s="20">
        <v>45990</v>
      </c>
      <c r="C715" s="19" t="s">
        <v>75</v>
      </c>
      <c r="D715" s="19" t="s">
        <v>34</v>
      </c>
      <c r="E715" s="19" t="s">
        <v>42</v>
      </c>
      <c r="F715" s="19" t="s">
        <v>35</v>
      </c>
      <c r="G715" s="19" t="s">
        <v>24</v>
      </c>
      <c r="H715" s="19" t="s">
        <v>25</v>
      </c>
      <c r="I715" s="19">
        <v>2</v>
      </c>
      <c r="J715" s="21">
        <v>35698</v>
      </c>
      <c r="K715" s="21">
        <v>71396</v>
      </c>
      <c r="L715" s="21">
        <v>0</v>
      </c>
      <c r="M715" s="15">
        <v>0</v>
      </c>
      <c r="N715" s="21">
        <f t="shared" si="22"/>
        <v>71396</v>
      </c>
      <c r="O715" s="21">
        <v>36894.379999999997</v>
      </c>
      <c r="P715" s="21">
        <f t="shared" si="23"/>
        <v>34501.620000000003</v>
      </c>
      <c r="Q715" s="19" t="s">
        <v>389</v>
      </c>
      <c r="R715" s="19">
        <v>2025</v>
      </c>
      <c r="S715" s="19">
        <v>11</v>
      </c>
    </row>
    <row r="716" spans="1:19" x14ac:dyDescent="0.3">
      <c r="A716" t="s">
        <v>774</v>
      </c>
      <c r="B716" s="2">
        <v>45991</v>
      </c>
      <c r="C716" t="s">
        <v>48</v>
      </c>
      <c r="D716" t="s">
        <v>34</v>
      </c>
      <c r="E716" t="s">
        <v>22</v>
      </c>
      <c r="F716" t="s">
        <v>37</v>
      </c>
      <c r="G716" t="s">
        <v>31</v>
      </c>
      <c r="H716" t="s">
        <v>388</v>
      </c>
      <c r="I716">
        <v>2</v>
      </c>
      <c r="J716" s="5">
        <v>24001</v>
      </c>
      <c r="K716" s="5">
        <v>48002</v>
      </c>
      <c r="L716" s="5">
        <v>4800.2</v>
      </c>
      <c r="M716" s="12">
        <v>0.1</v>
      </c>
      <c r="N716" s="5">
        <f t="shared" si="22"/>
        <v>43201.8</v>
      </c>
      <c r="O716" s="5">
        <v>26238.71</v>
      </c>
      <c r="P716" s="5">
        <f t="shared" si="23"/>
        <v>16963.090000000004</v>
      </c>
      <c r="Q716" t="s">
        <v>389</v>
      </c>
      <c r="R716">
        <v>2025</v>
      </c>
      <c r="S716">
        <v>11</v>
      </c>
    </row>
    <row r="717" spans="1:19" x14ac:dyDescent="0.3">
      <c r="A717" s="19" t="s">
        <v>775</v>
      </c>
      <c r="B717" s="20">
        <v>45991</v>
      </c>
      <c r="C717" s="19" t="s">
        <v>48</v>
      </c>
      <c r="D717" s="19" t="s">
        <v>34</v>
      </c>
      <c r="E717" s="19" t="s">
        <v>22</v>
      </c>
      <c r="F717" s="19" t="s">
        <v>23</v>
      </c>
      <c r="G717" s="19" t="s">
        <v>24</v>
      </c>
      <c r="H717" s="19" t="s">
        <v>388</v>
      </c>
      <c r="I717" s="19">
        <v>1</v>
      </c>
      <c r="J717" s="21">
        <v>26649</v>
      </c>
      <c r="K717" s="21">
        <v>26649</v>
      </c>
      <c r="L717" s="21">
        <v>2664.9</v>
      </c>
      <c r="M717" s="15">
        <v>0.1</v>
      </c>
      <c r="N717" s="21">
        <f t="shared" si="22"/>
        <v>23984.1</v>
      </c>
      <c r="O717" s="21">
        <v>16111.81</v>
      </c>
      <c r="P717" s="21">
        <f t="shared" si="23"/>
        <v>7872.2899999999991</v>
      </c>
      <c r="Q717" s="19" t="s">
        <v>389</v>
      </c>
      <c r="R717" s="19">
        <v>2025</v>
      </c>
      <c r="S717" s="19">
        <v>11</v>
      </c>
    </row>
    <row r="718" spans="1:19" x14ac:dyDescent="0.3">
      <c r="A718" t="s">
        <v>776</v>
      </c>
      <c r="B718" s="2">
        <v>45991</v>
      </c>
      <c r="C718" t="s">
        <v>28</v>
      </c>
      <c r="D718" t="s">
        <v>29</v>
      </c>
      <c r="E718" t="s">
        <v>44</v>
      </c>
      <c r="F718" t="s">
        <v>35</v>
      </c>
      <c r="G718" t="s">
        <v>24</v>
      </c>
      <c r="H718" t="s">
        <v>388</v>
      </c>
      <c r="I718">
        <v>3</v>
      </c>
      <c r="J718" s="5">
        <v>63286</v>
      </c>
      <c r="K718" s="5">
        <v>189858</v>
      </c>
      <c r="L718" s="5">
        <v>9492.9</v>
      </c>
      <c r="M718" s="12">
        <v>0.05</v>
      </c>
      <c r="N718" s="5">
        <f t="shared" si="22"/>
        <v>180365.1</v>
      </c>
      <c r="O718" s="5">
        <v>128167.18</v>
      </c>
      <c r="P718" s="5">
        <f t="shared" si="23"/>
        <v>52197.920000000013</v>
      </c>
      <c r="Q718" t="s">
        <v>389</v>
      </c>
      <c r="R718">
        <v>2025</v>
      </c>
      <c r="S718">
        <v>11</v>
      </c>
    </row>
    <row r="719" spans="1:19" x14ac:dyDescent="0.3">
      <c r="A719" s="19" t="s">
        <v>777</v>
      </c>
      <c r="B719" s="20">
        <v>45993</v>
      </c>
      <c r="C719" s="19" t="s">
        <v>46</v>
      </c>
      <c r="D719" s="19" t="s">
        <v>21</v>
      </c>
      <c r="E719" s="19" t="s">
        <v>44</v>
      </c>
      <c r="F719" s="19" t="s">
        <v>40</v>
      </c>
      <c r="G719" s="19" t="s">
        <v>31</v>
      </c>
      <c r="H719" s="19" t="s">
        <v>415</v>
      </c>
      <c r="I719" s="19">
        <v>1</v>
      </c>
      <c r="J719" s="21">
        <v>12343</v>
      </c>
      <c r="K719" s="21">
        <v>12343</v>
      </c>
      <c r="L719" s="21">
        <v>1234.3</v>
      </c>
      <c r="M719" s="15">
        <v>0.1</v>
      </c>
      <c r="N719" s="21">
        <f t="shared" si="22"/>
        <v>11108.7</v>
      </c>
      <c r="O719" s="21">
        <v>7181.17</v>
      </c>
      <c r="P719" s="21">
        <f t="shared" si="23"/>
        <v>3927.5300000000007</v>
      </c>
      <c r="Q719" s="19" t="s">
        <v>416</v>
      </c>
      <c r="R719" s="19">
        <v>2025</v>
      </c>
      <c r="S719" s="19">
        <v>12</v>
      </c>
    </row>
    <row r="720" spans="1:19" x14ac:dyDescent="0.3">
      <c r="A720" t="s">
        <v>778</v>
      </c>
      <c r="B720" s="2">
        <v>45994</v>
      </c>
      <c r="C720" t="s">
        <v>75</v>
      </c>
      <c r="D720" t="s">
        <v>34</v>
      </c>
      <c r="E720" t="s">
        <v>44</v>
      </c>
      <c r="F720" t="s">
        <v>35</v>
      </c>
      <c r="G720" t="s">
        <v>24</v>
      </c>
      <c r="H720" t="s">
        <v>415</v>
      </c>
      <c r="I720">
        <v>2</v>
      </c>
      <c r="J720" s="5">
        <v>39956</v>
      </c>
      <c r="K720" s="5">
        <v>79912</v>
      </c>
      <c r="L720" s="5">
        <v>7991.2</v>
      </c>
      <c r="M720" s="12">
        <v>0.1</v>
      </c>
      <c r="N720" s="5">
        <f t="shared" si="22"/>
        <v>71920.800000000003</v>
      </c>
      <c r="O720" s="5">
        <v>43166.11</v>
      </c>
      <c r="P720" s="5">
        <f t="shared" si="23"/>
        <v>28754.690000000002</v>
      </c>
      <c r="Q720" t="s">
        <v>416</v>
      </c>
      <c r="R720">
        <v>2025</v>
      </c>
      <c r="S720">
        <v>12</v>
      </c>
    </row>
    <row r="721" spans="1:19" x14ac:dyDescent="0.3">
      <c r="A721" s="19" t="s">
        <v>779</v>
      </c>
      <c r="B721" s="20">
        <v>45995</v>
      </c>
      <c r="C721" s="19" t="s">
        <v>50</v>
      </c>
      <c r="D721" s="19" t="s">
        <v>34</v>
      </c>
      <c r="E721" s="19" t="s">
        <v>44</v>
      </c>
      <c r="F721" s="19" t="s">
        <v>40</v>
      </c>
      <c r="G721" s="19" t="s">
        <v>31</v>
      </c>
      <c r="H721" s="19" t="s">
        <v>415</v>
      </c>
      <c r="I721" s="19">
        <v>2</v>
      </c>
      <c r="J721" s="21">
        <v>17533</v>
      </c>
      <c r="K721" s="21">
        <v>35066</v>
      </c>
      <c r="L721" s="21">
        <v>3506.6</v>
      </c>
      <c r="M721" s="15">
        <v>0.1</v>
      </c>
      <c r="N721" s="21">
        <f t="shared" si="22"/>
        <v>31559.4</v>
      </c>
      <c r="O721" s="21">
        <v>19579.05</v>
      </c>
      <c r="P721" s="21">
        <f t="shared" si="23"/>
        <v>11980.350000000002</v>
      </c>
      <c r="Q721" s="19" t="s">
        <v>416</v>
      </c>
      <c r="R721" s="19">
        <v>2025</v>
      </c>
      <c r="S721" s="19">
        <v>12</v>
      </c>
    </row>
    <row r="722" spans="1:19" x14ac:dyDescent="0.3">
      <c r="A722" t="s">
        <v>780</v>
      </c>
      <c r="B722" s="2">
        <v>45996</v>
      </c>
      <c r="C722" t="s">
        <v>20</v>
      </c>
      <c r="D722" t="s">
        <v>21</v>
      </c>
      <c r="E722" t="s">
        <v>22</v>
      </c>
      <c r="F722" t="s">
        <v>37</v>
      </c>
      <c r="G722" t="s">
        <v>31</v>
      </c>
      <c r="H722" t="s">
        <v>415</v>
      </c>
      <c r="I722">
        <v>5</v>
      </c>
      <c r="J722" s="5">
        <v>15553</v>
      </c>
      <c r="K722" s="5">
        <v>77765</v>
      </c>
      <c r="L722" s="5">
        <v>15553</v>
      </c>
      <c r="M722" s="12">
        <v>0.2</v>
      </c>
      <c r="N722" s="5">
        <f t="shared" si="22"/>
        <v>62212</v>
      </c>
      <c r="O722" s="5">
        <v>38911.910000000003</v>
      </c>
      <c r="P722" s="5">
        <f t="shared" si="23"/>
        <v>23300.089999999997</v>
      </c>
      <c r="Q722" t="s">
        <v>416</v>
      </c>
      <c r="R722">
        <v>2025</v>
      </c>
      <c r="S722">
        <v>12</v>
      </c>
    </row>
    <row r="723" spans="1:19" x14ac:dyDescent="0.3">
      <c r="A723" s="19" t="s">
        <v>781</v>
      </c>
      <c r="B723" s="20">
        <v>45998</v>
      </c>
      <c r="C723" s="19" t="s">
        <v>75</v>
      </c>
      <c r="D723" s="19" t="s">
        <v>34</v>
      </c>
      <c r="E723" s="19" t="s">
        <v>22</v>
      </c>
      <c r="F723" s="19" t="s">
        <v>37</v>
      </c>
      <c r="G723" s="19" t="s">
        <v>31</v>
      </c>
      <c r="H723" s="19" t="s">
        <v>25</v>
      </c>
      <c r="I723" s="19">
        <v>1</v>
      </c>
      <c r="J723" s="21">
        <v>40623</v>
      </c>
      <c r="K723" s="21">
        <v>40623</v>
      </c>
      <c r="L723" s="21">
        <v>0</v>
      </c>
      <c r="M723" s="15">
        <v>0</v>
      </c>
      <c r="N723" s="21">
        <f t="shared" si="22"/>
        <v>40623</v>
      </c>
      <c r="O723" s="21">
        <v>27023.58</v>
      </c>
      <c r="P723" s="21">
        <f t="shared" si="23"/>
        <v>13599.419999999998</v>
      </c>
      <c r="Q723" s="19" t="s">
        <v>416</v>
      </c>
      <c r="R723" s="19">
        <v>2025</v>
      </c>
      <c r="S723" s="19">
        <v>12</v>
      </c>
    </row>
    <row r="724" spans="1:19" x14ac:dyDescent="0.3">
      <c r="A724" t="s">
        <v>782</v>
      </c>
      <c r="B724" s="2">
        <v>46000</v>
      </c>
      <c r="C724" t="s">
        <v>82</v>
      </c>
      <c r="D724" t="s">
        <v>21</v>
      </c>
      <c r="E724" t="s">
        <v>22</v>
      </c>
      <c r="F724" t="s">
        <v>37</v>
      </c>
      <c r="G724" t="s">
        <v>31</v>
      </c>
      <c r="H724" t="s">
        <v>25</v>
      </c>
      <c r="I724">
        <v>1</v>
      </c>
      <c r="J724" s="5">
        <v>43115</v>
      </c>
      <c r="K724" s="5">
        <v>43115</v>
      </c>
      <c r="L724" s="5">
        <v>0</v>
      </c>
      <c r="M724" s="12">
        <v>0</v>
      </c>
      <c r="N724" s="5">
        <f t="shared" si="22"/>
        <v>43115</v>
      </c>
      <c r="O724" s="5">
        <v>28179.66</v>
      </c>
      <c r="P724" s="5">
        <f t="shared" si="23"/>
        <v>14935.34</v>
      </c>
      <c r="Q724" t="s">
        <v>416</v>
      </c>
      <c r="R724">
        <v>2025</v>
      </c>
      <c r="S724">
        <v>12</v>
      </c>
    </row>
    <row r="725" spans="1:19" x14ac:dyDescent="0.3">
      <c r="A725" s="19" t="s">
        <v>783</v>
      </c>
      <c r="B725" s="20">
        <v>46000</v>
      </c>
      <c r="C725" s="19" t="s">
        <v>75</v>
      </c>
      <c r="D725" s="19" t="s">
        <v>34</v>
      </c>
      <c r="E725" s="19" t="s">
        <v>22</v>
      </c>
      <c r="F725" s="19" t="s">
        <v>23</v>
      </c>
      <c r="G725" s="19" t="s">
        <v>31</v>
      </c>
      <c r="H725" s="19" t="s">
        <v>25</v>
      </c>
      <c r="I725" s="19">
        <v>1</v>
      </c>
      <c r="J725" s="21">
        <v>38534</v>
      </c>
      <c r="K725" s="21">
        <v>38534</v>
      </c>
      <c r="L725" s="21">
        <v>3853.4</v>
      </c>
      <c r="M725" s="15">
        <v>0.1</v>
      </c>
      <c r="N725" s="21">
        <f t="shared" si="22"/>
        <v>34680.6</v>
      </c>
      <c r="O725" s="21">
        <v>24091.93</v>
      </c>
      <c r="P725" s="21">
        <f t="shared" si="23"/>
        <v>10588.669999999998</v>
      </c>
      <c r="Q725" s="19" t="s">
        <v>416</v>
      </c>
      <c r="R725" s="19">
        <v>2025</v>
      </c>
      <c r="S725" s="19">
        <v>12</v>
      </c>
    </row>
    <row r="726" spans="1:19" x14ac:dyDescent="0.3">
      <c r="A726" t="s">
        <v>784</v>
      </c>
      <c r="B726" s="2">
        <v>46000</v>
      </c>
      <c r="C726" t="s">
        <v>46</v>
      </c>
      <c r="D726" t="s">
        <v>21</v>
      </c>
      <c r="E726" t="s">
        <v>42</v>
      </c>
      <c r="F726" t="s">
        <v>37</v>
      </c>
      <c r="G726" t="s">
        <v>24</v>
      </c>
      <c r="H726" t="s">
        <v>415</v>
      </c>
      <c r="I726">
        <v>4</v>
      </c>
      <c r="J726" s="5">
        <v>11712</v>
      </c>
      <c r="K726" s="5">
        <v>46848</v>
      </c>
      <c r="L726" s="5">
        <v>7027.2</v>
      </c>
      <c r="M726" s="12">
        <v>0.15</v>
      </c>
      <c r="N726" s="5">
        <f t="shared" si="22"/>
        <v>39820.800000000003</v>
      </c>
      <c r="O726" s="5">
        <v>29275.86</v>
      </c>
      <c r="P726" s="5">
        <f t="shared" si="23"/>
        <v>10544.940000000002</v>
      </c>
      <c r="Q726" t="s">
        <v>416</v>
      </c>
      <c r="R726">
        <v>2025</v>
      </c>
      <c r="S726">
        <v>12</v>
      </c>
    </row>
    <row r="727" spans="1:19" x14ac:dyDescent="0.3">
      <c r="A727" s="19" t="s">
        <v>785</v>
      </c>
      <c r="B727" s="20">
        <v>46001</v>
      </c>
      <c r="C727" s="19" t="s">
        <v>33</v>
      </c>
      <c r="D727" s="19" t="s">
        <v>34</v>
      </c>
      <c r="E727" s="19" t="s">
        <v>42</v>
      </c>
      <c r="F727" s="19" t="s">
        <v>23</v>
      </c>
      <c r="G727" s="19" t="s">
        <v>24</v>
      </c>
      <c r="H727" s="19" t="s">
        <v>415</v>
      </c>
      <c r="I727" s="19">
        <v>1</v>
      </c>
      <c r="J727" s="21">
        <v>38893</v>
      </c>
      <c r="K727" s="21">
        <v>38893</v>
      </c>
      <c r="L727" s="21">
        <v>7778.6</v>
      </c>
      <c r="M727" s="15">
        <v>0.2</v>
      </c>
      <c r="N727" s="21">
        <f t="shared" si="22"/>
        <v>31114.400000000001</v>
      </c>
      <c r="O727" s="21">
        <v>18704.77</v>
      </c>
      <c r="P727" s="21">
        <f t="shared" si="23"/>
        <v>12409.630000000001</v>
      </c>
      <c r="Q727" s="19" t="s">
        <v>416</v>
      </c>
      <c r="R727" s="19">
        <v>2025</v>
      </c>
      <c r="S727" s="19">
        <v>12</v>
      </c>
    </row>
    <row r="728" spans="1:19" x14ac:dyDescent="0.3">
      <c r="A728" t="s">
        <v>786</v>
      </c>
      <c r="B728" s="2">
        <v>46001</v>
      </c>
      <c r="C728" t="s">
        <v>20</v>
      </c>
      <c r="D728" t="s">
        <v>21</v>
      </c>
      <c r="E728" t="s">
        <v>42</v>
      </c>
      <c r="F728" t="s">
        <v>40</v>
      </c>
      <c r="G728" t="s">
        <v>24</v>
      </c>
      <c r="H728" t="s">
        <v>415</v>
      </c>
      <c r="I728">
        <v>1</v>
      </c>
      <c r="J728" s="5">
        <v>14838</v>
      </c>
      <c r="K728" s="5">
        <v>14838</v>
      </c>
      <c r="L728" s="5">
        <v>741.9</v>
      </c>
      <c r="M728" s="12">
        <v>0.05</v>
      </c>
      <c r="N728" s="5">
        <f t="shared" si="22"/>
        <v>14096.1</v>
      </c>
      <c r="O728" s="5">
        <v>9014.57</v>
      </c>
      <c r="P728" s="5">
        <f t="shared" si="23"/>
        <v>5081.5300000000007</v>
      </c>
      <c r="Q728" t="s">
        <v>416</v>
      </c>
      <c r="R728">
        <v>2025</v>
      </c>
      <c r="S728">
        <v>12</v>
      </c>
    </row>
    <row r="729" spans="1:19" x14ac:dyDescent="0.3">
      <c r="A729" s="19" t="s">
        <v>787</v>
      </c>
      <c r="B729" s="20">
        <v>46001</v>
      </c>
      <c r="C729" s="19" t="s">
        <v>82</v>
      </c>
      <c r="D729" s="19" t="s">
        <v>21</v>
      </c>
      <c r="E729" s="19" t="s">
        <v>56</v>
      </c>
      <c r="F729" s="19" t="s">
        <v>35</v>
      </c>
      <c r="G729" s="19" t="s">
        <v>24</v>
      </c>
      <c r="H729" s="19" t="s">
        <v>415</v>
      </c>
      <c r="I729" s="19">
        <v>2</v>
      </c>
      <c r="J729" s="21">
        <v>45789</v>
      </c>
      <c r="K729" s="21">
        <v>91578</v>
      </c>
      <c r="L729" s="21">
        <v>13736.7</v>
      </c>
      <c r="M729" s="15">
        <v>0.15</v>
      </c>
      <c r="N729" s="21">
        <f t="shared" si="22"/>
        <v>77841.3</v>
      </c>
      <c r="O729" s="21">
        <v>55454.74</v>
      </c>
      <c r="P729" s="21">
        <f t="shared" si="23"/>
        <v>22386.560000000005</v>
      </c>
      <c r="Q729" s="19" t="s">
        <v>416</v>
      </c>
      <c r="R729" s="19">
        <v>2025</v>
      </c>
      <c r="S729" s="19">
        <v>12</v>
      </c>
    </row>
    <row r="730" spans="1:19" x14ac:dyDescent="0.3">
      <c r="A730" t="s">
        <v>788</v>
      </c>
      <c r="B730" s="2">
        <v>46001</v>
      </c>
      <c r="C730" t="s">
        <v>20</v>
      </c>
      <c r="D730" t="s">
        <v>21</v>
      </c>
      <c r="E730" t="s">
        <v>56</v>
      </c>
      <c r="F730" t="s">
        <v>40</v>
      </c>
      <c r="G730" t="s">
        <v>24</v>
      </c>
      <c r="H730" t="s">
        <v>415</v>
      </c>
      <c r="I730">
        <v>3</v>
      </c>
      <c r="J730" s="5">
        <v>14965</v>
      </c>
      <c r="K730" s="5">
        <v>44895</v>
      </c>
      <c r="L730" s="5">
        <v>2244.75</v>
      </c>
      <c r="M730" s="12">
        <v>0.05</v>
      </c>
      <c r="N730" s="5">
        <f t="shared" si="22"/>
        <v>42650.25</v>
      </c>
      <c r="O730" s="5">
        <v>26088.080000000002</v>
      </c>
      <c r="P730" s="5">
        <f t="shared" si="23"/>
        <v>16562.169999999998</v>
      </c>
      <c r="Q730" t="s">
        <v>416</v>
      </c>
      <c r="R730">
        <v>2025</v>
      </c>
      <c r="S730">
        <v>12</v>
      </c>
    </row>
    <row r="731" spans="1:19" x14ac:dyDescent="0.3">
      <c r="A731" s="19" t="s">
        <v>789</v>
      </c>
      <c r="B731" s="20">
        <v>46002</v>
      </c>
      <c r="C731" s="19" t="s">
        <v>20</v>
      </c>
      <c r="D731" s="19" t="s">
        <v>21</v>
      </c>
      <c r="E731" s="19" t="s">
        <v>42</v>
      </c>
      <c r="F731" s="19" t="s">
        <v>40</v>
      </c>
      <c r="G731" s="19" t="s">
        <v>24</v>
      </c>
      <c r="H731" s="19" t="s">
        <v>415</v>
      </c>
      <c r="I731" s="19">
        <v>2</v>
      </c>
      <c r="J731" s="21">
        <v>15971</v>
      </c>
      <c r="K731" s="21">
        <v>31942</v>
      </c>
      <c r="L731" s="21">
        <v>3194.2</v>
      </c>
      <c r="M731" s="15">
        <v>0.1</v>
      </c>
      <c r="N731" s="21">
        <f t="shared" si="22"/>
        <v>28747.8</v>
      </c>
      <c r="O731" s="21">
        <v>16762.77</v>
      </c>
      <c r="P731" s="21">
        <f t="shared" si="23"/>
        <v>11985.029999999999</v>
      </c>
      <c r="Q731" s="19" t="s">
        <v>416</v>
      </c>
      <c r="R731" s="19">
        <v>2025</v>
      </c>
      <c r="S731" s="19">
        <v>12</v>
      </c>
    </row>
    <row r="732" spans="1:19" x14ac:dyDescent="0.3">
      <c r="A732" t="s">
        <v>790</v>
      </c>
      <c r="B732" s="2">
        <v>46003</v>
      </c>
      <c r="C732" t="s">
        <v>50</v>
      </c>
      <c r="D732" t="s">
        <v>34</v>
      </c>
      <c r="E732" t="s">
        <v>56</v>
      </c>
      <c r="F732" t="s">
        <v>40</v>
      </c>
      <c r="G732" t="s">
        <v>31</v>
      </c>
      <c r="H732" t="s">
        <v>415</v>
      </c>
      <c r="I732">
        <v>2</v>
      </c>
      <c r="J732" s="5">
        <v>17632</v>
      </c>
      <c r="K732" s="5">
        <v>35264</v>
      </c>
      <c r="L732" s="5">
        <v>5289.6</v>
      </c>
      <c r="M732" s="12">
        <v>0.15</v>
      </c>
      <c r="N732" s="5">
        <f t="shared" si="22"/>
        <v>29974.400000000001</v>
      </c>
      <c r="O732" s="5">
        <v>22284.880000000001</v>
      </c>
      <c r="P732" s="5">
        <f t="shared" si="23"/>
        <v>7689.52</v>
      </c>
      <c r="Q732" t="s">
        <v>416</v>
      </c>
      <c r="R732">
        <v>2025</v>
      </c>
      <c r="S732">
        <v>12</v>
      </c>
    </row>
    <row r="733" spans="1:19" x14ac:dyDescent="0.3">
      <c r="A733" s="19" t="s">
        <v>791</v>
      </c>
      <c r="B733" s="20">
        <v>46004</v>
      </c>
      <c r="C733" s="19" t="s">
        <v>46</v>
      </c>
      <c r="D733" s="19" t="s">
        <v>21</v>
      </c>
      <c r="E733" s="19" t="s">
        <v>22</v>
      </c>
      <c r="F733" s="19" t="s">
        <v>40</v>
      </c>
      <c r="G733" s="19" t="s">
        <v>31</v>
      </c>
      <c r="H733" s="19" t="s">
        <v>415</v>
      </c>
      <c r="I733" s="19">
        <v>4</v>
      </c>
      <c r="J733" s="21">
        <v>12137</v>
      </c>
      <c r="K733" s="21">
        <v>48548</v>
      </c>
      <c r="L733" s="21">
        <v>2427.4</v>
      </c>
      <c r="M733" s="15">
        <v>0.05</v>
      </c>
      <c r="N733" s="21">
        <f t="shared" si="22"/>
        <v>46120.6</v>
      </c>
      <c r="O733" s="21">
        <v>31084.04</v>
      </c>
      <c r="P733" s="21">
        <f t="shared" si="23"/>
        <v>15036.559999999998</v>
      </c>
      <c r="Q733" s="19" t="s">
        <v>416</v>
      </c>
      <c r="R733" s="19">
        <v>2025</v>
      </c>
      <c r="S733" s="19">
        <v>12</v>
      </c>
    </row>
    <row r="734" spans="1:19" x14ac:dyDescent="0.3">
      <c r="A734" t="s">
        <v>792</v>
      </c>
      <c r="B734" s="2">
        <v>46005</v>
      </c>
      <c r="C734" t="s">
        <v>75</v>
      </c>
      <c r="D734" t="s">
        <v>34</v>
      </c>
      <c r="E734" t="s">
        <v>44</v>
      </c>
      <c r="F734" t="s">
        <v>35</v>
      </c>
      <c r="G734" t="s">
        <v>31</v>
      </c>
      <c r="H734" t="s">
        <v>415</v>
      </c>
      <c r="I734">
        <v>2</v>
      </c>
      <c r="J734" s="5">
        <v>39977</v>
      </c>
      <c r="K734" s="5">
        <v>79954</v>
      </c>
      <c r="L734" s="5">
        <v>11993.1</v>
      </c>
      <c r="M734" s="12">
        <v>0.15</v>
      </c>
      <c r="N734" s="5">
        <f t="shared" si="22"/>
        <v>67960.899999999994</v>
      </c>
      <c r="O734" s="5">
        <v>45000.21</v>
      </c>
      <c r="P734" s="5">
        <f t="shared" si="23"/>
        <v>22960.689999999995</v>
      </c>
      <c r="Q734" t="s">
        <v>416</v>
      </c>
      <c r="R734">
        <v>2025</v>
      </c>
      <c r="S734">
        <v>12</v>
      </c>
    </row>
    <row r="735" spans="1:19" x14ac:dyDescent="0.3">
      <c r="A735" s="19" t="s">
        <v>793</v>
      </c>
      <c r="B735" s="20">
        <v>46005</v>
      </c>
      <c r="C735" s="19" t="s">
        <v>28</v>
      </c>
      <c r="D735" s="19" t="s">
        <v>29</v>
      </c>
      <c r="E735" s="19" t="s">
        <v>22</v>
      </c>
      <c r="F735" s="19" t="s">
        <v>30</v>
      </c>
      <c r="G735" s="19" t="s">
        <v>31</v>
      </c>
      <c r="H735" s="19" t="s">
        <v>415</v>
      </c>
      <c r="I735" s="19">
        <v>2</v>
      </c>
      <c r="J735" s="21">
        <v>61426</v>
      </c>
      <c r="K735" s="21">
        <v>122852</v>
      </c>
      <c r="L735" s="21">
        <v>24570.400000000001</v>
      </c>
      <c r="M735" s="15">
        <v>0.2</v>
      </c>
      <c r="N735" s="21">
        <f t="shared" si="22"/>
        <v>98281.600000000006</v>
      </c>
      <c r="O735" s="21">
        <v>72931.55</v>
      </c>
      <c r="P735" s="21">
        <f t="shared" si="23"/>
        <v>25350.050000000003</v>
      </c>
      <c r="Q735" s="19" t="s">
        <v>416</v>
      </c>
      <c r="R735" s="19">
        <v>2025</v>
      </c>
      <c r="S735" s="19">
        <v>12</v>
      </c>
    </row>
    <row r="736" spans="1:19" x14ac:dyDescent="0.3">
      <c r="A736" t="s">
        <v>794</v>
      </c>
      <c r="B736" s="2">
        <v>46005</v>
      </c>
      <c r="C736" t="s">
        <v>46</v>
      </c>
      <c r="D736" t="s">
        <v>21</v>
      </c>
      <c r="E736" t="s">
        <v>42</v>
      </c>
      <c r="F736" t="s">
        <v>23</v>
      </c>
      <c r="G736" t="s">
        <v>24</v>
      </c>
      <c r="H736" t="s">
        <v>25</v>
      </c>
      <c r="I736">
        <v>2</v>
      </c>
      <c r="J736" s="5">
        <v>11932</v>
      </c>
      <c r="K736" s="5">
        <v>23864</v>
      </c>
      <c r="L736" s="5">
        <v>0</v>
      </c>
      <c r="M736" s="12">
        <v>0</v>
      </c>
      <c r="N736" s="5">
        <f t="shared" si="22"/>
        <v>23864</v>
      </c>
      <c r="O736" s="5">
        <v>13600.57</v>
      </c>
      <c r="P736" s="5">
        <f t="shared" si="23"/>
        <v>10263.43</v>
      </c>
      <c r="Q736" t="s">
        <v>416</v>
      </c>
      <c r="R736">
        <v>2025</v>
      </c>
      <c r="S736">
        <v>12</v>
      </c>
    </row>
    <row r="737" spans="1:19" x14ac:dyDescent="0.3">
      <c r="A737" s="19" t="s">
        <v>795</v>
      </c>
      <c r="B737" s="20">
        <v>46005</v>
      </c>
      <c r="C737" s="19" t="s">
        <v>48</v>
      </c>
      <c r="D737" s="19" t="s">
        <v>34</v>
      </c>
      <c r="E737" s="19" t="s">
        <v>22</v>
      </c>
      <c r="F737" s="19" t="s">
        <v>40</v>
      </c>
      <c r="G737" s="19" t="s">
        <v>31</v>
      </c>
      <c r="H737" s="19" t="s">
        <v>25</v>
      </c>
      <c r="I737" s="19">
        <v>2</v>
      </c>
      <c r="J737" s="21">
        <v>25490</v>
      </c>
      <c r="K737" s="21">
        <v>50980</v>
      </c>
      <c r="L737" s="21">
        <v>0</v>
      </c>
      <c r="M737" s="15">
        <v>0</v>
      </c>
      <c r="N737" s="21">
        <f t="shared" si="22"/>
        <v>50980</v>
      </c>
      <c r="O737" s="21">
        <v>32315.16</v>
      </c>
      <c r="P737" s="21">
        <f t="shared" si="23"/>
        <v>18664.84</v>
      </c>
      <c r="Q737" s="19" t="s">
        <v>416</v>
      </c>
      <c r="R737" s="19">
        <v>2025</v>
      </c>
      <c r="S737" s="19">
        <v>12</v>
      </c>
    </row>
    <row r="738" spans="1:19" x14ac:dyDescent="0.3">
      <c r="A738" t="s">
        <v>796</v>
      </c>
      <c r="B738" s="2">
        <v>46006</v>
      </c>
      <c r="C738" t="s">
        <v>48</v>
      </c>
      <c r="D738" t="s">
        <v>34</v>
      </c>
      <c r="E738" t="s">
        <v>44</v>
      </c>
      <c r="F738" t="s">
        <v>40</v>
      </c>
      <c r="G738" t="s">
        <v>24</v>
      </c>
      <c r="H738" t="s">
        <v>415</v>
      </c>
      <c r="I738">
        <v>1</v>
      </c>
      <c r="J738" s="5">
        <v>25356</v>
      </c>
      <c r="K738" s="5">
        <v>25356</v>
      </c>
      <c r="L738" s="5">
        <v>2535.6</v>
      </c>
      <c r="M738" s="12">
        <v>0.1</v>
      </c>
      <c r="N738" s="5">
        <f t="shared" si="22"/>
        <v>22820.400000000001</v>
      </c>
      <c r="O738" s="5">
        <v>15949.66</v>
      </c>
      <c r="P738" s="5">
        <f t="shared" si="23"/>
        <v>6870.7400000000016</v>
      </c>
      <c r="Q738" t="s">
        <v>416</v>
      </c>
      <c r="R738">
        <v>2025</v>
      </c>
      <c r="S738">
        <v>12</v>
      </c>
    </row>
    <row r="739" spans="1:19" x14ac:dyDescent="0.3">
      <c r="A739" s="19" t="s">
        <v>797</v>
      </c>
      <c r="B739" s="20">
        <v>46008</v>
      </c>
      <c r="C739" s="19" t="s">
        <v>20</v>
      </c>
      <c r="D739" s="19" t="s">
        <v>21</v>
      </c>
      <c r="E739" s="19" t="s">
        <v>56</v>
      </c>
      <c r="F739" s="19" t="s">
        <v>23</v>
      </c>
      <c r="G739" s="19" t="s">
        <v>24</v>
      </c>
      <c r="H739" s="19" t="s">
        <v>25</v>
      </c>
      <c r="I739" s="19">
        <v>1</v>
      </c>
      <c r="J739" s="21">
        <v>13943</v>
      </c>
      <c r="K739" s="21">
        <v>13943</v>
      </c>
      <c r="L739" s="21">
        <v>0</v>
      </c>
      <c r="M739" s="15">
        <v>0</v>
      </c>
      <c r="N739" s="21">
        <f t="shared" si="22"/>
        <v>13943</v>
      </c>
      <c r="O739" s="21">
        <v>7610.3</v>
      </c>
      <c r="P739" s="21">
        <f t="shared" si="23"/>
        <v>6332.7</v>
      </c>
      <c r="Q739" s="19" t="s">
        <v>416</v>
      </c>
      <c r="R739" s="19">
        <v>2025</v>
      </c>
      <c r="S739" s="19">
        <v>12</v>
      </c>
    </row>
    <row r="740" spans="1:19" x14ac:dyDescent="0.3">
      <c r="A740" t="s">
        <v>798</v>
      </c>
      <c r="B740" s="2">
        <v>46009</v>
      </c>
      <c r="C740" t="s">
        <v>50</v>
      </c>
      <c r="D740" t="s">
        <v>34</v>
      </c>
      <c r="E740" t="s">
        <v>44</v>
      </c>
      <c r="F740" t="s">
        <v>30</v>
      </c>
      <c r="G740" t="s">
        <v>24</v>
      </c>
      <c r="H740" t="s">
        <v>415</v>
      </c>
      <c r="I740">
        <v>3</v>
      </c>
      <c r="J740" s="5">
        <v>18376</v>
      </c>
      <c r="K740" s="5">
        <v>55128</v>
      </c>
      <c r="L740" s="5">
        <v>5512.8</v>
      </c>
      <c r="M740" s="12">
        <v>0.1</v>
      </c>
      <c r="N740" s="5">
        <f t="shared" si="22"/>
        <v>49615.199999999997</v>
      </c>
      <c r="O740" s="5">
        <v>31775.97</v>
      </c>
      <c r="P740" s="5">
        <f t="shared" si="23"/>
        <v>17839.229999999996</v>
      </c>
      <c r="Q740" t="s">
        <v>416</v>
      </c>
      <c r="R740">
        <v>2025</v>
      </c>
      <c r="S740">
        <v>12</v>
      </c>
    </row>
    <row r="741" spans="1:19" x14ac:dyDescent="0.3">
      <c r="A741" s="19" t="s">
        <v>799</v>
      </c>
      <c r="B741" s="20">
        <v>46010</v>
      </c>
      <c r="C741" s="19" t="s">
        <v>20</v>
      </c>
      <c r="D741" s="19" t="s">
        <v>21</v>
      </c>
      <c r="E741" s="19" t="s">
        <v>44</v>
      </c>
      <c r="F741" s="19" t="s">
        <v>40</v>
      </c>
      <c r="G741" s="19" t="s">
        <v>31</v>
      </c>
      <c r="H741" s="19" t="s">
        <v>415</v>
      </c>
      <c r="I741" s="19">
        <v>3</v>
      </c>
      <c r="J741" s="21">
        <v>14265</v>
      </c>
      <c r="K741" s="21">
        <v>42795</v>
      </c>
      <c r="L741" s="21">
        <v>2139.75</v>
      </c>
      <c r="M741" s="15">
        <v>0.05</v>
      </c>
      <c r="N741" s="21">
        <f t="shared" si="22"/>
        <v>40655.25</v>
      </c>
      <c r="O741" s="21">
        <v>26859.43</v>
      </c>
      <c r="P741" s="21">
        <f t="shared" si="23"/>
        <v>13795.82</v>
      </c>
      <c r="Q741" s="19" t="s">
        <v>416</v>
      </c>
      <c r="R741" s="19">
        <v>2025</v>
      </c>
      <c r="S741" s="19">
        <v>12</v>
      </c>
    </row>
    <row r="742" spans="1:19" x14ac:dyDescent="0.3">
      <c r="A742" t="s">
        <v>800</v>
      </c>
      <c r="B742" s="2">
        <v>46011</v>
      </c>
      <c r="C742" t="s">
        <v>75</v>
      </c>
      <c r="D742" t="s">
        <v>34</v>
      </c>
      <c r="E742" t="s">
        <v>22</v>
      </c>
      <c r="F742" t="s">
        <v>37</v>
      </c>
      <c r="G742" t="s">
        <v>31</v>
      </c>
      <c r="H742" t="s">
        <v>25</v>
      </c>
      <c r="I742">
        <v>2</v>
      </c>
      <c r="J742" s="5">
        <v>37195</v>
      </c>
      <c r="K742" s="5">
        <v>74390</v>
      </c>
      <c r="L742" s="5">
        <v>0</v>
      </c>
      <c r="M742" s="12">
        <v>0</v>
      </c>
      <c r="N742" s="5">
        <f t="shared" si="22"/>
        <v>74390</v>
      </c>
      <c r="O742" s="5">
        <v>48019.31</v>
      </c>
      <c r="P742" s="5">
        <f t="shared" si="23"/>
        <v>26370.690000000002</v>
      </c>
      <c r="Q742" t="s">
        <v>416</v>
      </c>
      <c r="R742">
        <v>2025</v>
      </c>
      <c r="S742">
        <v>12</v>
      </c>
    </row>
    <row r="743" spans="1:19" x14ac:dyDescent="0.3">
      <c r="A743" s="19" t="s">
        <v>801</v>
      </c>
      <c r="B743" s="20">
        <v>46012</v>
      </c>
      <c r="C743" s="19" t="s">
        <v>71</v>
      </c>
      <c r="D743" s="19" t="s">
        <v>34</v>
      </c>
      <c r="E743" s="19" t="s">
        <v>56</v>
      </c>
      <c r="F743" s="19" t="s">
        <v>37</v>
      </c>
      <c r="G743" s="19" t="s">
        <v>31</v>
      </c>
      <c r="H743" s="19" t="s">
        <v>415</v>
      </c>
      <c r="I743" s="19">
        <v>1</v>
      </c>
      <c r="J743" s="21">
        <v>50869</v>
      </c>
      <c r="K743" s="21">
        <v>50869</v>
      </c>
      <c r="L743" s="21">
        <v>10173.799999999999</v>
      </c>
      <c r="M743" s="15">
        <v>0.2</v>
      </c>
      <c r="N743" s="21">
        <f t="shared" si="22"/>
        <v>40695.199999999997</v>
      </c>
      <c r="O743" s="21">
        <v>30979.32</v>
      </c>
      <c r="P743" s="21">
        <f t="shared" si="23"/>
        <v>9715.8799999999974</v>
      </c>
      <c r="Q743" s="19" t="s">
        <v>416</v>
      </c>
      <c r="R743" s="19">
        <v>2025</v>
      </c>
      <c r="S743" s="19">
        <v>12</v>
      </c>
    </row>
    <row r="744" spans="1:19" x14ac:dyDescent="0.3">
      <c r="A744" t="s">
        <v>802</v>
      </c>
      <c r="B744" s="2">
        <v>46013</v>
      </c>
      <c r="C744" t="s">
        <v>20</v>
      </c>
      <c r="D744" t="s">
        <v>21</v>
      </c>
      <c r="E744" t="s">
        <v>56</v>
      </c>
      <c r="F744" t="s">
        <v>23</v>
      </c>
      <c r="G744" t="s">
        <v>24</v>
      </c>
      <c r="H744" t="s">
        <v>415</v>
      </c>
      <c r="I744">
        <v>1</v>
      </c>
      <c r="J744" s="5">
        <v>14418</v>
      </c>
      <c r="K744" s="5">
        <v>14418</v>
      </c>
      <c r="L744" s="5">
        <v>2162.6999999999998</v>
      </c>
      <c r="M744" s="12">
        <v>0.15</v>
      </c>
      <c r="N744" s="5">
        <f t="shared" si="22"/>
        <v>12255.3</v>
      </c>
      <c r="O744" s="5">
        <v>7293.34</v>
      </c>
      <c r="P744" s="5">
        <f t="shared" si="23"/>
        <v>4961.9599999999991</v>
      </c>
      <c r="Q744" t="s">
        <v>416</v>
      </c>
      <c r="R744">
        <v>2025</v>
      </c>
      <c r="S744">
        <v>12</v>
      </c>
    </row>
    <row r="745" spans="1:19" x14ac:dyDescent="0.3">
      <c r="A745" s="19" t="s">
        <v>803</v>
      </c>
      <c r="B745" s="20">
        <v>46014</v>
      </c>
      <c r="C745" s="19" t="s">
        <v>50</v>
      </c>
      <c r="D745" s="19" t="s">
        <v>34</v>
      </c>
      <c r="E745" s="19" t="s">
        <v>44</v>
      </c>
      <c r="F745" s="19" t="s">
        <v>30</v>
      </c>
      <c r="G745" s="19" t="s">
        <v>31</v>
      </c>
      <c r="H745" s="19" t="s">
        <v>415</v>
      </c>
      <c r="I745" s="19">
        <v>3</v>
      </c>
      <c r="J745" s="21">
        <v>18149</v>
      </c>
      <c r="K745" s="21">
        <v>54447</v>
      </c>
      <c r="L745" s="21">
        <v>5444.7</v>
      </c>
      <c r="M745" s="15">
        <v>0.1</v>
      </c>
      <c r="N745" s="21">
        <f t="shared" si="22"/>
        <v>49002.3</v>
      </c>
      <c r="O745" s="21">
        <v>34230.86</v>
      </c>
      <c r="P745" s="21">
        <f t="shared" si="23"/>
        <v>14771.440000000002</v>
      </c>
      <c r="Q745" s="19" t="s">
        <v>416</v>
      </c>
      <c r="R745" s="19">
        <v>2025</v>
      </c>
      <c r="S745" s="19">
        <v>12</v>
      </c>
    </row>
    <row r="746" spans="1:19" x14ac:dyDescent="0.3">
      <c r="A746" t="s">
        <v>804</v>
      </c>
      <c r="B746" s="2">
        <v>46015</v>
      </c>
      <c r="C746" t="s">
        <v>20</v>
      </c>
      <c r="D746" t="s">
        <v>21</v>
      </c>
      <c r="E746" t="s">
        <v>42</v>
      </c>
      <c r="F746" t="s">
        <v>37</v>
      </c>
      <c r="G746" t="s">
        <v>31</v>
      </c>
      <c r="H746" t="s">
        <v>415</v>
      </c>
      <c r="I746">
        <v>2</v>
      </c>
      <c r="J746" s="5">
        <v>14795</v>
      </c>
      <c r="K746" s="5">
        <v>29590</v>
      </c>
      <c r="L746" s="5">
        <v>2959</v>
      </c>
      <c r="M746" s="12">
        <v>0.1</v>
      </c>
      <c r="N746" s="5">
        <f t="shared" si="22"/>
        <v>26631</v>
      </c>
      <c r="O746" s="5">
        <v>18262.22</v>
      </c>
      <c r="P746" s="5">
        <f t="shared" si="23"/>
        <v>8368.7799999999988</v>
      </c>
      <c r="Q746" t="s">
        <v>416</v>
      </c>
      <c r="R746">
        <v>2025</v>
      </c>
      <c r="S746">
        <v>12</v>
      </c>
    </row>
    <row r="747" spans="1:19" x14ac:dyDescent="0.3">
      <c r="A747" s="19" t="s">
        <v>805</v>
      </c>
      <c r="B747" s="20">
        <v>46016</v>
      </c>
      <c r="C747" s="19" t="s">
        <v>20</v>
      </c>
      <c r="D747" s="19" t="s">
        <v>21</v>
      </c>
      <c r="E747" s="19" t="s">
        <v>44</v>
      </c>
      <c r="F747" s="19" t="s">
        <v>40</v>
      </c>
      <c r="G747" s="19" t="s">
        <v>31</v>
      </c>
      <c r="H747" s="19" t="s">
        <v>25</v>
      </c>
      <c r="I747" s="19">
        <v>3</v>
      </c>
      <c r="J747" s="21">
        <v>15797</v>
      </c>
      <c r="K747" s="21">
        <v>47391</v>
      </c>
      <c r="L747" s="21">
        <v>0</v>
      </c>
      <c r="M747" s="15">
        <v>0</v>
      </c>
      <c r="N747" s="21">
        <f t="shared" si="22"/>
        <v>47391</v>
      </c>
      <c r="O747" s="21">
        <v>26765.78</v>
      </c>
      <c r="P747" s="21">
        <f t="shared" si="23"/>
        <v>20625.22</v>
      </c>
      <c r="Q747" s="19" t="s">
        <v>416</v>
      </c>
      <c r="R747" s="19">
        <v>2025</v>
      </c>
      <c r="S747" s="19">
        <v>12</v>
      </c>
    </row>
    <row r="748" spans="1:19" x14ac:dyDescent="0.3">
      <c r="A748" t="s">
        <v>806</v>
      </c>
      <c r="B748" s="2">
        <v>46017</v>
      </c>
      <c r="C748" t="s">
        <v>75</v>
      </c>
      <c r="D748" t="s">
        <v>34</v>
      </c>
      <c r="E748" t="s">
        <v>22</v>
      </c>
      <c r="F748" t="s">
        <v>37</v>
      </c>
      <c r="G748" t="s">
        <v>31</v>
      </c>
      <c r="H748" t="s">
        <v>25</v>
      </c>
      <c r="I748">
        <v>4</v>
      </c>
      <c r="J748" s="5">
        <v>36411</v>
      </c>
      <c r="K748" s="5">
        <v>145644</v>
      </c>
      <c r="L748" s="5">
        <v>0</v>
      </c>
      <c r="M748" s="12">
        <v>0</v>
      </c>
      <c r="N748" s="5">
        <f t="shared" si="22"/>
        <v>145644</v>
      </c>
      <c r="O748" s="5">
        <v>98600.69</v>
      </c>
      <c r="P748" s="5">
        <f t="shared" si="23"/>
        <v>47043.31</v>
      </c>
      <c r="Q748" t="s">
        <v>416</v>
      </c>
      <c r="R748">
        <v>2025</v>
      </c>
      <c r="S748">
        <v>12</v>
      </c>
    </row>
    <row r="749" spans="1:19" x14ac:dyDescent="0.3">
      <c r="A749" s="19" t="s">
        <v>807</v>
      </c>
      <c r="B749" s="20">
        <v>46017</v>
      </c>
      <c r="C749" s="19" t="s">
        <v>82</v>
      </c>
      <c r="D749" s="19" t="s">
        <v>21</v>
      </c>
      <c r="E749" s="19" t="s">
        <v>44</v>
      </c>
      <c r="F749" s="19" t="s">
        <v>35</v>
      </c>
      <c r="G749" s="19" t="s">
        <v>31</v>
      </c>
      <c r="H749" s="19" t="s">
        <v>415</v>
      </c>
      <c r="I749" s="19">
        <v>3</v>
      </c>
      <c r="J749" s="21">
        <v>44087</v>
      </c>
      <c r="K749" s="21">
        <v>132261</v>
      </c>
      <c r="L749" s="21">
        <v>13226.1</v>
      </c>
      <c r="M749" s="15">
        <v>0.1</v>
      </c>
      <c r="N749" s="21">
        <f t="shared" si="22"/>
        <v>119034.9</v>
      </c>
      <c r="O749" s="21">
        <v>78804.539999999994</v>
      </c>
      <c r="P749" s="21">
        <f t="shared" si="23"/>
        <v>40230.36</v>
      </c>
      <c r="Q749" s="19" t="s">
        <v>416</v>
      </c>
      <c r="R749" s="19">
        <v>2025</v>
      </c>
      <c r="S749" s="19">
        <v>12</v>
      </c>
    </row>
    <row r="750" spans="1:19" x14ac:dyDescent="0.3">
      <c r="A750" t="s">
        <v>808</v>
      </c>
      <c r="B750" s="2">
        <v>46018</v>
      </c>
      <c r="C750" t="s">
        <v>64</v>
      </c>
      <c r="D750" t="s">
        <v>29</v>
      </c>
      <c r="E750" t="s">
        <v>42</v>
      </c>
      <c r="F750" t="s">
        <v>37</v>
      </c>
      <c r="G750" t="s">
        <v>24</v>
      </c>
      <c r="H750" t="s">
        <v>25</v>
      </c>
      <c r="I750">
        <v>1</v>
      </c>
      <c r="J750" s="5">
        <v>30739</v>
      </c>
      <c r="K750" s="5">
        <v>30739</v>
      </c>
      <c r="L750" s="5">
        <v>0</v>
      </c>
      <c r="M750" s="12">
        <v>0</v>
      </c>
      <c r="N750" s="5">
        <f t="shared" si="22"/>
        <v>30739</v>
      </c>
      <c r="O750" s="5">
        <v>16796.46</v>
      </c>
      <c r="P750" s="5">
        <f t="shared" si="23"/>
        <v>13942.54</v>
      </c>
      <c r="Q750" t="s">
        <v>416</v>
      </c>
      <c r="R750">
        <v>2025</v>
      </c>
      <c r="S750">
        <v>12</v>
      </c>
    </row>
    <row r="751" spans="1:19" x14ac:dyDescent="0.3">
      <c r="A751" s="19" t="s">
        <v>809</v>
      </c>
      <c r="B751" s="20">
        <v>46018</v>
      </c>
      <c r="C751" s="19" t="s">
        <v>48</v>
      </c>
      <c r="D751" s="19" t="s">
        <v>34</v>
      </c>
      <c r="E751" s="19" t="s">
        <v>42</v>
      </c>
      <c r="F751" s="19" t="s">
        <v>40</v>
      </c>
      <c r="G751" s="19" t="s">
        <v>24</v>
      </c>
      <c r="H751" s="19" t="s">
        <v>415</v>
      </c>
      <c r="I751" s="19">
        <v>3</v>
      </c>
      <c r="J751" s="21">
        <v>26054</v>
      </c>
      <c r="K751" s="21">
        <v>78162</v>
      </c>
      <c r="L751" s="21">
        <v>7816.2</v>
      </c>
      <c r="M751" s="15">
        <v>0.1</v>
      </c>
      <c r="N751" s="21">
        <f t="shared" si="22"/>
        <v>70345.8</v>
      </c>
      <c r="O751" s="21">
        <v>42564.13</v>
      </c>
      <c r="P751" s="21">
        <f t="shared" si="23"/>
        <v>27781.670000000006</v>
      </c>
      <c r="Q751" s="19" t="s">
        <v>416</v>
      </c>
      <c r="R751" s="19">
        <v>2025</v>
      </c>
      <c r="S751" s="19">
        <v>12</v>
      </c>
    </row>
    <row r="752" spans="1:19" x14ac:dyDescent="0.3">
      <c r="A752" t="s">
        <v>810</v>
      </c>
      <c r="B752" s="2">
        <v>46018</v>
      </c>
      <c r="C752" t="s">
        <v>20</v>
      </c>
      <c r="D752" t="s">
        <v>21</v>
      </c>
      <c r="E752" t="s">
        <v>42</v>
      </c>
      <c r="F752" t="s">
        <v>40</v>
      </c>
      <c r="G752" t="s">
        <v>31</v>
      </c>
      <c r="H752" t="s">
        <v>415</v>
      </c>
      <c r="I752">
        <v>1</v>
      </c>
      <c r="J752" s="5">
        <v>15230</v>
      </c>
      <c r="K752" s="5">
        <v>15230</v>
      </c>
      <c r="L752" s="5">
        <v>2284.5</v>
      </c>
      <c r="M752" s="12">
        <v>0.15</v>
      </c>
      <c r="N752" s="5">
        <f t="shared" si="22"/>
        <v>12945.5</v>
      </c>
      <c r="O752" s="5">
        <v>7352.01</v>
      </c>
      <c r="P752" s="5">
        <f t="shared" si="23"/>
        <v>5593.49</v>
      </c>
      <c r="Q752" t="s">
        <v>416</v>
      </c>
      <c r="R752">
        <v>2025</v>
      </c>
      <c r="S752">
        <v>12</v>
      </c>
    </row>
    <row r="753" spans="1:19" x14ac:dyDescent="0.3">
      <c r="A753" s="19" t="s">
        <v>811</v>
      </c>
      <c r="B753" s="20">
        <v>46018</v>
      </c>
      <c r="C753" s="19" t="s">
        <v>64</v>
      </c>
      <c r="D753" s="19" t="s">
        <v>29</v>
      </c>
      <c r="E753" s="19" t="s">
        <v>22</v>
      </c>
      <c r="F753" s="19" t="s">
        <v>40</v>
      </c>
      <c r="G753" s="19" t="s">
        <v>31</v>
      </c>
      <c r="H753" s="19" t="s">
        <v>415</v>
      </c>
      <c r="I753" s="19">
        <v>3</v>
      </c>
      <c r="J753" s="21">
        <v>29666</v>
      </c>
      <c r="K753" s="21">
        <v>88998</v>
      </c>
      <c r="L753" s="21">
        <v>17799.599999999999</v>
      </c>
      <c r="M753" s="15">
        <v>0.2</v>
      </c>
      <c r="N753" s="21">
        <f t="shared" si="22"/>
        <v>71198.399999999994</v>
      </c>
      <c r="O753" s="21">
        <v>51839.43</v>
      </c>
      <c r="P753" s="21">
        <f t="shared" si="23"/>
        <v>19358.969999999994</v>
      </c>
      <c r="Q753" s="19" t="s">
        <v>416</v>
      </c>
      <c r="R753" s="19">
        <v>2025</v>
      </c>
      <c r="S753" s="19">
        <v>12</v>
      </c>
    </row>
    <row r="754" spans="1:19" x14ac:dyDescent="0.3">
      <c r="A754" t="s">
        <v>812</v>
      </c>
      <c r="B754" s="2">
        <v>46020</v>
      </c>
      <c r="C754" t="s">
        <v>82</v>
      </c>
      <c r="D754" t="s">
        <v>21</v>
      </c>
      <c r="E754" t="s">
        <v>42</v>
      </c>
      <c r="F754" t="s">
        <v>30</v>
      </c>
      <c r="G754" t="s">
        <v>24</v>
      </c>
      <c r="H754" t="s">
        <v>415</v>
      </c>
      <c r="I754">
        <v>3</v>
      </c>
      <c r="J754" s="5">
        <v>46482</v>
      </c>
      <c r="K754" s="5">
        <v>139446</v>
      </c>
      <c r="L754" s="5">
        <v>6972.3</v>
      </c>
      <c r="M754" s="12">
        <v>0.05</v>
      </c>
      <c r="N754" s="5">
        <f t="shared" si="22"/>
        <v>132473.70000000001</v>
      </c>
      <c r="O754" s="5">
        <v>90058.43</v>
      </c>
      <c r="P754" s="5">
        <f t="shared" si="23"/>
        <v>42415.270000000019</v>
      </c>
      <c r="Q754" t="s">
        <v>416</v>
      </c>
      <c r="R754">
        <v>2025</v>
      </c>
      <c r="S754">
        <v>12</v>
      </c>
    </row>
    <row r="755" spans="1:19" x14ac:dyDescent="0.3">
      <c r="A755" s="19" t="s">
        <v>813</v>
      </c>
      <c r="B755" s="20">
        <v>46020</v>
      </c>
      <c r="C755" s="19" t="s">
        <v>64</v>
      </c>
      <c r="D755" s="19" t="s">
        <v>29</v>
      </c>
      <c r="E755" s="19" t="s">
        <v>42</v>
      </c>
      <c r="F755" s="19" t="s">
        <v>40</v>
      </c>
      <c r="G755" s="19" t="s">
        <v>31</v>
      </c>
      <c r="H755" s="19" t="s">
        <v>415</v>
      </c>
      <c r="I755" s="19">
        <v>3</v>
      </c>
      <c r="J755" s="21">
        <v>29689</v>
      </c>
      <c r="K755" s="21">
        <v>89067</v>
      </c>
      <c r="L755" s="21">
        <v>13360.05</v>
      </c>
      <c r="M755" s="15">
        <v>0.15</v>
      </c>
      <c r="N755" s="21">
        <f t="shared" si="22"/>
        <v>75706.95</v>
      </c>
      <c r="O755" s="21">
        <v>55564.36</v>
      </c>
      <c r="P755" s="21">
        <f t="shared" si="23"/>
        <v>20142.589999999997</v>
      </c>
      <c r="Q755" s="19" t="s">
        <v>416</v>
      </c>
      <c r="R755" s="19">
        <v>2025</v>
      </c>
      <c r="S755" s="19">
        <v>12</v>
      </c>
    </row>
    <row r="756" spans="1:19" x14ac:dyDescent="0.3">
      <c r="A756" t="s">
        <v>814</v>
      </c>
      <c r="B756" s="2">
        <v>46021</v>
      </c>
      <c r="C756" t="s">
        <v>28</v>
      </c>
      <c r="D756" t="s">
        <v>29</v>
      </c>
      <c r="E756" t="s">
        <v>42</v>
      </c>
      <c r="F756" t="s">
        <v>40</v>
      </c>
      <c r="G756" t="s">
        <v>24</v>
      </c>
      <c r="H756" t="s">
        <v>25</v>
      </c>
      <c r="I756">
        <v>2</v>
      </c>
      <c r="J756" s="5">
        <v>61456</v>
      </c>
      <c r="K756" s="5">
        <v>122912</v>
      </c>
      <c r="L756" s="5">
        <v>0</v>
      </c>
      <c r="M756" s="12">
        <v>0</v>
      </c>
      <c r="N756" s="5">
        <f t="shared" si="22"/>
        <v>122912</v>
      </c>
      <c r="O756" s="5">
        <v>61889.86</v>
      </c>
      <c r="P756" s="5">
        <f t="shared" si="23"/>
        <v>61022.14</v>
      </c>
      <c r="Q756" t="s">
        <v>416</v>
      </c>
      <c r="R756">
        <v>2025</v>
      </c>
      <c r="S756">
        <v>12</v>
      </c>
    </row>
    <row r="757" spans="1:19" x14ac:dyDescent="0.3">
      <c r="A757" s="19" t="s">
        <v>815</v>
      </c>
      <c r="B757" s="20">
        <v>46021</v>
      </c>
      <c r="C757" s="19" t="s">
        <v>48</v>
      </c>
      <c r="D757" s="19" t="s">
        <v>34</v>
      </c>
      <c r="E757" s="19" t="s">
        <v>42</v>
      </c>
      <c r="F757" s="19" t="s">
        <v>40</v>
      </c>
      <c r="G757" s="19" t="s">
        <v>24</v>
      </c>
      <c r="H757" s="19" t="s">
        <v>415</v>
      </c>
      <c r="I757" s="19">
        <v>1</v>
      </c>
      <c r="J757" s="21">
        <v>23968</v>
      </c>
      <c r="K757" s="21">
        <v>23968</v>
      </c>
      <c r="L757" s="21">
        <v>3595.2</v>
      </c>
      <c r="M757" s="15">
        <v>0.15</v>
      </c>
      <c r="N757" s="21">
        <f t="shared" si="22"/>
        <v>20372.8</v>
      </c>
      <c r="O757" s="21">
        <v>12200.65</v>
      </c>
      <c r="P757" s="21">
        <f t="shared" si="23"/>
        <v>8172.15</v>
      </c>
      <c r="Q757" s="19" t="s">
        <v>416</v>
      </c>
      <c r="R757" s="19">
        <v>2025</v>
      </c>
      <c r="S757" s="19">
        <v>12</v>
      </c>
    </row>
    <row r="758" spans="1:19" x14ac:dyDescent="0.3">
      <c r="A758" t="s">
        <v>816</v>
      </c>
      <c r="B758" s="2">
        <v>46022</v>
      </c>
      <c r="C758" t="s">
        <v>64</v>
      </c>
      <c r="D758" t="s">
        <v>29</v>
      </c>
      <c r="E758" t="s">
        <v>42</v>
      </c>
      <c r="F758" t="s">
        <v>37</v>
      </c>
      <c r="G758" t="s">
        <v>31</v>
      </c>
      <c r="H758" t="s">
        <v>415</v>
      </c>
      <c r="I758">
        <v>2</v>
      </c>
      <c r="J758" s="5">
        <v>30875</v>
      </c>
      <c r="K758" s="5">
        <v>61750</v>
      </c>
      <c r="L758" s="5">
        <v>6175</v>
      </c>
      <c r="M758" s="12">
        <v>0.1</v>
      </c>
      <c r="N758" s="5">
        <f t="shared" si="22"/>
        <v>55575</v>
      </c>
      <c r="O758" s="5">
        <v>38206.18</v>
      </c>
      <c r="P758" s="5">
        <f t="shared" si="23"/>
        <v>17368.82</v>
      </c>
      <c r="Q758" t="s">
        <v>416</v>
      </c>
      <c r="R758">
        <v>2025</v>
      </c>
      <c r="S758">
        <v>12</v>
      </c>
    </row>
    <row r="759" spans="1:19" x14ac:dyDescent="0.3">
      <c r="A759" s="19" t="s">
        <v>817</v>
      </c>
      <c r="B759" s="20">
        <v>46023</v>
      </c>
      <c r="C759" s="19" t="s">
        <v>71</v>
      </c>
      <c r="D759" s="19" t="s">
        <v>34</v>
      </c>
      <c r="E759" s="19" t="s">
        <v>56</v>
      </c>
      <c r="F759" s="19" t="s">
        <v>37</v>
      </c>
      <c r="G759" s="19" t="s">
        <v>31</v>
      </c>
      <c r="H759" s="19" t="s">
        <v>25</v>
      </c>
      <c r="I759" s="19">
        <v>5</v>
      </c>
      <c r="J759" s="21">
        <v>48283</v>
      </c>
      <c r="K759" s="21">
        <v>241415</v>
      </c>
      <c r="L759" s="21">
        <v>0</v>
      </c>
      <c r="M759" s="15">
        <v>0</v>
      </c>
      <c r="N759" s="21">
        <f t="shared" si="22"/>
        <v>241415</v>
      </c>
      <c r="O759" s="21">
        <v>121165.34</v>
      </c>
      <c r="P759" s="21">
        <f t="shared" si="23"/>
        <v>120249.66</v>
      </c>
      <c r="Q759" s="19" t="s">
        <v>26</v>
      </c>
      <c r="R759" s="19">
        <v>2026</v>
      </c>
      <c r="S759" s="19">
        <v>1</v>
      </c>
    </row>
    <row r="760" spans="1:19" x14ac:dyDescent="0.3">
      <c r="A760" t="s">
        <v>818</v>
      </c>
      <c r="B760" s="2">
        <v>46023</v>
      </c>
      <c r="C760" t="s">
        <v>33</v>
      </c>
      <c r="D760" t="s">
        <v>34</v>
      </c>
      <c r="E760" t="s">
        <v>42</v>
      </c>
      <c r="F760" t="s">
        <v>35</v>
      </c>
      <c r="G760" t="s">
        <v>31</v>
      </c>
      <c r="H760" t="s">
        <v>25</v>
      </c>
      <c r="I760">
        <v>5</v>
      </c>
      <c r="J760" s="5">
        <v>43436</v>
      </c>
      <c r="K760" s="5">
        <v>217180</v>
      </c>
      <c r="L760" s="5">
        <v>0</v>
      </c>
      <c r="M760" s="12">
        <v>0</v>
      </c>
      <c r="N760" s="5">
        <f t="shared" si="22"/>
        <v>217180</v>
      </c>
      <c r="O760" s="5">
        <v>133232.63</v>
      </c>
      <c r="P760" s="5">
        <f t="shared" si="23"/>
        <v>83947.37</v>
      </c>
      <c r="Q760" t="s">
        <v>26</v>
      </c>
      <c r="R760">
        <v>2026</v>
      </c>
      <c r="S760">
        <v>1</v>
      </c>
    </row>
    <row r="761" spans="1:19" x14ac:dyDescent="0.3">
      <c r="A761" s="19" t="s">
        <v>819</v>
      </c>
      <c r="B761" s="20">
        <v>46024</v>
      </c>
      <c r="C761" s="19" t="s">
        <v>48</v>
      </c>
      <c r="D761" s="19" t="s">
        <v>34</v>
      </c>
      <c r="E761" s="19" t="s">
        <v>42</v>
      </c>
      <c r="F761" s="19" t="s">
        <v>37</v>
      </c>
      <c r="G761" s="19" t="s">
        <v>24</v>
      </c>
      <c r="H761" s="19" t="s">
        <v>25</v>
      </c>
      <c r="I761" s="19">
        <v>5</v>
      </c>
      <c r="J761" s="21">
        <v>23038</v>
      </c>
      <c r="K761" s="21">
        <v>115190</v>
      </c>
      <c r="L761" s="21">
        <v>0</v>
      </c>
      <c r="M761" s="15">
        <v>0</v>
      </c>
      <c r="N761" s="21">
        <f t="shared" si="22"/>
        <v>115190</v>
      </c>
      <c r="O761" s="21">
        <v>63950.09</v>
      </c>
      <c r="P761" s="21">
        <f t="shared" si="23"/>
        <v>51239.91</v>
      </c>
      <c r="Q761" s="19" t="s">
        <v>26</v>
      </c>
      <c r="R761" s="19">
        <v>2026</v>
      </c>
      <c r="S761" s="19">
        <v>1</v>
      </c>
    </row>
    <row r="762" spans="1:19" x14ac:dyDescent="0.3">
      <c r="A762" t="s">
        <v>820</v>
      </c>
      <c r="B762" s="2">
        <v>46026</v>
      </c>
      <c r="C762" t="s">
        <v>82</v>
      </c>
      <c r="D762" t="s">
        <v>21</v>
      </c>
      <c r="E762" t="s">
        <v>42</v>
      </c>
      <c r="F762" t="s">
        <v>40</v>
      </c>
      <c r="G762" t="s">
        <v>31</v>
      </c>
      <c r="H762" t="s">
        <v>25</v>
      </c>
      <c r="I762">
        <v>2</v>
      </c>
      <c r="J762" s="5">
        <v>47972</v>
      </c>
      <c r="K762" s="5">
        <v>95944</v>
      </c>
      <c r="L762" s="5">
        <v>9594.4</v>
      </c>
      <c r="M762" s="12">
        <v>0.1</v>
      </c>
      <c r="N762" s="5">
        <f t="shared" si="22"/>
        <v>86349.6</v>
      </c>
      <c r="O762" s="5">
        <v>56538.02</v>
      </c>
      <c r="P762" s="5">
        <f t="shared" si="23"/>
        <v>29811.580000000009</v>
      </c>
      <c r="Q762" t="s">
        <v>26</v>
      </c>
      <c r="R762">
        <v>2026</v>
      </c>
      <c r="S762">
        <v>1</v>
      </c>
    </row>
    <row r="763" spans="1:19" x14ac:dyDescent="0.3">
      <c r="A763" s="19" t="s">
        <v>821</v>
      </c>
      <c r="B763" s="20">
        <v>46026</v>
      </c>
      <c r="C763" s="19" t="s">
        <v>46</v>
      </c>
      <c r="D763" s="19" t="s">
        <v>21</v>
      </c>
      <c r="E763" s="19" t="s">
        <v>44</v>
      </c>
      <c r="F763" s="19" t="s">
        <v>30</v>
      </c>
      <c r="G763" s="19" t="s">
        <v>31</v>
      </c>
      <c r="H763" s="19" t="s">
        <v>25</v>
      </c>
      <c r="I763" s="19">
        <v>1</v>
      </c>
      <c r="J763" s="21">
        <v>11556</v>
      </c>
      <c r="K763" s="21">
        <v>11556</v>
      </c>
      <c r="L763" s="21">
        <v>0</v>
      </c>
      <c r="M763" s="15">
        <v>0</v>
      </c>
      <c r="N763" s="21">
        <f t="shared" si="22"/>
        <v>11556</v>
      </c>
      <c r="O763" s="21">
        <v>6949.45</v>
      </c>
      <c r="P763" s="21">
        <f t="shared" si="23"/>
        <v>4606.55</v>
      </c>
      <c r="Q763" s="19" t="s">
        <v>26</v>
      </c>
      <c r="R763" s="19">
        <v>2026</v>
      </c>
      <c r="S763" s="19">
        <v>1</v>
      </c>
    </row>
    <row r="764" spans="1:19" x14ac:dyDescent="0.3">
      <c r="A764" t="s">
        <v>822</v>
      </c>
      <c r="B764" s="2">
        <v>46027</v>
      </c>
      <c r="C764" t="s">
        <v>46</v>
      </c>
      <c r="D764" t="s">
        <v>21</v>
      </c>
      <c r="E764" t="s">
        <v>42</v>
      </c>
      <c r="F764" t="s">
        <v>23</v>
      </c>
      <c r="G764" t="s">
        <v>31</v>
      </c>
      <c r="H764" t="s">
        <v>25</v>
      </c>
      <c r="I764">
        <v>1</v>
      </c>
      <c r="J764" s="5">
        <v>11431</v>
      </c>
      <c r="K764" s="5">
        <v>11431</v>
      </c>
      <c r="L764" s="5">
        <v>0</v>
      </c>
      <c r="M764" s="12">
        <v>0</v>
      </c>
      <c r="N764" s="5">
        <f t="shared" si="22"/>
        <v>11431</v>
      </c>
      <c r="O764" s="5">
        <v>5698.42</v>
      </c>
      <c r="P764" s="5">
        <f t="shared" si="23"/>
        <v>5732.58</v>
      </c>
      <c r="Q764" t="s">
        <v>26</v>
      </c>
      <c r="R764">
        <v>2026</v>
      </c>
      <c r="S764">
        <v>1</v>
      </c>
    </row>
    <row r="765" spans="1:19" x14ac:dyDescent="0.3">
      <c r="A765" s="19" t="s">
        <v>823</v>
      </c>
      <c r="B765" s="20">
        <v>46027</v>
      </c>
      <c r="C765" s="19" t="s">
        <v>28</v>
      </c>
      <c r="D765" s="19" t="s">
        <v>29</v>
      </c>
      <c r="E765" s="19" t="s">
        <v>44</v>
      </c>
      <c r="F765" s="19" t="s">
        <v>23</v>
      </c>
      <c r="G765" s="19" t="s">
        <v>24</v>
      </c>
      <c r="H765" s="19" t="s">
        <v>25</v>
      </c>
      <c r="I765" s="19">
        <v>4</v>
      </c>
      <c r="J765" s="21">
        <v>66522</v>
      </c>
      <c r="K765" s="21">
        <v>266088</v>
      </c>
      <c r="L765" s="21">
        <v>0</v>
      </c>
      <c r="M765" s="15">
        <v>0</v>
      </c>
      <c r="N765" s="21">
        <f t="shared" si="22"/>
        <v>266088</v>
      </c>
      <c r="O765" s="21">
        <v>130447.32</v>
      </c>
      <c r="P765" s="21">
        <f t="shared" si="23"/>
        <v>135640.68</v>
      </c>
      <c r="Q765" s="19" t="s">
        <v>26</v>
      </c>
      <c r="R765" s="19">
        <v>2026</v>
      </c>
      <c r="S765" s="19">
        <v>1</v>
      </c>
    </row>
    <row r="766" spans="1:19" x14ac:dyDescent="0.3">
      <c r="A766" t="s">
        <v>824</v>
      </c>
      <c r="B766" s="2">
        <v>46029</v>
      </c>
      <c r="C766" t="s">
        <v>28</v>
      </c>
      <c r="D766" t="s">
        <v>29</v>
      </c>
      <c r="E766" t="s">
        <v>56</v>
      </c>
      <c r="F766" t="s">
        <v>40</v>
      </c>
      <c r="G766" t="s">
        <v>31</v>
      </c>
      <c r="H766" t="s">
        <v>25</v>
      </c>
      <c r="I766">
        <v>5</v>
      </c>
      <c r="J766" s="5">
        <v>69881</v>
      </c>
      <c r="K766" s="5">
        <v>349405</v>
      </c>
      <c r="L766" s="5">
        <v>0</v>
      </c>
      <c r="M766" s="12">
        <v>0</v>
      </c>
      <c r="N766" s="5">
        <f t="shared" si="22"/>
        <v>349405</v>
      </c>
      <c r="O766" s="5">
        <v>208760.18</v>
      </c>
      <c r="P766" s="5">
        <f t="shared" si="23"/>
        <v>140644.82</v>
      </c>
      <c r="Q766" t="s">
        <v>26</v>
      </c>
      <c r="R766">
        <v>2026</v>
      </c>
      <c r="S766">
        <v>1</v>
      </c>
    </row>
    <row r="767" spans="1:19" x14ac:dyDescent="0.3">
      <c r="A767" s="19" t="s">
        <v>825</v>
      </c>
      <c r="B767" s="20">
        <v>46029</v>
      </c>
      <c r="C767" s="19" t="s">
        <v>64</v>
      </c>
      <c r="D767" s="19" t="s">
        <v>29</v>
      </c>
      <c r="E767" s="19" t="s">
        <v>22</v>
      </c>
      <c r="F767" s="19" t="s">
        <v>37</v>
      </c>
      <c r="G767" s="19" t="s">
        <v>24</v>
      </c>
      <c r="H767" s="19" t="s">
        <v>25</v>
      </c>
      <c r="I767" s="19">
        <v>1</v>
      </c>
      <c r="J767" s="21">
        <v>29084</v>
      </c>
      <c r="K767" s="21">
        <v>29084</v>
      </c>
      <c r="L767" s="21">
        <v>0</v>
      </c>
      <c r="M767" s="15">
        <v>0</v>
      </c>
      <c r="N767" s="21">
        <f t="shared" si="22"/>
        <v>29084</v>
      </c>
      <c r="O767" s="21">
        <v>14054.11</v>
      </c>
      <c r="P767" s="21">
        <f t="shared" si="23"/>
        <v>15029.89</v>
      </c>
      <c r="Q767" s="19" t="s">
        <v>26</v>
      </c>
      <c r="R767" s="19">
        <v>2026</v>
      </c>
      <c r="S767" s="19">
        <v>1</v>
      </c>
    </row>
    <row r="768" spans="1:19" x14ac:dyDescent="0.3">
      <c r="A768" t="s">
        <v>826</v>
      </c>
      <c r="B768" s="2">
        <v>46030</v>
      </c>
      <c r="C768" t="s">
        <v>75</v>
      </c>
      <c r="D768" t="s">
        <v>34</v>
      </c>
      <c r="E768" t="s">
        <v>42</v>
      </c>
      <c r="F768" t="s">
        <v>37</v>
      </c>
      <c r="G768" t="s">
        <v>24</v>
      </c>
      <c r="H768" t="s">
        <v>25</v>
      </c>
      <c r="I768">
        <v>3</v>
      </c>
      <c r="J768" s="5">
        <v>37013</v>
      </c>
      <c r="K768" s="5">
        <v>111039</v>
      </c>
      <c r="L768" s="5">
        <v>0</v>
      </c>
      <c r="M768" s="12">
        <v>0</v>
      </c>
      <c r="N768" s="5">
        <f t="shared" si="22"/>
        <v>111039</v>
      </c>
      <c r="O768" s="5">
        <v>69918.17</v>
      </c>
      <c r="P768" s="5">
        <f t="shared" si="23"/>
        <v>41120.83</v>
      </c>
      <c r="Q768" t="s">
        <v>26</v>
      </c>
      <c r="R768">
        <v>2026</v>
      </c>
      <c r="S768">
        <v>1</v>
      </c>
    </row>
    <row r="769" spans="1:19" x14ac:dyDescent="0.3">
      <c r="A769" s="19" t="s">
        <v>827</v>
      </c>
      <c r="B769" s="20">
        <v>46030</v>
      </c>
      <c r="C769" s="19" t="s">
        <v>48</v>
      </c>
      <c r="D769" s="19" t="s">
        <v>34</v>
      </c>
      <c r="E769" s="19" t="s">
        <v>44</v>
      </c>
      <c r="F769" s="19" t="s">
        <v>40</v>
      </c>
      <c r="G769" s="19" t="s">
        <v>24</v>
      </c>
      <c r="H769" s="19" t="s">
        <v>25</v>
      </c>
      <c r="I769" s="19">
        <v>2</v>
      </c>
      <c r="J769" s="21">
        <v>25215</v>
      </c>
      <c r="K769" s="21">
        <v>50430</v>
      </c>
      <c r="L769" s="21">
        <v>0</v>
      </c>
      <c r="M769" s="15">
        <v>0</v>
      </c>
      <c r="N769" s="21">
        <f t="shared" si="22"/>
        <v>50430</v>
      </c>
      <c r="O769" s="21">
        <v>26177.79</v>
      </c>
      <c r="P769" s="21">
        <f t="shared" si="23"/>
        <v>24252.21</v>
      </c>
      <c r="Q769" s="19" t="s">
        <v>26</v>
      </c>
      <c r="R769" s="19">
        <v>2026</v>
      </c>
      <c r="S769" s="19">
        <v>1</v>
      </c>
    </row>
    <row r="770" spans="1:19" x14ac:dyDescent="0.3">
      <c r="A770" t="s">
        <v>828</v>
      </c>
      <c r="B770" s="2">
        <v>46030</v>
      </c>
      <c r="C770" t="s">
        <v>50</v>
      </c>
      <c r="D770" t="s">
        <v>34</v>
      </c>
      <c r="E770" t="s">
        <v>44</v>
      </c>
      <c r="F770" t="s">
        <v>23</v>
      </c>
      <c r="G770" t="s">
        <v>31</v>
      </c>
      <c r="H770" t="s">
        <v>25</v>
      </c>
      <c r="I770">
        <v>3</v>
      </c>
      <c r="J770" s="5">
        <v>16848</v>
      </c>
      <c r="K770" s="5">
        <v>50544</v>
      </c>
      <c r="L770" s="5">
        <v>0</v>
      </c>
      <c r="M770" s="12">
        <v>0</v>
      </c>
      <c r="N770" s="5">
        <f t="shared" si="22"/>
        <v>50544</v>
      </c>
      <c r="O770" s="5">
        <v>28334.69</v>
      </c>
      <c r="P770" s="5">
        <f t="shared" si="23"/>
        <v>22209.31</v>
      </c>
      <c r="Q770" t="s">
        <v>26</v>
      </c>
      <c r="R770">
        <v>2026</v>
      </c>
      <c r="S770">
        <v>1</v>
      </c>
    </row>
    <row r="771" spans="1:19" x14ac:dyDescent="0.3">
      <c r="A771" s="19" t="s">
        <v>829</v>
      </c>
      <c r="B771" s="20">
        <v>46031</v>
      </c>
      <c r="C771" s="19" t="s">
        <v>71</v>
      </c>
      <c r="D771" s="19" t="s">
        <v>34</v>
      </c>
      <c r="E771" s="19" t="s">
        <v>44</v>
      </c>
      <c r="F771" s="19" t="s">
        <v>40</v>
      </c>
      <c r="G771" s="19" t="s">
        <v>31</v>
      </c>
      <c r="H771" s="19" t="s">
        <v>25</v>
      </c>
      <c r="I771" s="19">
        <v>3</v>
      </c>
      <c r="J771" s="21">
        <v>48150</v>
      </c>
      <c r="K771" s="21">
        <v>144450</v>
      </c>
      <c r="L771" s="21">
        <v>0</v>
      </c>
      <c r="M771" s="15">
        <v>0</v>
      </c>
      <c r="N771" s="21">
        <f t="shared" ref="N771:N834" si="24">K771-L771</f>
        <v>144450</v>
      </c>
      <c r="O771" s="21">
        <v>94127.63</v>
      </c>
      <c r="P771" s="21">
        <f t="shared" si="23"/>
        <v>50322.369999999995</v>
      </c>
      <c r="Q771" s="19" t="s">
        <v>26</v>
      </c>
      <c r="R771" s="19">
        <v>2026</v>
      </c>
      <c r="S771" s="19">
        <v>1</v>
      </c>
    </row>
    <row r="772" spans="1:19" x14ac:dyDescent="0.3">
      <c r="A772" t="s">
        <v>830</v>
      </c>
      <c r="B772" s="2">
        <v>46032</v>
      </c>
      <c r="C772" t="s">
        <v>46</v>
      </c>
      <c r="D772" t="s">
        <v>21</v>
      </c>
      <c r="E772" t="s">
        <v>56</v>
      </c>
      <c r="F772" t="s">
        <v>37</v>
      </c>
      <c r="G772" t="s">
        <v>31</v>
      </c>
      <c r="H772" t="s">
        <v>25</v>
      </c>
      <c r="I772">
        <v>1</v>
      </c>
      <c r="J772" s="5">
        <v>12915</v>
      </c>
      <c r="K772" s="5">
        <v>12915</v>
      </c>
      <c r="L772" s="5">
        <v>0</v>
      </c>
      <c r="M772" s="12">
        <v>0</v>
      </c>
      <c r="N772" s="5">
        <f t="shared" si="24"/>
        <v>12915</v>
      </c>
      <c r="O772" s="5">
        <v>6425.6</v>
      </c>
      <c r="P772" s="5">
        <f t="shared" ref="P772:P835" si="25">N772-O772</f>
        <v>6489.4</v>
      </c>
      <c r="Q772" t="s">
        <v>26</v>
      </c>
      <c r="R772">
        <v>2026</v>
      </c>
      <c r="S772">
        <v>1</v>
      </c>
    </row>
    <row r="773" spans="1:19" x14ac:dyDescent="0.3">
      <c r="A773" s="19" t="s">
        <v>831</v>
      </c>
      <c r="B773" s="20">
        <v>46034</v>
      </c>
      <c r="C773" s="19" t="s">
        <v>82</v>
      </c>
      <c r="D773" s="19" t="s">
        <v>21</v>
      </c>
      <c r="E773" s="19" t="s">
        <v>42</v>
      </c>
      <c r="F773" s="19" t="s">
        <v>35</v>
      </c>
      <c r="G773" s="19" t="s">
        <v>24</v>
      </c>
      <c r="H773" s="19" t="s">
        <v>25</v>
      </c>
      <c r="I773" s="19">
        <v>3</v>
      </c>
      <c r="J773" s="21">
        <v>47444</v>
      </c>
      <c r="K773" s="21">
        <v>142332</v>
      </c>
      <c r="L773" s="21">
        <v>0</v>
      </c>
      <c r="M773" s="15">
        <v>0</v>
      </c>
      <c r="N773" s="21">
        <f t="shared" si="24"/>
        <v>142332</v>
      </c>
      <c r="O773" s="21">
        <v>86006.8</v>
      </c>
      <c r="P773" s="21">
        <f t="shared" si="25"/>
        <v>56325.2</v>
      </c>
      <c r="Q773" s="19" t="s">
        <v>26</v>
      </c>
      <c r="R773" s="19">
        <v>2026</v>
      </c>
      <c r="S773" s="19">
        <v>1</v>
      </c>
    </row>
    <row r="774" spans="1:19" x14ac:dyDescent="0.3">
      <c r="A774" t="s">
        <v>832</v>
      </c>
      <c r="B774" s="2">
        <v>46035</v>
      </c>
      <c r="C774" t="s">
        <v>64</v>
      </c>
      <c r="D774" t="s">
        <v>29</v>
      </c>
      <c r="E774" t="s">
        <v>22</v>
      </c>
      <c r="F774" t="s">
        <v>37</v>
      </c>
      <c r="G774" t="s">
        <v>24</v>
      </c>
      <c r="H774" t="s">
        <v>25</v>
      </c>
      <c r="I774">
        <v>2</v>
      </c>
      <c r="J774" s="5">
        <v>28999</v>
      </c>
      <c r="K774" s="5">
        <v>57998</v>
      </c>
      <c r="L774" s="5">
        <v>0</v>
      </c>
      <c r="M774" s="12">
        <v>0</v>
      </c>
      <c r="N774" s="5">
        <f t="shared" si="24"/>
        <v>57998</v>
      </c>
      <c r="O774" s="5">
        <v>37760.35</v>
      </c>
      <c r="P774" s="5">
        <f t="shared" si="25"/>
        <v>20237.650000000001</v>
      </c>
      <c r="Q774" t="s">
        <v>26</v>
      </c>
      <c r="R774">
        <v>2026</v>
      </c>
      <c r="S774">
        <v>1</v>
      </c>
    </row>
    <row r="775" spans="1:19" x14ac:dyDescent="0.3">
      <c r="A775" s="19" t="s">
        <v>833</v>
      </c>
      <c r="B775" s="20">
        <v>46037</v>
      </c>
      <c r="C775" s="19" t="s">
        <v>28</v>
      </c>
      <c r="D775" s="19" t="s">
        <v>29</v>
      </c>
      <c r="E775" s="19" t="s">
        <v>22</v>
      </c>
      <c r="F775" s="19" t="s">
        <v>35</v>
      </c>
      <c r="G775" s="19" t="s">
        <v>24</v>
      </c>
      <c r="H775" s="19" t="s">
        <v>25</v>
      </c>
      <c r="I775" s="19">
        <v>1</v>
      </c>
      <c r="J775" s="21">
        <v>65130</v>
      </c>
      <c r="K775" s="21">
        <v>65130</v>
      </c>
      <c r="L775" s="21">
        <v>0</v>
      </c>
      <c r="M775" s="15">
        <v>0</v>
      </c>
      <c r="N775" s="21">
        <f t="shared" si="24"/>
        <v>65130</v>
      </c>
      <c r="O775" s="21">
        <v>42471.42</v>
      </c>
      <c r="P775" s="21">
        <f t="shared" si="25"/>
        <v>22658.58</v>
      </c>
      <c r="Q775" s="19" t="s">
        <v>26</v>
      </c>
      <c r="R775" s="19">
        <v>2026</v>
      </c>
      <c r="S775" s="19">
        <v>1</v>
      </c>
    </row>
    <row r="776" spans="1:19" x14ac:dyDescent="0.3">
      <c r="A776" t="s">
        <v>834</v>
      </c>
      <c r="B776" s="2">
        <v>46039</v>
      </c>
      <c r="C776" t="s">
        <v>33</v>
      </c>
      <c r="D776" t="s">
        <v>34</v>
      </c>
      <c r="E776" t="s">
        <v>44</v>
      </c>
      <c r="F776" t="s">
        <v>30</v>
      </c>
      <c r="G776" t="s">
        <v>31</v>
      </c>
      <c r="H776" t="s">
        <v>25</v>
      </c>
      <c r="I776">
        <v>3</v>
      </c>
      <c r="J776" s="5">
        <v>42972</v>
      </c>
      <c r="K776" s="5">
        <v>128916</v>
      </c>
      <c r="L776" s="5">
        <v>12891.6</v>
      </c>
      <c r="M776" s="12">
        <v>0.1</v>
      </c>
      <c r="N776" s="5">
        <f t="shared" si="24"/>
        <v>116024.4</v>
      </c>
      <c r="O776" s="5">
        <v>63147.199999999997</v>
      </c>
      <c r="P776" s="5">
        <f t="shared" si="25"/>
        <v>52877.2</v>
      </c>
      <c r="Q776" t="s">
        <v>26</v>
      </c>
      <c r="R776">
        <v>2026</v>
      </c>
      <c r="S776">
        <v>1</v>
      </c>
    </row>
    <row r="777" spans="1:19" x14ac:dyDescent="0.3">
      <c r="A777" s="19" t="s">
        <v>835</v>
      </c>
      <c r="B777" s="20">
        <v>46039</v>
      </c>
      <c r="C777" s="19" t="s">
        <v>75</v>
      </c>
      <c r="D777" s="19" t="s">
        <v>34</v>
      </c>
      <c r="E777" s="19" t="s">
        <v>56</v>
      </c>
      <c r="F777" s="19" t="s">
        <v>23</v>
      </c>
      <c r="G777" s="19" t="s">
        <v>31</v>
      </c>
      <c r="H777" s="19" t="s">
        <v>25</v>
      </c>
      <c r="I777" s="19">
        <v>4</v>
      </c>
      <c r="J777" s="21">
        <v>39929</v>
      </c>
      <c r="K777" s="21">
        <v>159716</v>
      </c>
      <c r="L777" s="21">
        <v>0</v>
      </c>
      <c r="M777" s="15">
        <v>0</v>
      </c>
      <c r="N777" s="21">
        <f t="shared" si="24"/>
        <v>159716</v>
      </c>
      <c r="O777" s="21">
        <v>97221.61</v>
      </c>
      <c r="P777" s="21">
        <f t="shared" si="25"/>
        <v>62494.39</v>
      </c>
      <c r="Q777" s="19" t="s">
        <v>26</v>
      </c>
      <c r="R777" s="19">
        <v>2026</v>
      </c>
      <c r="S777" s="19">
        <v>1</v>
      </c>
    </row>
    <row r="778" spans="1:19" x14ac:dyDescent="0.3">
      <c r="A778" t="s">
        <v>836</v>
      </c>
      <c r="B778" s="2">
        <v>46039</v>
      </c>
      <c r="C778" t="s">
        <v>75</v>
      </c>
      <c r="D778" t="s">
        <v>34</v>
      </c>
      <c r="E778" t="s">
        <v>22</v>
      </c>
      <c r="F778" t="s">
        <v>35</v>
      </c>
      <c r="G778" t="s">
        <v>24</v>
      </c>
      <c r="H778" t="s">
        <v>25</v>
      </c>
      <c r="I778">
        <v>4</v>
      </c>
      <c r="J778" s="5">
        <v>35474</v>
      </c>
      <c r="K778" s="5">
        <v>141896</v>
      </c>
      <c r="L778" s="5">
        <v>0</v>
      </c>
      <c r="M778" s="12">
        <v>0</v>
      </c>
      <c r="N778" s="5">
        <f t="shared" si="24"/>
        <v>141896</v>
      </c>
      <c r="O778" s="5">
        <v>82790.259999999995</v>
      </c>
      <c r="P778" s="5">
        <f t="shared" si="25"/>
        <v>59105.740000000005</v>
      </c>
      <c r="Q778" t="s">
        <v>26</v>
      </c>
      <c r="R778">
        <v>2026</v>
      </c>
      <c r="S778">
        <v>1</v>
      </c>
    </row>
    <row r="779" spans="1:19" x14ac:dyDescent="0.3">
      <c r="A779" s="19" t="s">
        <v>837</v>
      </c>
      <c r="B779" s="20">
        <v>46040</v>
      </c>
      <c r="C779" s="19" t="s">
        <v>71</v>
      </c>
      <c r="D779" s="19" t="s">
        <v>34</v>
      </c>
      <c r="E779" s="19" t="s">
        <v>42</v>
      </c>
      <c r="F779" s="19" t="s">
        <v>40</v>
      </c>
      <c r="G779" s="19" t="s">
        <v>24</v>
      </c>
      <c r="H779" s="19" t="s">
        <v>25</v>
      </c>
      <c r="I779" s="19">
        <v>2</v>
      </c>
      <c r="J779" s="21">
        <v>51116</v>
      </c>
      <c r="K779" s="21">
        <v>102232</v>
      </c>
      <c r="L779" s="21">
        <v>0</v>
      </c>
      <c r="M779" s="15">
        <v>0</v>
      </c>
      <c r="N779" s="21">
        <f t="shared" si="24"/>
        <v>102232</v>
      </c>
      <c r="O779" s="21">
        <v>51764.02</v>
      </c>
      <c r="P779" s="21">
        <f t="shared" si="25"/>
        <v>50467.98</v>
      </c>
      <c r="Q779" s="19" t="s">
        <v>26</v>
      </c>
      <c r="R779" s="19">
        <v>2026</v>
      </c>
      <c r="S779" s="19">
        <v>1</v>
      </c>
    </row>
    <row r="780" spans="1:19" x14ac:dyDescent="0.3">
      <c r="A780" t="s">
        <v>838</v>
      </c>
      <c r="B780" s="2">
        <v>46041</v>
      </c>
      <c r="C780" t="s">
        <v>82</v>
      </c>
      <c r="D780" t="s">
        <v>21</v>
      </c>
      <c r="E780" t="s">
        <v>42</v>
      </c>
      <c r="F780" t="s">
        <v>37</v>
      </c>
      <c r="G780" t="s">
        <v>31</v>
      </c>
      <c r="H780" t="s">
        <v>25</v>
      </c>
      <c r="I780">
        <v>1</v>
      </c>
      <c r="J780" s="5">
        <v>45837</v>
      </c>
      <c r="K780" s="5">
        <v>45837</v>
      </c>
      <c r="L780" s="5">
        <v>0</v>
      </c>
      <c r="M780" s="12">
        <v>0</v>
      </c>
      <c r="N780" s="5">
        <f t="shared" si="24"/>
        <v>45837</v>
      </c>
      <c r="O780" s="5">
        <v>25813.34</v>
      </c>
      <c r="P780" s="5">
        <f t="shared" si="25"/>
        <v>20023.66</v>
      </c>
      <c r="Q780" t="s">
        <v>26</v>
      </c>
      <c r="R780">
        <v>2026</v>
      </c>
      <c r="S780">
        <v>1</v>
      </c>
    </row>
    <row r="781" spans="1:19" x14ac:dyDescent="0.3">
      <c r="A781" s="19" t="s">
        <v>839</v>
      </c>
      <c r="B781" s="20">
        <v>46041</v>
      </c>
      <c r="C781" s="19" t="s">
        <v>33</v>
      </c>
      <c r="D781" s="19" t="s">
        <v>34</v>
      </c>
      <c r="E781" s="19" t="s">
        <v>22</v>
      </c>
      <c r="F781" s="19" t="s">
        <v>37</v>
      </c>
      <c r="G781" s="19" t="s">
        <v>24</v>
      </c>
      <c r="H781" s="19" t="s">
        <v>25</v>
      </c>
      <c r="I781" s="19">
        <v>2</v>
      </c>
      <c r="J781" s="21">
        <v>42667</v>
      </c>
      <c r="K781" s="21">
        <v>85334</v>
      </c>
      <c r="L781" s="21">
        <v>0</v>
      </c>
      <c r="M781" s="15">
        <v>0</v>
      </c>
      <c r="N781" s="21">
        <f t="shared" si="24"/>
        <v>85334</v>
      </c>
      <c r="O781" s="21">
        <v>42826.68</v>
      </c>
      <c r="P781" s="21">
        <f t="shared" si="25"/>
        <v>42507.32</v>
      </c>
      <c r="Q781" s="19" t="s">
        <v>26</v>
      </c>
      <c r="R781" s="19">
        <v>2026</v>
      </c>
      <c r="S781" s="19">
        <v>1</v>
      </c>
    </row>
    <row r="782" spans="1:19" x14ac:dyDescent="0.3">
      <c r="A782" t="s">
        <v>840</v>
      </c>
      <c r="B782" s="2">
        <v>46042</v>
      </c>
      <c r="C782" t="s">
        <v>20</v>
      </c>
      <c r="D782" t="s">
        <v>21</v>
      </c>
      <c r="E782" t="s">
        <v>56</v>
      </c>
      <c r="F782" t="s">
        <v>40</v>
      </c>
      <c r="G782" t="s">
        <v>24</v>
      </c>
      <c r="H782" t="s">
        <v>25</v>
      </c>
      <c r="I782">
        <v>2</v>
      </c>
      <c r="J782" s="5">
        <v>15343</v>
      </c>
      <c r="K782" s="5">
        <v>30686</v>
      </c>
      <c r="L782" s="5">
        <v>3068.6</v>
      </c>
      <c r="M782" s="12">
        <v>0.1</v>
      </c>
      <c r="N782" s="5">
        <f t="shared" si="24"/>
        <v>27617.4</v>
      </c>
      <c r="O782" s="5">
        <v>20688.36</v>
      </c>
      <c r="P782" s="5">
        <f t="shared" si="25"/>
        <v>6929.0400000000009</v>
      </c>
      <c r="Q782" t="s">
        <v>26</v>
      </c>
      <c r="R782">
        <v>2026</v>
      </c>
      <c r="S782">
        <v>1</v>
      </c>
    </row>
    <row r="783" spans="1:19" x14ac:dyDescent="0.3">
      <c r="A783" s="19" t="s">
        <v>841</v>
      </c>
      <c r="B783" s="20">
        <v>46042</v>
      </c>
      <c r="C783" s="19" t="s">
        <v>75</v>
      </c>
      <c r="D783" s="19" t="s">
        <v>34</v>
      </c>
      <c r="E783" s="19" t="s">
        <v>22</v>
      </c>
      <c r="F783" s="19" t="s">
        <v>37</v>
      </c>
      <c r="G783" s="19" t="s">
        <v>31</v>
      </c>
      <c r="H783" s="19" t="s">
        <v>25</v>
      </c>
      <c r="I783" s="19">
        <v>3</v>
      </c>
      <c r="J783" s="21">
        <v>38665</v>
      </c>
      <c r="K783" s="21">
        <v>115995</v>
      </c>
      <c r="L783" s="21">
        <v>11599.5</v>
      </c>
      <c r="M783" s="15">
        <v>0.1</v>
      </c>
      <c r="N783" s="21">
        <f t="shared" si="24"/>
        <v>104395.5</v>
      </c>
      <c r="O783" s="21">
        <v>74051.05</v>
      </c>
      <c r="P783" s="21">
        <f t="shared" si="25"/>
        <v>30344.449999999997</v>
      </c>
      <c r="Q783" s="19" t="s">
        <v>26</v>
      </c>
      <c r="R783" s="19">
        <v>2026</v>
      </c>
      <c r="S783" s="19">
        <v>1</v>
      </c>
    </row>
    <row r="784" spans="1:19" x14ac:dyDescent="0.3">
      <c r="A784" t="s">
        <v>842</v>
      </c>
      <c r="B784" s="2">
        <v>46043</v>
      </c>
      <c r="C784" t="s">
        <v>20</v>
      </c>
      <c r="D784" t="s">
        <v>21</v>
      </c>
      <c r="E784" t="s">
        <v>44</v>
      </c>
      <c r="F784" t="s">
        <v>40</v>
      </c>
      <c r="G784" t="s">
        <v>24</v>
      </c>
      <c r="H784" t="s">
        <v>25</v>
      </c>
      <c r="I784">
        <v>5</v>
      </c>
      <c r="J784" s="5">
        <v>14278</v>
      </c>
      <c r="K784" s="5">
        <v>71390</v>
      </c>
      <c r="L784" s="5">
        <v>7139</v>
      </c>
      <c r="M784" s="12">
        <v>0.1</v>
      </c>
      <c r="N784" s="5">
        <f t="shared" si="24"/>
        <v>64251</v>
      </c>
      <c r="O784" s="5">
        <v>38370.83</v>
      </c>
      <c r="P784" s="5">
        <f t="shared" si="25"/>
        <v>25880.17</v>
      </c>
      <c r="Q784" t="s">
        <v>26</v>
      </c>
      <c r="R784">
        <v>2026</v>
      </c>
      <c r="S784">
        <v>1</v>
      </c>
    </row>
    <row r="785" spans="1:19" x14ac:dyDescent="0.3">
      <c r="A785" s="19" t="s">
        <v>843</v>
      </c>
      <c r="B785" s="20">
        <v>46043</v>
      </c>
      <c r="C785" s="19" t="s">
        <v>46</v>
      </c>
      <c r="D785" s="19" t="s">
        <v>21</v>
      </c>
      <c r="E785" s="19" t="s">
        <v>22</v>
      </c>
      <c r="F785" s="19" t="s">
        <v>23</v>
      </c>
      <c r="G785" s="19" t="s">
        <v>31</v>
      </c>
      <c r="H785" s="19" t="s">
        <v>25</v>
      </c>
      <c r="I785" s="19">
        <v>1</v>
      </c>
      <c r="J785" s="21">
        <v>11370</v>
      </c>
      <c r="K785" s="21">
        <v>11370</v>
      </c>
      <c r="L785" s="21">
        <v>0</v>
      </c>
      <c r="M785" s="15">
        <v>0</v>
      </c>
      <c r="N785" s="21">
        <f t="shared" si="24"/>
        <v>11370</v>
      </c>
      <c r="O785" s="21">
        <v>6851.83</v>
      </c>
      <c r="P785" s="21">
        <f t="shared" si="25"/>
        <v>4518.17</v>
      </c>
      <c r="Q785" s="19" t="s">
        <v>26</v>
      </c>
      <c r="R785" s="19">
        <v>2026</v>
      </c>
      <c r="S785" s="19">
        <v>1</v>
      </c>
    </row>
    <row r="786" spans="1:19" x14ac:dyDescent="0.3">
      <c r="A786" t="s">
        <v>844</v>
      </c>
      <c r="B786" s="2">
        <v>46044</v>
      </c>
      <c r="C786" t="s">
        <v>48</v>
      </c>
      <c r="D786" t="s">
        <v>34</v>
      </c>
      <c r="E786" t="s">
        <v>44</v>
      </c>
      <c r="F786" t="s">
        <v>23</v>
      </c>
      <c r="G786" t="s">
        <v>31</v>
      </c>
      <c r="H786" t="s">
        <v>25</v>
      </c>
      <c r="I786">
        <v>3</v>
      </c>
      <c r="J786" s="5">
        <v>24188</v>
      </c>
      <c r="K786" s="5">
        <v>72564</v>
      </c>
      <c r="L786" s="5">
        <v>0</v>
      </c>
      <c r="M786" s="12">
        <v>0</v>
      </c>
      <c r="N786" s="5">
        <f t="shared" si="24"/>
        <v>72564</v>
      </c>
      <c r="O786" s="5">
        <v>37529.43</v>
      </c>
      <c r="P786" s="5">
        <f t="shared" si="25"/>
        <v>35034.57</v>
      </c>
      <c r="Q786" t="s">
        <v>26</v>
      </c>
      <c r="R786">
        <v>2026</v>
      </c>
      <c r="S786">
        <v>1</v>
      </c>
    </row>
    <row r="787" spans="1:19" x14ac:dyDescent="0.3">
      <c r="A787" s="19" t="s">
        <v>845</v>
      </c>
      <c r="B787" s="20">
        <v>46045</v>
      </c>
      <c r="C787" s="19" t="s">
        <v>28</v>
      </c>
      <c r="D787" s="19" t="s">
        <v>29</v>
      </c>
      <c r="E787" s="19" t="s">
        <v>22</v>
      </c>
      <c r="F787" s="19" t="s">
        <v>40</v>
      </c>
      <c r="G787" s="19" t="s">
        <v>24</v>
      </c>
      <c r="H787" s="19" t="s">
        <v>25</v>
      </c>
      <c r="I787" s="19">
        <v>1</v>
      </c>
      <c r="J787" s="21">
        <v>60686</v>
      </c>
      <c r="K787" s="21">
        <v>60686</v>
      </c>
      <c r="L787" s="21">
        <v>0</v>
      </c>
      <c r="M787" s="15">
        <v>0</v>
      </c>
      <c r="N787" s="21">
        <f t="shared" si="24"/>
        <v>60686</v>
      </c>
      <c r="O787" s="21">
        <v>35188.01</v>
      </c>
      <c r="P787" s="21">
        <f t="shared" si="25"/>
        <v>25497.989999999998</v>
      </c>
      <c r="Q787" s="19" t="s">
        <v>26</v>
      </c>
      <c r="R787" s="19">
        <v>2026</v>
      </c>
      <c r="S787" s="19">
        <v>1</v>
      </c>
    </row>
    <row r="788" spans="1:19" x14ac:dyDescent="0.3">
      <c r="A788" t="s">
        <v>846</v>
      </c>
      <c r="B788" s="2">
        <v>46045</v>
      </c>
      <c r="C788" t="s">
        <v>71</v>
      </c>
      <c r="D788" t="s">
        <v>34</v>
      </c>
      <c r="E788" t="s">
        <v>22</v>
      </c>
      <c r="F788" t="s">
        <v>40</v>
      </c>
      <c r="G788" t="s">
        <v>31</v>
      </c>
      <c r="H788" t="s">
        <v>25</v>
      </c>
      <c r="I788">
        <v>1</v>
      </c>
      <c r="J788" s="5">
        <v>51286</v>
      </c>
      <c r="K788" s="5">
        <v>51286</v>
      </c>
      <c r="L788" s="5">
        <v>0</v>
      </c>
      <c r="M788" s="12">
        <v>0</v>
      </c>
      <c r="N788" s="5">
        <f t="shared" si="24"/>
        <v>51286</v>
      </c>
      <c r="O788" s="5">
        <v>27813.13</v>
      </c>
      <c r="P788" s="5">
        <f t="shared" si="25"/>
        <v>23472.87</v>
      </c>
      <c r="Q788" t="s">
        <v>26</v>
      </c>
      <c r="R788">
        <v>2026</v>
      </c>
      <c r="S788">
        <v>1</v>
      </c>
    </row>
    <row r="789" spans="1:19" x14ac:dyDescent="0.3">
      <c r="A789" s="19" t="s">
        <v>847</v>
      </c>
      <c r="B789" s="20">
        <v>46046</v>
      </c>
      <c r="C789" s="19" t="s">
        <v>46</v>
      </c>
      <c r="D789" s="19" t="s">
        <v>21</v>
      </c>
      <c r="E789" s="19" t="s">
        <v>44</v>
      </c>
      <c r="F789" s="19" t="s">
        <v>35</v>
      </c>
      <c r="G789" s="19" t="s">
        <v>24</v>
      </c>
      <c r="H789" s="19" t="s">
        <v>25</v>
      </c>
      <c r="I789" s="19">
        <v>1</v>
      </c>
      <c r="J789" s="21">
        <v>12651</v>
      </c>
      <c r="K789" s="21">
        <v>12651</v>
      </c>
      <c r="L789" s="21">
        <v>0</v>
      </c>
      <c r="M789" s="15">
        <v>0</v>
      </c>
      <c r="N789" s="21">
        <f t="shared" si="24"/>
        <v>12651</v>
      </c>
      <c r="O789" s="21">
        <v>7343.34</v>
      </c>
      <c r="P789" s="21">
        <f t="shared" si="25"/>
        <v>5307.66</v>
      </c>
      <c r="Q789" s="19" t="s">
        <v>26</v>
      </c>
      <c r="R789" s="19">
        <v>2026</v>
      </c>
      <c r="S789" s="19">
        <v>1</v>
      </c>
    </row>
    <row r="790" spans="1:19" x14ac:dyDescent="0.3">
      <c r="A790" t="s">
        <v>848</v>
      </c>
      <c r="B790" s="2">
        <v>46049</v>
      </c>
      <c r="C790" t="s">
        <v>75</v>
      </c>
      <c r="D790" t="s">
        <v>34</v>
      </c>
      <c r="E790" t="s">
        <v>22</v>
      </c>
      <c r="F790" t="s">
        <v>35</v>
      </c>
      <c r="G790" t="s">
        <v>31</v>
      </c>
      <c r="H790" t="s">
        <v>25</v>
      </c>
      <c r="I790">
        <v>1</v>
      </c>
      <c r="J790" s="5">
        <v>35445</v>
      </c>
      <c r="K790" s="5">
        <v>35445</v>
      </c>
      <c r="L790" s="5">
        <v>0</v>
      </c>
      <c r="M790" s="12">
        <v>0</v>
      </c>
      <c r="N790" s="5">
        <f t="shared" si="24"/>
        <v>35445</v>
      </c>
      <c r="O790" s="5">
        <v>17665.05</v>
      </c>
      <c r="P790" s="5">
        <f t="shared" si="25"/>
        <v>17779.95</v>
      </c>
      <c r="Q790" t="s">
        <v>26</v>
      </c>
      <c r="R790">
        <v>2026</v>
      </c>
      <c r="S790">
        <v>1</v>
      </c>
    </row>
    <row r="791" spans="1:19" x14ac:dyDescent="0.3">
      <c r="A791" s="19" t="s">
        <v>849</v>
      </c>
      <c r="B791" s="20">
        <v>46050</v>
      </c>
      <c r="C791" s="19" t="s">
        <v>82</v>
      </c>
      <c r="D791" s="19" t="s">
        <v>21</v>
      </c>
      <c r="E791" s="19" t="s">
        <v>42</v>
      </c>
      <c r="F791" s="19" t="s">
        <v>35</v>
      </c>
      <c r="G791" s="19" t="s">
        <v>31</v>
      </c>
      <c r="H791" s="19" t="s">
        <v>25</v>
      </c>
      <c r="I791" s="19">
        <v>1</v>
      </c>
      <c r="J791" s="21">
        <v>42828</v>
      </c>
      <c r="K791" s="21">
        <v>42828</v>
      </c>
      <c r="L791" s="21">
        <v>0</v>
      </c>
      <c r="M791" s="15">
        <v>0</v>
      </c>
      <c r="N791" s="21">
        <f t="shared" si="24"/>
        <v>42828</v>
      </c>
      <c r="O791" s="21">
        <v>22974.9</v>
      </c>
      <c r="P791" s="21">
        <f t="shared" si="25"/>
        <v>19853.099999999999</v>
      </c>
      <c r="Q791" s="19" t="s">
        <v>26</v>
      </c>
      <c r="R791" s="19">
        <v>2026</v>
      </c>
      <c r="S791" s="19">
        <v>1</v>
      </c>
    </row>
    <row r="792" spans="1:19" x14ac:dyDescent="0.3">
      <c r="A792" t="s">
        <v>850</v>
      </c>
      <c r="B792" s="2">
        <v>46050</v>
      </c>
      <c r="C792" t="s">
        <v>20</v>
      </c>
      <c r="D792" t="s">
        <v>21</v>
      </c>
      <c r="E792" t="s">
        <v>44</v>
      </c>
      <c r="F792" t="s">
        <v>40</v>
      </c>
      <c r="G792" t="s">
        <v>31</v>
      </c>
      <c r="H792" t="s">
        <v>25</v>
      </c>
      <c r="I792">
        <v>2</v>
      </c>
      <c r="J792" s="5">
        <v>15992</v>
      </c>
      <c r="K792" s="5">
        <v>31984</v>
      </c>
      <c r="L792" s="5">
        <v>0</v>
      </c>
      <c r="M792" s="12">
        <v>0</v>
      </c>
      <c r="N792" s="5">
        <f t="shared" si="24"/>
        <v>31984</v>
      </c>
      <c r="O792" s="5">
        <v>18993.060000000001</v>
      </c>
      <c r="P792" s="5">
        <f t="shared" si="25"/>
        <v>12990.939999999999</v>
      </c>
      <c r="Q792" t="s">
        <v>26</v>
      </c>
      <c r="R792">
        <v>2026</v>
      </c>
      <c r="S792">
        <v>1</v>
      </c>
    </row>
    <row r="793" spans="1:19" x14ac:dyDescent="0.3">
      <c r="A793" s="19" t="s">
        <v>851</v>
      </c>
      <c r="B793" s="20">
        <v>46050</v>
      </c>
      <c r="C793" s="19" t="s">
        <v>50</v>
      </c>
      <c r="D793" s="19" t="s">
        <v>34</v>
      </c>
      <c r="E793" s="19" t="s">
        <v>22</v>
      </c>
      <c r="F793" s="19" t="s">
        <v>23</v>
      </c>
      <c r="G793" s="19" t="s">
        <v>31</v>
      </c>
      <c r="H793" s="19" t="s">
        <v>25</v>
      </c>
      <c r="I793" s="19">
        <v>2</v>
      </c>
      <c r="J793" s="21">
        <v>17906</v>
      </c>
      <c r="K793" s="21">
        <v>35812</v>
      </c>
      <c r="L793" s="21">
        <v>0</v>
      </c>
      <c r="M793" s="15">
        <v>0</v>
      </c>
      <c r="N793" s="21">
        <f t="shared" si="24"/>
        <v>35812</v>
      </c>
      <c r="O793" s="21">
        <v>24077.21</v>
      </c>
      <c r="P793" s="21">
        <f t="shared" si="25"/>
        <v>11734.79</v>
      </c>
      <c r="Q793" s="19" t="s">
        <v>26</v>
      </c>
      <c r="R793" s="19">
        <v>2026</v>
      </c>
      <c r="S793" s="19">
        <v>1</v>
      </c>
    </row>
    <row r="794" spans="1:19" x14ac:dyDescent="0.3">
      <c r="A794" t="s">
        <v>852</v>
      </c>
      <c r="B794" s="2">
        <v>46050</v>
      </c>
      <c r="C794" t="s">
        <v>46</v>
      </c>
      <c r="D794" t="s">
        <v>21</v>
      </c>
      <c r="E794" t="s">
        <v>56</v>
      </c>
      <c r="F794" t="s">
        <v>37</v>
      </c>
      <c r="G794" t="s">
        <v>31</v>
      </c>
      <c r="H794" t="s">
        <v>25</v>
      </c>
      <c r="I794">
        <v>3</v>
      </c>
      <c r="J794" s="5">
        <v>11343</v>
      </c>
      <c r="K794" s="5">
        <v>34029</v>
      </c>
      <c r="L794" s="5">
        <v>1701.45</v>
      </c>
      <c r="M794" s="12">
        <v>0.05</v>
      </c>
      <c r="N794" s="5">
        <f t="shared" si="24"/>
        <v>32327.55</v>
      </c>
      <c r="O794" s="5">
        <v>20456.189999999999</v>
      </c>
      <c r="P794" s="5">
        <f t="shared" si="25"/>
        <v>11871.36</v>
      </c>
      <c r="Q794" t="s">
        <v>26</v>
      </c>
      <c r="R794">
        <v>2026</v>
      </c>
      <c r="S794">
        <v>1</v>
      </c>
    </row>
    <row r="795" spans="1:19" x14ac:dyDescent="0.3">
      <c r="A795" s="19" t="s">
        <v>853</v>
      </c>
      <c r="B795" s="20">
        <v>46050</v>
      </c>
      <c r="C795" s="19" t="s">
        <v>71</v>
      </c>
      <c r="D795" s="19" t="s">
        <v>34</v>
      </c>
      <c r="E795" s="19" t="s">
        <v>56</v>
      </c>
      <c r="F795" s="19" t="s">
        <v>23</v>
      </c>
      <c r="G795" s="19" t="s">
        <v>31</v>
      </c>
      <c r="H795" s="19" t="s">
        <v>25</v>
      </c>
      <c r="I795" s="19">
        <v>3</v>
      </c>
      <c r="J795" s="21">
        <v>51419</v>
      </c>
      <c r="K795" s="21">
        <v>154257</v>
      </c>
      <c r="L795" s="21">
        <v>0</v>
      </c>
      <c r="M795" s="15">
        <v>0</v>
      </c>
      <c r="N795" s="21">
        <f t="shared" si="24"/>
        <v>154257</v>
      </c>
      <c r="O795" s="21">
        <v>102708.78</v>
      </c>
      <c r="P795" s="21">
        <f t="shared" si="25"/>
        <v>51548.22</v>
      </c>
      <c r="Q795" s="19" t="s">
        <v>26</v>
      </c>
      <c r="R795" s="19">
        <v>2026</v>
      </c>
      <c r="S795" s="19">
        <v>1</v>
      </c>
    </row>
    <row r="796" spans="1:19" x14ac:dyDescent="0.3">
      <c r="A796" t="s">
        <v>854</v>
      </c>
      <c r="B796" s="2">
        <v>46052</v>
      </c>
      <c r="C796" t="s">
        <v>82</v>
      </c>
      <c r="D796" t="s">
        <v>21</v>
      </c>
      <c r="E796" t="s">
        <v>44</v>
      </c>
      <c r="F796" t="s">
        <v>35</v>
      </c>
      <c r="G796" t="s">
        <v>24</v>
      </c>
      <c r="H796" t="s">
        <v>25</v>
      </c>
      <c r="I796">
        <v>1</v>
      </c>
      <c r="J796" s="5">
        <v>43658</v>
      </c>
      <c r="K796" s="5">
        <v>43658</v>
      </c>
      <c r="L796" s="5">
        <v>0</v>
      </c>
      <c r="M796" s="12">
        <v>0</v>
      </c>
      <c r="N796" s="5">
        <f t="shared" si="24"/>
        <v>43658</v>
      </c>
      <c r="O796" s="5">
        <v>24063.919999999998</v>
      </c>
      <c r="P796" s="5">
        <f t="shared" si="25"/>
        <v>19594.080000000002</v>
      </c>
      <c r="Q796" t="s">
        <v>26</v>
      </c>
      <c r="R796">
        <v>2026</v>
      </c>
      <c r="S796">
        <v>1</v>
      </c>
    </row>
    <row r="797" spans="1:19" x14ac:dyDescent="0.3">
      <c r="A797" s="19" t="s">
        <v>855</v>
      </c>
      <c r="B797" s="20">
        <v>46052</v>
      </c>
      <c r="C797" s="19" t="s">
        <v>50</v>
      </c>
      <c r="D797" s="19" t="s">
        <v>34</v>
      </c>
      <c r="E797" s="19" t="s">
        <v>22</v>
      </c>
      <c r="F797" s="19" t="s">
        <v>40</v>
      </c>
      <c r="G797" s="19" t="s">
        <v>31</v>
      </c>
      <c r="H797" s="19" t="s">
        <v>25</v>
      </c>
      <c r="I797" s="19">
        <v>1</v>
      </c>
      <c r="J797" s="21">
        <v>16983</v>
      </c>
      <c r="K797" s="21">
        <v>16983</v>
      </c>
      <c r="L797" s="21">
        <v>0</v>
      </c>
      <c r="M797" s="15">
        <v>0</v>
      </c>
      <c r="N797" s="21">
        <f t="shared" si="24"/>
        <v>16983</v>
      </c>
      <c r="O797" s="21">
        <v>11457.98</v>
      </c>
      <c r="P797" s="21">
        <f t="shared" si="25"/>
        <v>5525.02</v>
      </c>
      <c r="Q797" s="19" t="s">
        <v>26</v>
      </c>
      <c r="R797" s="19">
        <v>2026</v>
      </c>
      <c r="S797" s="19">
        <v>1</v>
      </c>
    </row>
    <row r="798" spans="1:19" x14ac:dyDescent="0.3">
      <c r="A798" t="s">
        <v>856</v>
      </c>
      <c r="B798" s="2">
        <v>46052</v>
      </c>
      <c r="C798" t="s">
        <v>75</v>
      </c>
      <c r="D798" t="s">
        <v>34</v>
      </c>
      <c r="E798" t="s">
        <v>22</v>
      </c>
      <c r="F798" t="s">
        <v>35</v>
      </c>
      <c r="G798" t="s">
        <v>31</v>
      </c>
      <c r="H798" t="s">
        <v>25</v>
      </c>
      <c r="I798">
        <v>5</v>
      </c>
      <c r="J798" s="5">
        <v>36297</v>
      </c>
      <c r="K798" s="5">
        <v>181485</v>
      </c>
      <c r="L798" s="5">
        <v>0</v>
      </c>
      <c r="M798" s="12">
        <v>0</v>
      </c>
      <c r="N798" s="5">
        <f t="shared" si="24"/>
        <v>181485</v>
      </c>
      <c r="O798" s="5">
        <v>111627.95</v>
      </c>
      <c r="P798" s="5">
        <f t="shared" si="25"/>
        <v>69857.05</v>
      </c>
      <c r="Q798" t="s">
        <v>26</v>
      </c>
      <c r="R798">
        <v>2026</v>
      </c>
      <c r="S798">
        <v>1</v>
      </c>
    </row>
    <row r="799" spans="1:19" x14ac:dyDescent="0.3">
      <c r="A799" s="19" t="s">
        <v>857</v>
      </c>
      <c r="B799" s="20">
        <v>46053</v>
      </c>
      <c r="C799" s="19" t="s">
        <v>64</v>
      </c>
      <c r="D799" s="19" t="s">
        <v>29</v>
      </c>
      <c r="E799" s="19" t="s">
        <v>42</v>
      </c>
      <c r="F799" s="19" t="s">
        <v>40</v>
      </c>
      <c r="G799" s="19" t="s">
        <v>31</v>
      </c>
      <c r="H799" s="19" t="s">
        <v>25</v>
      </c>
      <c r="I799" s="19">
        <v>1</v>
      </c>
      <c r="J799" s="21">
        <v>27892</v>
      </c>
      <c r="K799" s="21">
        <v>27892</v>
      </c>
      <c r="L799" s="21">
        <v>0</v>
      </c>
      <c r="M799" s="15">
        <v>0</v>
      </c>
      <c r="N799" s="21">
        <f t="shared" si="24"/>
        <v>27892</v>
      </c>
      <c r="O799" s="21">
        <v>17373.45</v>
      </c>
      <c r="P799" s="21">
        <f t="shared" si="25"/>
        <v>10518.55</v>
      </c>
      <c r="Q799" s="19" t="s">
        <v>26</v>
      </c>
      <c r="R799" s="19">
        <v>2026</v>
      </c>
      <c r="S799" s="19">
        <v>1</v>
      </c>
    </row>
    <row r="800" spans="1:19" x14ac:dyDescent="0.3">
      <c r="A800" t="s">
        <v>858</v>
      </c>
      <c r="B800" s="2">
        <v>46054</v>
      </c>
      <c r="C800" t="s">
        <v>20</v>
      </c>
      <c r="D800" t="s">
        <v>21</v>
      </c>
      <c r="E800" t="s">
        <v>44</v>
      </c>
      <c r="F800" t="s">
        <v>40</v>
      </c>
      <c r="G800" t="s">
        <v>31</v>
      </c>
      <c r="H800" t="s">
        <v>25</v>
      </c>
      <c r="I800">
        <v>2</v>
      </c>
      <c r="J800" s="5">
        <v>15440</v>
      </c>
      <c r="K800" s="5">
        <v>30880</v>
      </c>
      <c r="L800" s="5">
        <v>0</v>
      </c>
      <c r="M800" s="12">
        <v>0</v>
      </c>
      <c r="N800" s="5">
        <f t="shared" si="24"/>
        <v>30880</v>
      </c>
      <c r="O800" s="5">
        <v>19365.73</v>
      </c>
      <c r="P800" s="5">
        <f t="shared" si="25"/>
        <v>11514.27</v>
      </c>
      <c r="Q800" t="s">
        <v>91</v>
      </c>
      <c r="R800">
        <v>2026</v>
      </c>
      <c r="S800">
        <v>2</v>
      </c>
    </row>
    <row r="801" spans="1:19" x14ac:dyDescent="0.3">
      <c r="A801" s="19" t="s">
        <v>859</v>
      </c>
      <c r="B801" s="20">
        <v>46054</v>
      </c>
      <c r="C801" s="19" t="s">
        <v>75</v>
      </c>
      <c r="D801" s="19" t="s">
        <v>34</v>
      </c>
      <c r="E801" s="19" t="s">
        <v>44</v>
      </c>
      <c r="F801" s="19" t="s">
        <v>40</v>
      </c>
      <c r="G801" s="19" t="s">
        <v>24</v>
      </c>
      <c r="H801" s="19" t="s">
        <v>94</v>
      </c>
      <c r="I801" s="19">
        <v>3</v>
      </c>
      <c r="J801" s="21">
        <v>37710</v>
      </c>
      <c r="K801" s="21">
        <v>113130</v>
      </c>
      <c r="L801" s="21">
        <v>11313</v>
      </c>
      <c r="M801" s="15">
        <v>0.1</v>
      </c>
      <c r="N801" s="21">
        <f t="shared" si="24"/>
        <v>101817</v>
      </c>
      <c r="O801" s="21">
        <v>68711.12</v>
      </c>
      <c r="P801" s="21">
        <f t="shared" si="25"/>
        <v>33105.880000000005</v>
      </c>
      <c r="Q801" s="19" t="s">
        <v>91</v>
      </c>
      <c r="R801" s="19">
        <v>2026</v>
      </c>
      <c r="S801" s="19">
        <v>2</v>
      </c>
    </row>
    <row r="802" spans="1:19" x14ac:dyDescent="0.3">
      <c r="A802" t="s">
        <v>860</v>
      </c>
      <c r="B802" s="2">
        <v>46055</v>
      </c>
      <c r="C802" t="s">
        <v>82</v>
      </c>
      <c r="D802" t="s">
        <v>21</v>
      </c>
      <c r="E802" t="s">
        <v>22</v>
      </c>
      <c r="F802" t="s">
        <v>40</v>
      </c>
      <c r="G802" t="s">
        <v>24</v>
      </c>
      <c r="H802" t="s">
        <v>94</v>
      </c>
      <c r="I802">
        <v>3</v>
      </c>
      <c r="J802" s="5">
        <v>42010</v>
      </c>
      <c r="K802" s="5">
        <v>126030</v>
      </c>
      <c r="L802" s="5">
        <v>6301.5</v>
      </c>
      <c r="M802" s="12">
        <v>0.05</v>
      </c>
      <c r="N802" s="5">
        <f t="shared" si="24"/>
        <v>119728.5</v>
      </c>
      <c r="O802" s="5">
        <v>62311.360000000001</v>
      </c>
      <c r="P802" s="5">
        <f t="shared" si="25"/>
        <v>57417.14</v>
      </c>
      <c r="Q802" t="s">
        <v>91</v>
      </c>
      <c r="R802">
        <v>2026</v>
      </c>
      <c r="S802">
        <v>2</v>
      </c>
    </row>
    <row r="803" spans="1:19" x14ac:dyDescent="0.3">
      <c r="A803" s="19" t="s">
        <v>861</v>
      </c>
      <c r="B803" s="20">
        <v>46055</v>
      </c>
      <c r="C803" s="19" t="s">
        <v>75</v>
      </c>
      <c r="D803" s="19" t="s">
        <v>34</v>
      </c>
      <c r="E803" s="19" t="s">
        <v>42</v>
      </c>
      <c r="F803" s="19" t="s">
        <v>40</v>
      </c>
      <c r="G803" s="19" t="s">
        <v>31</v>
      </c>
      <c r="H803" s="19" t="s">
        <v>25</v>
      </c>
      <c r="I803" s="19">
        <v>1</v>
      </c>
      <c r="J803" s="21">
        <v>38433</v>
      </c>
      <c r="K803" s="21">
        <v>38433</v>
      </c>
      <c r="L803" s="21">
        <v>5764.95</v>
      </c>
      <c r="M803" s="15">
        <v>0.15</v>
      </c>
      <c r="N803" s="21">
        <f t="shared" si="24"/>
        <v>32668.05</v>
      </c>
      <c r="O803" s="21">
        <v>22469.15</v>
      </c>
      <c r="P803" s="21">
        <f t="shared" si="25"/>
        <v>10198.899999999998</v>
      </c>
      <c r="Q803" s="19" t="s">
        <v>91</v>
      </c>
      <c r="R803" s="19">
        <v>2026</v>
      </c>
      <c r="S803" s="19">
        <v>2</v>
      </c>
    </row>
    <row r="804" spans="1:19" x14ac:dyDescent="0.3">
      <c r="A804" t="s">
        <v>862</v>
      </c>
      <c r="B804" s="2">
        <v>46055</v>
      </c>
      <c r="C804" t="s">
        <v>33</v>
      </c>
      <c r="D804" t="s">
        <v>34</v>
      </c>
      <c r="E804" t="s">
        <v>44</v>
      </c>
      <c r="F804" t="s">
        <v>30</v>
      </c>
      <c r="G804" t="s">
        <v>31</v>
      </c>
      <c r="H804" t="s">
        <v>25</v>
      </c>
      <c r="I804">
        <v>2</v>
      </c>
      <c r="J804" s="5">
        <v>45263</v>
      </c>
      <c r="K804" s="5">
        <v>90526</v>
      </c>
      <c r="L804" s="5">
        <v>0</v>
      </c>
      <c r="M804" s="12">
        <v>0</v>
      </c>
      <c r="N804" s="5">
        <f t="shared" si="24"/>
        <v>90526</v>
      </c>
      <c r="O804" s="5">
        <v>47863.17</v>
      </c>
      <c r="P804" s="5">
        <f t="shared" si="25"/>
        <v>42662.83</v>
      </c>
      <c r="Q804" t="s">
        <v>91</v>
      </c>
      <c r="R804">
        <v>2026</v>
      </c>
      <c r="S804">
        <v>2</v>
      </c>
    </row>
    <row r="805" spans="1:19" x14ac:dyDescent="0.3">
      <c r="A805" s="19" t="s">
        <v>863</v>
      </c>
      <c r="B805" s="20">
        <v>46055</v>
      </c>
      <c r="C805" s="19" t="s">
        <v>50</v>
      </c>
      <c r="D805" s="19" t="s">
        <v>34</v>
      </c>
      <c r="E805" s="19" t="s">
        <v>22</v>
      </c>
      <c r="F805" s="19" t="s">
        <v>40</v>
      </c>
      <c r="G805" s="19" t="s">
        <v>31</v>
      </c>
      <c r="H805" s="19" t="s">
        <v>94</v>
      </c>
      <c r="I805" s="19">
        <v>4</v>
      </c>
      <c r="J805" s="21">
        <v>19259</v>
      </c>
      <c r="K805" s="21">
        <v>77036</v>
      </c>
      <c r="L805" s="21">
        <v>11555.4</v>
      </c>
      <c r="M805" s="15">
        <v>0.15</v>
      </c>
      <c r="N805" s="21">
        <f t="shared" si="24"/>
        <v>65480.6</v>
      </c>
      <c r="O805" s="21">
        <v>44271.06</v>
      </c>
      <c r="P805" s="21">
        <f t="shared" si="25"/>
        <v>21209.54</v>
      </c>
      <c r="Q805" s="19" t="s">
        <v>91</v>
      </c>
      <c r="R805" s="19">
        <v>2026</v>
      </c>
      <c r="S805" s="19">
        <v>2</v>
      </c>
    </row>
    <row r="806" spans="1:19" x14ac:dyDescent="0.3">
      <c r="A806" t="s">
        <v>864</v>
      </c>
      <c r="B806" s="2">
        <v>46058</v>
      </c>
      <c r="C806" t="s">
        <v>46</v>
      </c>
      <c r="D806" t="s">
        <v>21</v>
      </c>
      <c r="E806" t="s">
        <v>56</v>
      </c>
      <c r="F806" t="s">
        <v>30</v>
      </c>
      <c r="G806" t="s">
        <v>31</v>
      </c>
      <c r="H806" t="s">
        <v>25</v>
      </c>
      <c r="I806">
        <v>3</v>
      </c>
      <c r="J806" s="5">
        <v>12124</v>
      </c>
      <c r="K806" s="5">
        <v>36372</v>
      </c>
      <c r="L806" s="5">
        <v>0</v>
      </c>
      <c r="M806" s="12">
        <v>0</v>
      </c>
      <c r="N806" s="5">
        <f t="shared" si="24"/>
        <v>36372</v>
      </c>
      <c r="O806" s="5">
        <v>21618.13</v>
      </c>
      <c r="P806" s="5">
        <f t="shared" si="25"/>
        <v>14753.869999999999</v>
      </c>
      <c r="Q806" t="s">
        <v>91</v>
      </c>
      <c r="R806">
        <v>2026</v>
      </c>
      <c r="S806">
        <v>2</v>
      </c>
    </row>
    <row r="807" spans="1:19" x14ac:dyDescent="0.3">
      <c r="A807" s="19" t="s">
        <v>865</v>
      </c>
      <c r="B807" s="20">
        <v>46058</v>
      </c>
      <c r="C807" s="19" t="s">
        <v>50</v>
      </c>
      <c r="D807" s="19" t="s">
        <v>34</v>
      </c>
      <c r="E807" s="19" t="s">
        <v>56</v>
      </c>
      <c r="F807" s="19" t="s">
        <v>37</v>
      </c>
      <c r="G807" s="19" t="s">
        <v>24</v>
      </c>
      <c r="H807" s="19" t="s">
        <v>94</v>
      </c>
      <c r="I807" s="19">
        <v>2</v>
      </c>
      <c r="J807" s="21">
        <v>17304</v>
      </c>
      <c r="K807" s="21">
        <v>34608</v>
      </c>
      <c r="L807" s="21">
        <v>3460.8</v>
      </c>
      <c r="M807" s="15">
        <v>0.1</v>
      </c>
      <c r="N807" s="21">
        <f t="shared" si="24"/>
        <v>31147.200000000001</v>
      </c>
      <c r="O807" s="21">
        <v>22838.52</v>
      </c>
      <c r="P807" s="21">
        <f t="shared" si="25"/>
        <v>8308.68</v>
      </c>
      <c r="Q807" s="19" t="s">
        <v>91</v>
      </c>
      <c r="R807" s="19">
        <v>2026</v>
      </c>
      <c r="S807" s="19">
        <v>2</v>
      </c>
    </row>
    <row r="808" spans="1:19" x14ac:dyDescent="0.3">
      <c r="A808" t="s">
        <v>866</v>
      </c>
      <c r="B808" s="2">
        <v>46058</v>
      </c>
      <c r="C808" t="s">
        <v>82</v>
      </c>
      <c r="D808" t="s">
        <v>21</v>
      </c>
      <c r="E808" t="s">
        <v>44</v>
      </c>
      <c r="F808" t="s">
        <v>37</v>
      </c>
      <c r="G808" t="s">
        <v>24</v>
      </c>
      <c r="H808" t="s">
        <v>25</v>
      </c>
      <c r="I808">
        <v>2</v>
      </c>
      <c r="J808" s="5">
        <v>47749</v>
      </c>
      <c r="K808" s="5">
        <v>95498</v>
      </c>
      <c r="L808" s="5">
        <v>0</v>
      </c>
      <c r="M808" s="12">
        <v>0</v>
      </c>
      <c r="N808" s="5">
        <f t="shared" si="24"/>
        <v>95498</v>
      </c>
      <c r="O808" s="5">
        <v>48937.63</v>
      </c>
      <c r="P808" s="5">
        <f t="shared" si="25"/>
        <v>46560.37</v>
      </c>
      <c r="Q808" t="s">
        <v>91</v>
      </c>
      <c r="R808">
        <v>2026</v>
      </c>
      <c r="S808">
        <v>2</v>
      </c>
    </row>
    <row r="809" spans="1:19" x14ac:dyDescent="0.3">
      <c r="A809" s="19" t="s">
        <v>867</v>
      </c>
      <c r="B809" s="20">
        <v>46060</v>
      </c>
      <c r="C809" s="19" t="s">
        <v>33</v>
      </c>
      <c r="D809" s="19" t="s">
        <v>34</v>
      </c>
      <c r="E809" s="19" t="s">
        <v>44</v>
      </c>
      <c r="F809" s="19" t="s">
        <v>35</v>
      </c>
      <c r="G809" s="19" t="s">
        <v>31</v>
      </c>
      <c r="H809" s="19" t="s">
        <v>94</v>
      </c>
      <c r="I809" s="19">
        <v>1</v>
      </c>
      <c r="J809" s="21">
        <v>39857</v>
      </c>
      <c r="K809" s="21">
        <v>39857</v>
      </c>
      <c r="L809" s="21">
        <v>1992.85</v>
      </c>
      <c r="M809" s="15">
        <v>0.05</v>
      </c>
      <c r="N809" s="21">
        <f t="shared" si="24"/>
        <v>37864.15</v>
      </c>
      <c r="O809" s="21">
        <v>22198.22</v>
      </c>
      <c r="P809" s="21">
        <f t="shared" si="25"/>
        <v>15665.93</v>
      </c>
      <c r="Q809" s="19" t="s">
        <v>91</v>
      </c>
      <c r="R809" s="19">
        <v>2026</v>
      </c>
      <c r="S809" s="19">
        <v>2</v>
      </c>
    </row>
    <row r="810" spans="1:19" x14ac:dyDescent="0.3">
      <c r="A810" t="s">
        <v>868</v>
      </c>
      <c r="B810" s="2">
        <v>46060</v>
      </c>
      <c r="C810" t="s">
        <v>82</v>
      </c>
      <c r="D810" t="s">
        <v>21</v>
      </c>
      <c r="E810" t="s">
        <v>22</v>
      </c>
      <c r="F810" t="s">
        <v>35</v>
      </c>
      <c r="G810" t="s">
        <v>24</v>
      </c>
      <c r="H810" t="s">
        <v>94</v>
      </c>
      <c r="I810">
        <v>3</v>
      </c>
      <c r="J810" s="5">
        <v>46839</v>
      </c>
      <c r="K810" s="5">
        <v>140517</v>
      </c>
      <c r="L810" s="5">
        <v>7025.85</v>
      </c>
      <c r="M810" s="12">
        <v>0.05</v>
      </c>
      <c r="N810" s="5">
        <f t="shared" si="24"/>
        <v>133491.15</v>
      </c>
      <c r="O810" s="5">
        <v>80848.92</v>
      </c>
      <c r="P810" s="5">
        <f t="shared" si="25"/>
        <v>52642.229999999996</v>
      </c>
      <c r="Q810" t="s">
        <v>91</v>
      </c>
      <c r="R810">
        <v>2026</v>
      </c>
      <c r="S810">
        <v>2</v>
      </c>
    </row>
    <row r="811" spans="1:19" x14ac:dyDescent="0.3">
      <c r="A811" s="19" t="s">
        <v>869</v>
      </c>
      <c r="B811" s="20">
        <v>46061</v>
      </c>
      <c r="C811" s="19" t="s">
        <v>20</v>
      </c>
      <c r="D811" s="19" t="s">
        <v>21</v>
      </c>
      <c r="E811" s="19" t="s">
        <v>56</v>
      </c>
      <c r="F811" s="19" t="s">
        <v>30</v>
      </c>
      <c r="G811" s="19" t="s">
        <v>31</v>
      </c>
      <c r="H811" s="19" t="s">
        <v>94</v>
      </c>
      <c r="I811" s="19">
        <v>2</v>
      </c>
      <c r="J811" s="21">
        <v>16161</v>
      </c>
      <c r="K811" s="21">
        <v>32322</v>
      </c>
      <c r="L811" s="21">
        <v>3232.2</v>
      </c>
      <c r="M811" s="15">
        <v>0.1</v>
      </c>
      <c r="N811" s="21">
        <f t="shared" si="24"/>
        <v>29089.8</v>
      </c>
      <c r="O811" s="21">
        <v>21294.37</v>
      </c>
      <c r="P811" s="21">
        <f t="shared" si="25"/>
        <v>7795.43</v>
      </c>
      <c r="Q811" s="19" t="s">
        <v>91</v>
      </c>
      <c r="R811" s="19">
        <v>2026</v>
      </c>
      <c r="S811" s="19">
        <v>2</v>
      </c>
    </row>
    <row r="812" spans="1:19" x14ac:dyDescent="0.3">
      <c r="A812" t="s">
        <v>870</v>
      </c>
      <c r="B812" s="2">
        <v>46062</v>
      </c>
      <c r="C812" t="s">
        <v>82</v>
      </c>
      <c r="D812" t="s">
        <v>21</v>
      </c>
      <c r="E812" t="s">
        <v>42</v>
      </c>
      <c r="F812" t="s">
        <v>23</v>
      </c>
      <c r="G812" t="s">
        <v>31</v>
      </c>
      <c r="H812" t="s">
        <v>94</v>
      </c>
      <c r="I812">
        <v>3</v>
      </c>
      <c r="J812" s="5">
        <v>46780</v>
      </c>
      <c r="K812" s="5">
        <v>140340</v>
      </c>
      <c r="L812" s="5">
        <v>21051</v>
      </c>
      <c r="M812" s="12">
        <v>0.15</v>
      </c>
      <c r="N812" s="5">
        <f t="shared" si="24"/>
        <v>119289</v>
      </c>
      <c r="O812" s="5">
        <v>82438.06</v>
      </c>
      <c r="P812" s="5">
        <f t="shared" si="25"/>
        <v>36850.94</v>
      </c>
      <c r="Q812" t="s">
        <v>91</v>
      </c>
      <c r="R812">
        <v>2026</v>
      </c>
      <c r="S812">
        <v>2</v>
      </c>
    </row>
    <row r="813" spans="1:19" x14ac:dyDescent="0.3">
      <c r="A813" s="19" t="s">
        <v>871</v>
      </c>
      <c r="B813" s="20">
        <v>46062</v>
      </c>
      <c r="C813" s="19" t="s">
        <v>64</v>
      </c>
      <c r="D813" s="19" t="s">
        <v>29</v>
      </c>
      <c r="E813" s="19" t="s">
        <v>22</v>
      </c>
      <c r="F813" s="19" t="s">
        <v>37</v>
      </c>
      <c r="G813" s="19" t="s">
        <v>31</v>
      </c>
      <c r="H813" s="19" t="s">
        <v>25</v>
      </c>
      <c r="I813" s="19">
        <v>2</v>
      </c>
      <c r="J813" s="21">
        <v>29405</v>
      </c>
      <c r="K813" s="21">
        <v>58810</v>
      </c>
      <c r="L813" s="21">
        <v>0</v>
      </c>
      <c r="M813" s="15">
        <v>0</v>
      </c>
      <c r="N813" s="21">
        <f t="shared" si="24"/>
        <v>58810</v>
      </c>
      <c r="O813" s="21">
        <v>34414.980000000003</v>
      </c>
      <c r="P813" s="21">
        <f t="shared" si="25"/>
        <v>24395.019999999997</v>
      </c>
      <c r="Q813" s="19" t="s">
        <v>91</v>
      </c>
      <c r="R813" s="19">
        <v>2026</v>
      </c>
      <c r="S813" s="19">
        <v>2</v>
      </c>
    </row>
    <row r="814" spans="1:19" x14ac:dyDescent="0.3">
      <c r="A814" t="s">
        <v>872</v>
      </c>
      <c r="B814" s="2">
        <v>46063</v>
      </c>
      <c r="C814" t="s">
        <v>33</v>
      </c>
      <c r="D814" t="s">
        <v>34</v>
      </c>
      <c r="E814" t="s">
        <v>22</v>
      </c>
      <c r="F814" t="s">
        <v>23</v>
      </c>
      <c r="G814" t="s">
        <v>24</v>
      </c>
      <c r="H814" t="s">
        <v>25</v>
      </c>
      <c r="I814">
        <v>1</v>
      </c>
      <c r="J814" s="5">
        <v>42155</v>
      </c>
      <c r="K814" s="5">
        <v>42155</v>
      </c>
      <c r="L814" s="5">
        <v>4215.5</v>
      </c>
      <c r="M814" s="12">
        <v>0.1</v>
      </c>
      <c r="N814" s="5">
        <f t="shared" si="24"/>
        <v>37939.5</v>
      </c>
      <c r="O814" s="5">
        <v>26360.43</v>
      </c>
      <c r="P814" s="5">
        <f t="shared" si="25"/>
        <v>11579.07</v>
      </c>
      <c r="Q814" t="s">
        <v>91</v>
      </c>
      <c r="R814">
        <v>2026</v>
      </c>
      <c r="S814">
        <v>2</v>
      </c>
    </row>
    <row r="815" spans="1:19" x14ac:dyDescent="0.3">
      <c r="A815" s="19" t="s">
        <v>873</v>
      </c>
      <c r="B815" s="20">
        <v>46065</v>
      </c>
      <c r="C815" s="19" t="s">
        <v>64</v>
      </c>
      <c r="D815" s="19" t="s">
        <v>29</v>
      </c>
      <c r="E815" s="19" t="s">
        <v>42</v>
      </c>
      <c r="F815" s="19" t="s">
        <v>30</v>
      </c>
      <c r="G815" s="19" t="s">
        <v>24</v>
      </c>
      <c r="H815" s="19" t="s">
        <v>94</v>
      </c>
      <c r="I815" s="19">
        <v>1</v>
      </c>
      <c r="J815" s="21">
        <v>28754</v>
      </c>
      <c r="K815" s="21">
        <v>28754</v>
      </c>
      <c r="L815" s="21">
        <v>2875.4</v>
      </c>
      <c r="M815" s="15">
        <v>0.1</v>
      </c>
      <c r="N815" s="21">
        <f t="shared" si="24"/>
        <v>25878.6</v>
      </c>
      <c r="O815" s="21">
        <v>18552.45</v>
      </c>
      <c r="P815" s="21">
        <f t="shared" si="25"/>
        <v>7326.1499999999978</v>
      </c>
      <c r="Q815" s="19" t="s">
        <v>91</v>
      </c>
      <c r="R815" s="19">
        <v>2026</v>
      </c>
      <c r="S815" s="19">
        <v>2</v>
      </c>
    </row>
    <row r="816" spans="1:19" x14ac:dyDescent="0.3">
      <c r="A816" t="s">
        <v>874</v>
      </c>
      <c r="B816" s="2">
        <v>46066</v>
      </c>
      <c r="C816" t="s">
        <v>82</v>
      </c>
      <c r="D816" t="s">
        <v>21</v>
      </c>
      <c r="E816" t="s">
        <v>42</v>
      </c>
      <c r="F816" t="s">
        <v>37</v>
      </c>
      <c r="G816" t="s">
        <v>24</v>
      </c>
      <c r="H816" t="s">
        <v>94</v>
      </c>
      <c r="I816">
        <v>2</v>
      </c>
      <c r="J816" s="5">
        <v>47044</v>
      </c>
      <c r="K816" s="5">
        <v>94088</v>
      </c>
      <c r="L816" s="5">
        <v>14113.2</v>
      </c>
      <c r="M816" s="12">
        <v>0.15</v>
      </c>
      <c r="N816" s="5">
        <f t="shared" si="24"/>
        <v>79974.8</v>
      </c>
      <c r="O816" s="5">
        <v>61306.84</v>
      </c>
      <c r="P816" s="5">
        <f t="shared" si="25"/>
        <v>18667.960000000006</v>
      </c>
      <c r="Q816" t="s">
        <v>91</v>
      </c>
      <c r="R816">
        <v>2026</v>
      </c>
      <c r="S816">
        <v>2</v>
      </c>
    </row>
    <row r="817" spans="1:19" x14ac:dyDescent="0.3">
      <c r="A817" s="19" t="s">
        <v>875</v>
      </c>
      <c r="B817" s="20">
        <v>46067</v>
      </c>
      <c r="C817" s="19" t="s">
        <v>82</v>
      </c>
      <c r="D817" s="19" t="s">
        <v>21</v>
      </c>
      <c r="E817" s="19" t="s">
        <v>22</v>
      </c>
      <c r="F817" s="19" t="s">
        <v>40</v>
      </c>
      <c r="G817" s="19" t="s">
        <v>24</v>
      </c>
      <c r="H817" s="19" t="s">
        <v>94</v>
      </c>
      <c r="I817" s="19">
        <v>2</v>
      </c>
      <c r="J817" s="21">
        <v>46705</v>
      </c>
      <c r="K817" s="21">
        <v>93410</v>
      </c>
      <c r="L817" s="21">
        <v>4670.5</v>
      </c>
      <c r="M817" s="15">
        <v>0.05</v>
      </c>
      <c r="N817" s="21">
        <f t="shared" si="24"/>
        <v>88739.5</v>
      </c>
      <c r="O817" s="21">
        <v>48885.93</v>
      </c>
      <c r="P817" s="21">
        <f t="shared" si="25"/>
        <v>39853.57</v>
      </c>
      <c r="Q817" s="19" t="s">
        <v>91</v>
      </c>
      <c r="R817" s="19">
        <v>2026</v>
      </c>
      <c r="S817" s="19">
        <v>2</v>
      </c>
    </row>
    <row r="818" spans="1:19" x14ac:dyDescent="0.3">
      <c r="A818" t="s">
        <v>876</v>
      </c>
      <c r="B818" s="2">
        <v>46067</v>
      </c>
      <c r="C818" t="s">
        <v>33</v>
      </c>
      <c r="D818" t="s">
        <v>34</v>
      </c>
      <c r="E818" t="s">
        <v>42</v>
      </c>
      <c r="F818" t="s">
        <v>37</v>
      </c>
      <c r="G818" t="s">
        <v>31</v>
      </c>
      <c r="H818" t="s">
        <v>25</v>
      </c>
      <c r="I818">
        <v>1</v>
      </c>
      <c r="J818" s="5">
        <v>40517</v>
      </c>
      <c r="K818" s="5">
        <v>40517</v>
      </c>
      <c r="L818" s="5">
        <v>0</v>
      </c>
      <c r="M818" s="12">
        <v>0</v>
      </c>
      <c r="N818" s="5">
        <f t="shared" si="24"/>
        <v>40517</v>
      </c>
      <c r="O818" s="5">
        <v>26631.84</v>
      </c>
      <c r="P818" s="5">
        <f t="shared" si="25"/>
        <v>13885.16</v>
      </c>
      <c r="Q818" t="s">
        <v>91</v>
      </c>
      <c r="R818">
        <v>2026</v>
      </c>
      <c r="S818">
        <v>2</v>
      </c>
    </row>
    <row r="819" spans="1:19" x14ac:dyDescent="0.3">
      <c r="A819" s="19" t="s">
        <v>877</v>
      </c>
      <c r="B819" s="20">
        <v>46068</v>
      </c>
      <c r="C819" s="19" t="s">
        <v>82</v>
      </c>
      <c r="D819" s="19" t="s">
        <v>21</v>
      </c>
      <c r="E819" s="19" t="s">
        <v>44</v>
      </c>
      <c r="F819" s="19" t="s">
        <v>35</v>
      </c>
      <c r="G819" s="19" t="s">
        <v>24</v>
      </c>
      <c r="H819" s="19" t="s">
        <v>94</v>
      </c>
      <c r="I819" s="19">
        <v>1</v>
      </c>
      <c r="J819" s="21">
        <v>46061</v>
      </c>
      <c r="K819" s="21">
        <v>46061</v>
      </c>
      <c r="L819" s="21">
        <v>2303.0500000000002</v>
      </c>
      <c r="M819" s="15">
        <v>0.05</v>
      </c>
      <c r="N819" s="21">
        <f t="shared" si="24"/>
        <v>43757.95</v>
      </c>
      <c r="O819" s="21">
        <v>24352.29</v>
      </c>
      <c r="P819" s="21">
        <f t="shared" si="25"/>
        <v>19405.659999999996</v>
      </c>
      <c r="Q819" s="19" t="s">
        <v>91</v>
      </c>
      <c r="R819" s="19">
        <v>2026</v>
      </c>
      <c r="S819" s="19">
        <v>2</v>
      </c>
    </row>
    <row r="820" spans="1:19" x14ac:dyDescent="0.3">
      <c r="A820" t="s">
        <v>878</v>
      </c>
      <c r="B820" s="2">
        <v>46068</v>
      </c>
      <c r="C820" t="s">
        <v>71</v>
      </c>
      <c r="D820" t="s">
        <v>34</v>
      </c>
      <c r="E820" t="s">
        <v>22</v>
      </c>
      <c r="F820" t="s">
        <v>30</v>
      </c>
      <c r="G820" t="s">
        <v>31</v>
      </c>
      <c r="H820" t="s">
        <v>94</v>
      </c>
      <c r="I820">
        <v>3</v>
      </c>
      <c r="J820" s="5">
        <v>50166</v>
      </c>
      <c r="K820" s="5">
        <v>150498</v>
      </c>
      <c r="L820" s="5">
        <v>7524.9</v>
      </c>
      <c r="M820" s="12">
        <v>0.05</v>
      </c>
      <c r="N820" s="5">
        <f t="shared" si="24"/>
        <v>142973.1</v>
      </c>
      <c r="O820" s="5">
        <v>97227.5</v>
      </c>
      <c r="P820" s="5">
        <f t="shared" si="25"/>
        <v>45745.600000000006</v>
      </c>
      <c r="Q820" t="s">
        <v>91</v>
      </c>
      <c r="R820">
        <v>2026</v>
      </c>
      <c r="S820">
        <v>2</v>
      </c>
    </row>
    <row r="821" spans="1:19" x14ac:dyDescent="0.3">
      <c r="A821" s="19" t="s">
        <v>879</v>
      </c>
      <c r="B821" s="20">
        <v>46069</v>
      </c>
      <c r="C821" s="19" t="s">
        <v>75</v>
      </c>
      <c r="D821" s="19" t="s">
        <v>34</v>
      </c>
      <c r="E821" s="19" t="s">
        <v>44</v>
      </c>
      <c r="F821" s="19" t="s">
        <v>35</v>
      </c>
      <c r="G821" s="19" t="s">
        <v>31</v>
      </c>
      <c r="H821" s="19" t="s">
        <v>25</v>
      </c>
      <c r="I821" s="19">
        <v>1</v>
      </c>
      <c r="J821" s="21">
        <v>35507</v>
      </c>
      <c r="K821" s="21">
        <v>35507</v>
      </c>
      <c r="L821" s="21">
        <v>0</v>
      </c>
      <c r="M821" s="15">
        <v>0</v>
      </c>
      <c r="N821" s="21">
        <f t="shared" si="24"/>
        <v>35507</v>
      </c>
      <c r="O821" s="21">
        <v>17851.23</v>
      </c>
      <c r="P821" s="21">
        <f t="shared" si="25"/>
        <v>17655.77</v>
      </c>
      <c r="Q821" s="19" t="s">
        <v>91</v>
      </c>
      <c r="R821" s="19">
        <v>2026</v>
      </c>
      <c r="S821" s="19">
        <v>2</v>
      </c>
    </row>
    <row r="822" spans="1:19" x14ac:dyDescent="0.3">
      <c r="A822" t="s">
        <v>880</v>
      </c>
      <c r="B822" s="2">
        <v>46069</v>
      </c>
      <c r="C822" t="s">
        <v>48</v>
      </c>
      <c r="D822" t="s">
        <v>34</v>
      </c>
      <c r="E822" t="s">
        <v>42</v>
      </c>
      <c r="F822" t="s">
        <v>37</v>
      </c>
      <c r="G822" t="s">
        <v>31</v>
      </c>
      <c r="H822" t="s">
        <v>25</v>
      </c>
      <c r="I822">
        <v>3</v>
      </c>
      <c r="J822" s="5">
        <v>26289</v>
      </c>
      <c r="K822" s="5">
        <v>78867</v>
      </c>
      <c r="L822" s="5">
        <v>0</v>
      </c>
      <c r="M822" s="12">
        <v>0</v>
      </c>
      <c r="N822" s="5">
        <f t="shared" si="24"/>
        <v>78867</v>
      </c>
      <c r="O822" s="5">
        <v>53067.86</v>
      </c>
      <c r="P822" s="5">
        <f t="shared" si="25"/>
        <v>25799.14</v>
      </c>
      <c r="Q822" t="s">
        <v>91</v>
      </c>
      <c r="R822">
        <v>2026</v>
      </c>
      <c r="S822">
        <v>2</v>
      </c>
    </row>
    <row r="823" spans="1:19" x14ac:dyDescent="0.3">
      <c r="A823" s="19" t="s">
        <v>881</v>
      </c>
      <c r="B823" s="20">
        <v>46070</v>
      </c>
      <c r="C823" s="19" t="s">
        <v>46</v>
      </c>
      <c r="D823" s="19" t="s">
        <v>21</v>
      </c>
      <c r="E823" s="19" t="s">
        <v>44</v>
      </c>
      <c r="F823" s="19" t="s">
        <v>40</v>
      </c>
      <c r="G823" s="19" t="s">
        <v>24</v>
      </c>
      <c r="H823" s="19" t="s">
        <v>25</v>
      </c>
      <c r="I823" s="19">
        <v>2</v>
      </c>
      <c r="J823" s="21">
        <v>12855</v>
      </c>
      <c r="K823" s="21">
        <v>25710</v>
      </c>
      <c r="L823" s="21">
        <v>0</v>
      </c>
      <c r="M823" s="15">
        <v>0</v>
      </c>
      <c r="N823" s="21">
        <f t="shared" si="24"/>
        <v>25710</v>
      </c>
      <c r="O823" s="21">
        <v>15422.37</v>
      </c>
      <c r="P823" s="21">
        <f t="shared" si="25"/>
        <v>10287.629999999999</v>
      </c>
      <c r="Q823" s="19" t="s">
        <v>91</v>
      </c>
      <c r="R823" s="19">
        <v>2026</v>
      </c>
      <c r="S823" s="19">
        <v>2</v>
      </c>
    </row>
    <row r="824" spans="1:19" x14ac:dyDescent="0.3">
      <c r="A824" t="s">
        <v>882</v>
      </c>
      <c r="B824" s="2">
        <v>46071</v>
      </c>
      <c r="C824" t="s">
        <v>71</v>
      </c>
      <c r="D824" t="s">
        <v>34</v>
      </c>
      <c r="E824" t="s">
        <v>44</v>
      </c>
      <c r="F824" t="s">
        <v>35</v>
      </c>
      <c r="G824" t="s">
        <v>24</v>
      </c>
      <c r="H824" t="s">
        <v>94</v>
      </c>
      <c r="I824">
        <v>4</v>
      </c>
      <c r="J824" s="5">
        <v>52241</v>
      </c>
      <c r="K824" s="5">
        <v>208964</v>
      </c>
      <c r="L824" s="5">
        <v>41792.800000000003</v>
      </c>
      <c r="M824" s="12">
        <v>0.2</v>
      </c>
      <c r="N824" s="5">
        <f t="shared" si="24"/>
        <v>167171.20000000001</v>
      </c>
      <c r="O824" s="5">
        <v>102696.62</v>
      </c>
      <c r="P824" s="5">
        <f t="shared" si="25"/>
        <v>64474.580000000016</v>
      </c>
      <c r="Q824" t="s">
        <v>91</v>
      </c>
      <c r="R824">
        <v>2026</v>
      </c>
      <c r="S824">
        <v>2</v>
      </c>
    </row>
    <row r="825" spans="1:19" x14ac:dyDescent="0.3">
      <c r="A825" s="19" t="s">
        <v>883</v>
      </c>
      <c r="B825" s="20">
        <v>46072</v>
      </c>
      <c r="C825" s="19" t="s">
        <v>46</v>
      </c>
      <c r="D825" s="19" t="s">
        <v>21</v>
      </c>
      <c r="E825" s="19" t="s">
        <v>42</v>
      </c>
      <c r="F825" s="19" t="s">
        <v>23</v>
      </c>
      <c r="G825" s="19" t="s">
        <v>31</v>
      </c>
      <c r="H825" s="19" t="s">
        <v>94</v>
      </c>
      <c r="I825" s="19">
        <v>2</v>
      </c>
      <c r="J825" s="21">
        <v>12529</v>
      </c>
      <c r="K825" s="21">
        <v>25058</v>
      </c>
      <c r="L825" s="21">
        <v>1252.9000000000001</v>
      </c>
      <c r="M825" s="15">
        <v>0.05</v>
      </c>
      <c r="N825" s="21">
        <f t="shared" si="24"/>
        <v>23805.1</v>
      </c>
      <c r="O825" s="21">
        <v>13093.43</v>
      </c>
      <c r="P825" s="21">
        <f t="shared" si="25"/>
        <v>10711.669999999998</v>
      </c>
      <c r="Q825" s="19" t="s">
        <v>91</v>
      </c>
      <c r="R825" s="19">
        <v>2026</v>
      </c>
      <c r="S825" s="19">
        <v>2</v>
      </c>
    </row>
    <row r="826" spans="1:19" x14ac:dyDescent="0.3">
      <c r="A826" t="s">
        <v>884</v>
      </c>
      <c r="B826" s="2">
        <v>46075</v>
      </c>
      <c r="C826" t="s">
        <v>48</v>
      </c>
      <c r="D826" t="s">
        <v>34</v>
      </c>
      <c r="E826" t="s">
        <v>44</v>
      </c>
      <c r="F826" t="s">
        <v>35</v>
      </c>
      <c r="G826" t="s">
        <v>31</v>
      </c>
      <c r="H826" t="s">
        <v>94</v>
      </c>
      <c r="I826">
        <v>5</v>
      </c>
      <c r="J826" s="5">
        <v>24125</v>
      </c>
      <c r="K826" s="5">
        <v>120625</v>
      </c>
      <c r="L826" s="5">
        <v>18093.75</v>
      </c>
      <c r="M826" s="12">
        <v>0.15</v>
      </c>
      <c r="N826" s="5">
        <f t="shared" si="24"/>
        <v>102531.25</v>
      </c>
      <c r="O826" s="5">
        <v>59266.09</v>
      </c>
      <c r="P826" s="5">
        <f t="shared" si="25"/>
        <v>43265.16</v>
      </c>
      <c r="Q826" t="s">
        <v>91</v>
      </c>
      <c r="R826">
        <v>2026</v>
      </c>
      <c r="S826">
        <v>2</v>
      </c>
    </row>
    <row r="827" spans="1:19" x14ac:dyDescent="0.3">
      <c r="A827" s="19" t="s">
        <v>885</v>
      </c>
      <c r="B827" s="20">
        <v>46076</v>
      </c>
      <c r="C827" s="19" t="s">
        <v>33</v>
      </c>
      <c r="D827" s="19" t="s">
        <v>34</v>
      </c>
      <c r="E827" s="19" t="s">
        <v>42</v>
      </c>
      <c r="F827" s="19" t="s">
        <v>40</v>
      </c>
      <c r="G827" s="19" t="s">
        <v>24</v>
      </c>
      <c r="H827" s="19" t="s">
        <v>94</v>
      </c>
      <c r="I827" s="19">
        <v>4</v>
      </c>
      <c r="J827" s="21">
        <v>39123</v>
      </c>
      <c r="K827" s="21">
        <v>156492</v>
      </c>
      <c r="L827" s="21">
        <v>23473.8</v>
      </c>
      <c r="M827" s="15">
        <v>0.15</v>
      </c>
      <c r="N827" s="21">
        <f t="shared" si="24"/>
        <v>133018.20000000001</v>
      </c>
      <c r="O827" s="21">
        <v>105092.72</v>
      </c>
      <c r="P827" s="21">
        <f t="shared" si="25"/>
        <v>27925.48000000001</v>
      </c>
      <c r="Q827" s="19" t="s">
        <v>91</v>
      </c>
      <c r="R827" s="19">
        <v>2026</v>
      </c>
      <c r="S827" s="19">
        <v>2</v>
      </c>
    </row>
    <row r="828" spans="1:19" x14ac:dyDescent="0.3">
      <c r="A828" t="s">
        <v>886</v>
      </c>
      <c r="B828" s="2">
        <v>46076</v>
      </c>
      <c r="C828" t="s">
        <v>20</v>
      </c>
      <c r="D828" t="s">
        <v>21</v>
      </c>
      <c r="E828" t="s">
        <v>56</v>
      </c>
      <c r="F828" t="s">
        <v>37</v>
      </c>
      <c r="G828" t="s">
        <v>31</v>
      </c>
      <c r="H828" t="s">
        <v>94</v>
      </c>
      <c r="I828">
        <v>5</v>
      </c>
      <c r="J828" s="5">
        <v>14590</v>
      </c>
      <c r="K828" s="5">
        <v>72950</v>
      </c>
      <c r="L828" s="5">
        <v>10942.5</v>
      </c>
      <c r="M828" s="12">
        <v>0.15</v>
      </c>
      <c r="N828" s="5">
        <f t="shared" si="24"/>
        <v>62007.5</v>
      </c>
      <c r="O828" s="5">
        <v>47378.06</v>
      </c>
      <c r="P828" s="5">
        <f t="shared" si="25"/>
        <v>14629.440000000002</v>
      </c>
      <c r="Q828" t="s">
        <v>91</v>
      </c>
      <c r="R828">
        <v>2026</v>
      </c>
      <c r="S828">
        <v>2</v>
      </c>
    </row>
    <row r="829" spans="1:19" x14ac:dyDescent="0.3">
      <c r="A829" s="19" t="s">
        <v>887</v>
      </c>
      <c r="B829" s="20">
        <v>46076</v>
      </c>
      <c r="C829" s="19" t="s">
        <v>48</v>
      </c>
      <c r="D829" s="19" t="s">
        <v>34</v>
      </c>
      <c r="E829" s="19" t="s">
        <v>56</v>
      </c>
      <c r="F829" s="19" t="s">
        <v>23</v>
      </c>
      <c r="G829" s="19" t="s">
        <v>31</v>
      </c>
      <c r="H829" s="19" t="s">
        <v>94</v>
      </c>
      <c r="I829" s="19">
        <v>1</v>
      </c>
      <c r="J829" s="21">
        <v>25042</v>
      </c>
      <c r="K829" s="21">
        <v>25042</v>
      </c>
      <c r="L829" s="21">
        <v>2504.1999999999998</v>
      </c>
      <c r="M829" s="15">
        <v>0.1</v>
      </c>
      <c r="N829" s="21">
        <f t="shared" si="24"/>
        <v>22537.8</v>
      </c>
      <c r="O829" s="21">
        <v>16580.84</v>
      </c>
      <c r="P829" s="21">
        <f t="shared" si="25"/>
        <v>5956.9599999999991</v>
      </c>
      <c r="Q829" s="19" t="s">
        <v>91</v>
      </c>
      <c r="R829" s="19">
        <v>2026</v>
      </c>
      <c r="S829" s="19">
        <v>2</v>
      </c>
    </row>
    <row r="830" spans="1:19" x14ac:dyDescent="0.3">
      <c r="A830" t="s">
        <v>888</v>
      </c>
      <c r="B830" s="2">
        <v>46081</v>
      </c>
      <c r="C830" t="s">
        <v>33</v>
      </c>
      <c r="D830" t="s">
        <v>34</v>
      </c>
      <c r="E830" t="s">
        <v>56</v>
      </c>
      <c r="F830" t="s">
        <v>37</v>
      </c>
      <c r="G830" t="s">
        <v>24</v>
      </c>
      <c r="H830" t="s">
        <v>94</v>
      </c>
      <c r="I830">
        <v>1</v>
      </c>
      <c r="J830" s="5">
        <v>44545</v>
      </c>
      <c r="K830" s="5">
        <v>44545</v>
      </c>
      <c r="L830" s="5">
        <v>2227.25</v>
      </c>
      <c r="M830" s="12">
        <v>0.05</v>
      </c>
      <c r="N830" s="5">
        <f t="shared" si="24"/>
        <v>42317.75</v>
      </c>
      <c r="O830" s="5">
        <v>29131.88</v>
      </c>
      <c r="P830" s="5">
        <f t="shared" si="25"/>
        <v>13185.869999999999</v>
      </c>
      <c r="Q830" t="s">
        <v>91</v>
      </c>
      <c r="R830">
        <v>2026</v>
      </c>
      <c r="S830">
        <v>2</v>
      </c>
    </row>
    <row r="831" spans="1:19" x14ac:dyDescent="0.3">
      <c r="A831" s="19" t="s">
        <v>889</v>
      </c>
      <c r="B831" s="20">
        <v>46082</v>
      </c>
      <c r="C831" s="19" t="s">
        <v>50</v>
      </c>
      <c r="D831" s="19" t="s">
        <v>34</v>
      </c>
      <c r="E831" s="19" t="s">
        <v>22</v>
      </c>
      <c r="F831" s="19" t="s">
        <v>40</v>
      </c>
      <c r="G831" s="19" t="s">
        <v>31</v>
      </c>
      <c r="H831" s="19" t="s">
        <v>25</v>
      </c>
      <c r="I831" s="19">
        <v>3</v>
      </c>
      <c r="J831" s="21">
        <v>19073</v>
      </c>
      <c r="K831" s="21">
        <v>57219</v>
      </c>
      <c r="L831" s="21">
        <v>0</v>
      </c>
      <c r="M831" s="15">
        <v>0</v>
      </c>
      <c r="N831" s="21">
        <f t="shared" si="24"/>
        <v>57219</v>
      </c>
      <c r="O831" s="21">
        <v>35821.949999999997</v>
      </c>
      <c r="P831" s="21">
        <f t="shared" si="25"/>
        <v>21397.050000000003</v>
      </c>
      <c r="Q831" s="19" t="s">
        <v>131</v>
      </c>
      <c r="R831" s="19">
        <v>2026</v>
      </c>
      <c r="S831" s="19">
        <v>3</v>
      </c>
    </row>
    <row r="832" spans="1:19" x14ac:dyDescent="0.3">
      <c r="A832" t="s">
        <v>890</v>
      </c>
      <c r="B832" s="2">
        <v>46083</v>
      </c>
      <c r="C832" t="s">
        <v>64</v>
      </c>
      <c r="D832" t="s">
        <v>29</v>
      </c>
      <c r="E832" t="s">
        <v>56</v>
      </c>
      <c r="F832" t="s">
        <v>30</v>
      </c>
      <c r="G832" t="s">
        <v>31</v>
      </c>
      <c r="H832" t="s">
        <v>133</v>
      </c>
      <c r="I832">
        <v>2</v>
      </c>
      <c r="J832" s="5">
        <v>31482</v>
      </c>
      <c r="K832" s="5">
        <v>62964</v>
      </c>
      <c r="L832" s="5">
        <v>12592.8</v>
      </c>
      <c r="M832" s="12">
        <v>0.2</v>
      </c>
      <c r="N832" s="5">
        <f t="shared" si="24"/>
        <v>50371.199999999997</v>
      </c>
      <c r="O832" s="5">
        <v>33740.74</v>
      </c>
      <c r="P832" s="5">
        <f t="shared" si="25"/>
        <v>16630.46</v>
      </c>
      <c r="Q832" t="s">
        <v>131</v>
      </c>
      <c r="R832">
        <v>2026</v>
      </c>
      <c r="S832">
        <v>3</v>
      </c>
    </row>
    <row r="833" spans="1:19" x14ac:dyDescent="0.3">
      <c r="A833" s="19" t="s">
        <v>891</v>
      </c>
      <c r="B833" s="20">
        <v>46083</v>
      </c>
      <c r="C833" s="19" t="s">
        <v>46</v>
      </c>
      <c r="D833" s="19" t="s">
        <v>21</v>
      </c>
      <c r="E833" s="19" t="s">
        <v>44</v>
      </c>
      <c r="F833" s="19" t="s">
        <v>40</v>
      </c>
      <c r="G833" s="19" t="s">
        <v>31</v>
      </c>
      <c r="H833" s="19" t="s">
        <v>25</v>
      </c>
      <c r="I833" s="19">
        <v>1</v>
      </c>
      <c r="J833" s="21">
        <v>11305</v>
      </c>
      <c r="K833" s="21">
        <v>11305</v>
      </c>
      <c r="L833" s="21">
        <v>0</v>
      </c>
      <c r="M833" s="15">
        <v>0</v>
      </c>
      <c r="N833" s="21">
        <f t="shared" si="24"/>
        <v>11305</v>
      </c>
      <c r="O833" s="21">
        <v>6557.03</v>
      </c>
      <c r="P833" s="21">
        <f t="shared" si="25"/>
        <v>4747.97</v>
      </c>
      <c r="Q833" s="19" t="s">
        <v>131</v>
      </c>
      <c r="R833" s="19">
        <v>2026</v>
      </c>
      <c r="S833" s="19">
        <v>3</v>
      </c>
    </row>
    <row r="834" spans="1:19" x14ac:dyDescent="0.3">
      <c r="A834" t="s">
        <v>892</v>
      </c>
      <c r="B834" s="2">
        <v>46085</v>
      </c>
      <c r="C834" t="s">
        <v>50</v>
      </c>
      <c r="D834" t="s">
        <v>34</v>
      </c>
      <c r="E834" t="s">
        <v>42</v>
      </c>
      <c r="F834" t="s">
        <v>35</v>
      </c>
      <c r="G834" t="s">
        <v>24</v>
      </c>
      <c r="H834" t="s">
        <v>133</v>
      </c>
      <c r="I834">
        <v>1</v>
      </c>
      <c r="J834" s="5">
        <v>18654</v>
      </c>
      <c r="K834" s="5">
        <v>18654</v>
      </c>
      <c r="L834" s="5">
        <v>1865.4</v>
      </c>
      <c r="M834" s="12">
        <v>0.1</v>
      </c>
      <c r="N834" s="5">
        <f t="shared" si="24"/>
        <v>16788.599999999999</v>
      </c>
      <c r="O834" s="5">
        <v>9722.65</v>
      </c>
      <c r="P834" s="5">
        <f t="shared" si="25"/>
        <v>7065.9499999999989</v>
      </c>
      <c r="Q834" t="s">
        <v>131</v>
      </c>
      <c r="R834">
        <v>2026</v>
      </c>
      <c r="S834">
        <v>3</v>
      </c>
    </row>
    <row r="835" spans="1:19" x14ac:dyDescent="0.3">
      <c r="A835" s="19" t="s">
        <v>893</v>
      </c>
      <c r="B835" s="20">
        <v>46085</v>
      </c>
      <c r="C835" s="19" t="s">
        <v>71</v>
      </c>
      <c r="D835" s="19" t="s">
        <v>34</v>
      </c>
      <c r="E835" s="19" t="s">
        <v>44</v>
      </c>
      <c r="F835" s="19" t="s">
        <v>35</v>
      </c>
      <c r="G835" s="19" t="s">
        <v>31</v>
      </c>
      <c r="H835" s="19" t="s">
        <v>133</v>
      </c>
      <c r="I835" s="19">
        <v>1</v>
      </c>
      <c r="J835" s="21">
        <v>47077</v>
      </c>
      <c r="K835" s="21">
        <v>47077</v>
      </c>
      <c r="L835" s="21">
        <v>9415.4</v>
      </c>
      <c r="M835" s="15">
        <v>0.2</v>
      </c>
      <c r="N835" s="21">
        <f t="shared" ref="N835:N898" si="26">K835-L835</f>
        <v>37661.599999999999</v>
      </c>
      <c r="O835" s="21">
        <v>27168.11</v>
      </c>
      <c r="P835" s="21">
        <f t="shared" si="25"/>
        <v>10493.489999999998</v>
      </c>
      <c r="Q835" s="19" t="s">
        <v>131</v>
      </c>
      <c r="R835" s="19">
        <v>2026</v>
      </c>
      <c r="S835" s="19">
        <v>3</v>
      </c>
    </row>
    <row r="836" spans="1:19" x14ac:dyDescent="0.3">
      <c r="A836" t="s">
        <v>894</v>
      </c>
      <c r="B836" s="2">
        <v>46085</v>
      </c>
      <c r="C836" t="s">
        <v>46</v>
      </c>
      <c r="D836" t="s">
        <v>21</v>
      </c>
      <c r="E836" t="s">
        <v>22</v>
      </c>
      <c r="F836" t="s">
        <v>23</v>
      </c>
      <c r="G836" t="s">
        <v>31</v>
      </c>
      <c r="H836" t="s">
        <v>25</v>
      </c>
      <c r="I836">
        <v>1</v>
      </c>
      <c r="J836" s="5">
        <v>12588</v>
      </c>
      <c r="K836" s="5">
        <v>12588</v>
      </c>
      <c r="L836" s="5">
        <v>0</v>
      </c>
      <c r="M836" s="12">
        <v>0</v>
      </c>
      <c r="N836" s="5">
        <f t="shared" si="26"/>
        <v>12588</v>
      </c>
      <c r="O836" s="5">
        <v>7156.3</v>
      </c>
      <c r="P836" s="5">
        <f t="shared" ref="P836:P899" si="27">N836-O836</f>
        <v>5431.7</v>
      </c>
      <c r="Q836" t="s">
        <v>131</v>
      </c>
      <c r="R836">
        <v>2026</v>
      </c>
      <c r="S836">
        <v>3</v>
      </c>
    </row>
    <row r="837" spans="1:19" x14ac:dyDescent="0.3">
      <c r="A837" s="19" t="s">
        <v>895</v>
      </c>
      <c r="B837" s="20">
        <v>46086</v>
      </c>
      <c r="C837" s="19" t="s">
        <v>71</v>
      </c>
      <c r="D837" s="19" t="s">
        <v>34</v>
      </c>
      <c r="E837" s="19" t="s">
        <v>42</v>
      </c>
      <c r="F837" s="19" t="s">
        <v>40</v>
      </c>
      <c r="G837" s="19" t="s">
        <v>31</v>
      </c>
      <c r="H837" s="19" t="s">
        <v>25</v>
      </c>
      <c r="I837" s="19">
        <v>2</v>
      </c>
      <c r="J837" s="21">
        <v>51917</v>
      </c>
      <c r="K837" s="21">
        <v>103834</v>
      </c>
      <c r="L837" s="21">
        <v>0</v>
      </c>
      <c r="M837" s="15">
        <v>0</v>
      </c>
      <c r="N837" s="21">
        <f t="shared" si="26"/>
        <v>103834</v>
      </c>
      <c r="O837" s="21">
        <v>62586.51</v>
      </c>
      <c r="P837" s="21">
        <f t="shared" si="27"/>
        <v>41247.49</v>
      </c>
      <c r="Q837" s="19" t="s">
        <v>131</v>
      </c>
      <c r="R837" s="19">
        <v>2026</v>
      </c>
      <c r="S837" s="19">
        <v>3</v>
      </c>
    </row>
    <row r="838" spans="1:19" x14ac:dyDescent="0.3">
      <c r="A838" t="s">
        <v>896</v>
      </c>
      <c r="B838" s="2">
        <v>46086</v>
      </c>
      <c r="C838" t="s">
        <v>20</v>
      </c>
      <c r="D838" t="s">
        <v>21</v>
      </c>
      <c r="E838" t="s">
        <v>44</v>
      </c>
      <c r="F838" t="s">
        <v>40</v>
      </c>
      <c r="G838" t="s">
        <v>24</v>
      </c>
      <c r="H838" t="s">
        <v>133</v>
      </c>
      <c r="I838">
        <v>1</v>
      </c>
      <c r="J838" s="5">
        <v>14606</v>
      </c>
      <c r="K838" s="5">
        <v>14606</v>
      </c>
      <c r="L838" s="5">
        <v>730.3</v>
      </c>
      <c r="M838" s="12">
        <v>0.05</v>
      </c>
      <c r="N838" s="5">
        <f t="shared" si="26"/>
        <v>13875.7</v>
      </c>
      <c r="O838" s="5">
        <v>9338.0400000000009</v>
      </c>
      <c r="P838" s="5">
        <f t="shared" si="27"/>
        <v>4537.66</v>
      </c>
      <c r="Q838" t="s">
        <v>131</v>
      </c>
      <c r="R838">
        <v>2026</v>
      </c>
      <c r="S838">
        <v>3</v>
      </c>
    </row>
    <row r="839" spans="1:19" x14ac:dyDescent="0.3">
      <c r="A839" s="19" t="s">
        <v>897</v>
      </c>
      <c r="B839" s="20">
        <v>46086</v>
      </c>
      <c r="C839" s="19" t="s">
        <v>33</v>
      </c>
      <c r="D839" s="19" t="s">
        <v>34</v>
      </c>
      <c r="E839" s="19" t="s">
        <v>22</v>
      </c>
      <c r="F839" s="19" t="s">
        <v>30</v>
      </c>
      <c r="G839" s="19" t="s">
        <v>31</v>
      </c>
      <c r="H839" s="19" t="s">
        <v>133</v>
      </c>
      <c r="I839" s="19">
        <v>3</v>
      </c>
      <c r="J839" s="21">
        <v>44612</v>
      </c>
      <c r="K839" s="21">
        <v>133836</v>
      </c>
      <c r="L839" s="21">
        <v>20075.400000000001</v>
      </c>
      <c r="M839" s="15">
        <v>0.15</v>
      </c>
      <c r="N839" s="21">
        <f t="shared" si="26"/>
        <v>113760.6</v>
      </c>
      <c r="O839" s="21">
        <v>70759.850000000006</v>
      </c>
      <c r="P839" s="21">
        <f t="shared" si="27"/>
        <v>43000.75</v>
      </c>
      <c r="Q839" s="19" t="s">
        <v>131</v>
      </c>
      <c r="R839" s="19">
        <v>2026</v>
      </c>
      <c r="S839" s="19">
        <v>3</v>
      </c>
    </row>
    <row r="840" spans="1:19" x14ac:dyDescent="0.3">
      <c r="A840" t="s">
        <v>898</v>
      </c>
      <c r="B840" s="2">
        <v>46087</v>
      </c>
      <c r="C840" t="s">
        <v>71</v>
      </c>
      <c r="D840" t="s">
        <v>34</v>
      </c>
      <c r="E840" t="s">
        <v>22</v>
      </c>
      <c r="F840" t="s">
        <v>40</v>
      </c>
      <c r="G840" t="s">
        <v>31</v>
      </c>
      <c r="H840" t="s">
        <v>133</v>
      </c>
      <c r="I840">
        <v>1</v>
      </c>
      <c r="J840" s="5">
        <v>51927</v>
      </c>
      <c r="K840" s="5">
        <v>51927</v>
      </c>
      <c r="L840" s="5">
        <v>7789.05</v>
      </c>
      <c r="M840" s="12">
        <v>0.15</v>
      </c>
      <c r="N840" s="5">
        <f t="shared" si="26"/>
        <v>44137.95</v>
      </c>
      <c r="O840" s="5">
        <v>33534.639999999999</v>
      </c>
      <c r="P840" s="5">
        <f t="shared" si="27"/>
        <v>10603.309999999998</v>
      </c>
      <c r="Q840" t="s">
        <v>131</v>
      </c>
      <c r="R840">
        <v>2026</v>
      </c>
      <c r="S840">
        <v>3</v>
      </c>
    </row>
    <row r="841" spans="1:19" x14ac:dyDescent="0.3">
      <c r="A841" s="19" t="s">
        <v>899</v>
      </c>
      <c r="B841" s="20">
        <v>46088</v>
      </c>
      <c r="C841" s="19" t="s">
        <v>75</v>
      </c>
      <c r="D841" s="19" t="s">
        <v>34</v>
      </c>
      <c r="E841" s="19" t="s">
        <v>44</v>
      </c>
      <c r="F841" s="19" t="s">
        <v>23</v>
      </c>
      <c r="G841" s="19" t="s">
        <v>24</v>
      </c>
      <c r="H841" s="19" t="s">
        <v>25</v>
      </c>
      <c r="I841" s="19">
        <v>2</v>
      </c>
      <c r="J841" s="21">
        <v>40831</v>
      </c>
      <c r="K841" s="21">
        <v>81662</v>
      </c>
      <c r="L841" s="21">
        <v>0</v>
      </c>
      <c r="M841" s="15">
        <v>0</v>
      </c>
      <c r="N841" s="21">
        <f t="shared" si="26"/>
        <v>81662</v>
      </c>
      <c r="O841" s="21">
        <v>52445.04</v>
      </c>
      <c r="P841" s="21">
        <f t="shared" si="27"/>
        <v>29216.959999999999</v>
      </c>
      <c r="Q841" s="19" t="s">
        <v>131</v>
      </c>
      <c r="R841" s="19">
        <v>2026</v>
      </c>
      <c r="S841" s="19">
        <v>3</v>
      </c>
    </row>
    <row r="842" spans="1:19" x14ac:dyDescent="0.3">
      <c r="A842" t="s">
        <v>900</v>
      </c>
      <c r="B842" s="2">
        <v>46089</v>
      </c>
      <c r="C842" t="s">
        <v>82</v>
      </c>
      <c r="D842" t="s">
        <v>21</v>
      </c>
      <c r="E842" t="s">
        <v>22</v>
      </c>
      <c r="F842" t="s">
        <v>40</v>
      </c>
      <c r="G842" t="s">
        <v>24</v>
      </c>
      <c r="H842" t="s">
        <v>133</v>
      </c>
      <c r="I842">
        <v>3</v>
      </c>
      <c r="J842" s="5">
        <v>47695</v>
      </c>
      <c r="K842" s="5">
        <v>143085</v>
      </c>
      <c r="L842" s="5">
        <v>7154.25</v>
      </c>
      <c r="M842" s="12">
        <v>0.05</v>
      </c>
      <c r="N842" s="5">
        <f t="shared" si="26"/>
        <v>135930.75</v>
      </c>
      <c r="O842" s="5">
        <v>89361.84</v>
      </c>
      <c r="P842" s="5">
        <f t="shared" si="27"/>
        <v>46568.91</v>
      </c>
      <c r="Q842" t="s">
        <v>131</v>
      </c>
      <c r="R842">
        <v>2026</v>
      </c>
      <c r="S842">
        <v>3</v>
      </c>
    </row>
    <row r="843" spans="1:19" x14ac:dyDescent="0.3">
      <c r="A843" s="19" t="s">
        <v>901</v>
      </c>
      <c r="B843" s="20">
        <v>46089</v>
      </c>
      <c r="C843" s="19" t="s">
        <v>48</v>
      </c>
      <c r="D843" s="19" t="s">
        <v>34</v>
      </c>
      <c r="E843" s="19" t="s">
        <v>22</v>
      </c>
      <c r="F843" s="19" t="s">
        <v>30</v>
      </c>
      <c r="G843" s="19" t="s">
        <v>31</v>
      </c>
      <c r="H843" s="19" t="s">
        <v>25</v>
      </c>
      <c r="I843" s="19">
        <v>1</v>
      </c>
      <c r="J843" s="21">
        <v>23280</v>
      </c>
      <c r="K843" s="21">
        <v>23280</v>
      </c>
      <c r="L843" s="21">
        <v>0</v>
      </c>
      <c r="M843" s="15">
        <v>0</v>
      </c>
      <c r="N843" s="21">
        <f t="shared" si="26"/>
        <v>23280</v>
      </c>
      <c r="O843" s="21">
        <v>14007.15</v>
      </c>
      <c r="P843" s="21">
        <f t="shared" si="27"/>
        <v>9272.85</v>
      </c>
      <c r="Q843" s="19" t="s">
        <v>131</v>
      </c>
      <c r="R843" s="19">
        <v>2026</v>
      </c>
      <c r="S843" s="19">
        <v>3</v>
      </c>
    </row>
    <row r="844" spans="1:19" x14ac:dyDescent="0.3">
      <c r="A844" t="s">
        <v>902</v>
      </c>
      <c r="B844" s="2">
        <v>46089</v>
      </c>
      <c r="C844" t="s">
        <v>50</v>
      </c>
      <c r="D844" t="s">
        <v>34</v>
      </c>
      <c r="E844" t="s">
        <v>22</v>
      </c>
      <c r="F844" t="s">
        <v>40</v>
      </c>
      <c r="G844" t="s">
        <v>31</v>
      </c>
      <c r="H844" t="s">
        <v>133</v>
      </c>
      <c r="I844">
        <v>1</v>
      </c>
      <c r="J844" s="5">
        <v>17823</v>
      </c>
      <c r="K844" s="5">
        <v>17823</v>
      </c>
      <c r="L844" s="5">
        <v>1782.3</v>
      </c>
      <c r="M844" s="12">
        <v>0.1</v>
      </c>
      <c r="N844" s="5">
        <f t="shared" si="26"/>
        <v>16040.7</v>
      </c>
      <c r="O844" s="5">
        <v>9020.0499999999993</v>
      </c>
      <c r="P844" s="5">
        <f t="shared" si="27"/>
        <v>7020.6500000000015</v>
      </c>
      <c r="Q844" t="s">
        <v>131</v>
      </c>
      <c r="R844">
        <v>2026</v>
      </c>
      <c r="S844">
        <v>3</v>
      </c>
    </row>
    <row r="845" spans="1:19" x14ac:dyDescent="0.3">
      <c r="A845" s="19" t="s">
        <v>903</v>
      </c>
      <c r="B845" s="20">
        <v>46089</v>
      </c>
      <c r="C845" s="19" t="s">
        <v>46</v>
      </c>
      <c r="D845" s="19" t="s">
        <v>21</v>
      </c>
      <c r="E845" s="19" t="s">
        <v>56</v>
      </c>
      <c r="F845" s="19" t="s">
        <v>30</v>
      </c>
      <c r="G845" s="19" t="s">
        <v>24</v>
      </c>
      <c r="H845" s="19" t="s">
        <v>25</v>
      </c>
      <c r="I845" s="19">
        <v>3</v>
      </c>
      <c r="J845" s="21">
        <v>11163</v>
      </c>
      <c r="K845" s="21">
        <v>33489</v>
      </c>
      <c r="L845" s="21">
        <v>0</v>
      </c>
      <c r="M845" s="15">
        <v>0</v>
      </c>
      <c r="N845" s="21">
        <f t="shared" si="26"/>
        <v>33489</v>
      </c>
      <c r="O845" s="21">
        <v>18471.28</v>
      </c>
      <c r="P845" s="21">
        <f t="shared" si="27"/>
        <v>15017.720000000001</v>
      </c>
      <c r="Q845" s="19" t="s">
        <v>131</v>
      </c>
      <c r="R845" s="19">
        <v>2026</v>
      </c>
      <c r="S845" s="19">
        <v>3</v>
      </c>
    </row>
    <row r="846" spans="1:19" x14ac:dyDescent="0.3">
      <c r="A846" t="s">
        <v>904</v>
      </c>
      <c r="B846" s="2">
        <v>46091</v>
      </c>
      <c r="C846" t="s">
        <v>82</v>
      </c>
      <c r="D846" t="s">
        <v>21</v>
      </c>
      <c r="E846" t="s">
        <v>42</v>
      </c>
      <c r="F846" t="s">
        <v>37</v>
      </c>
      <c r="G846" t="s">
        <v>31</v>
      </c>
      <c r="H846" t="s">
        <v>25</v>
      </c>
      <c r="I846">
        <v>1</v>
      </c>
      <c r="J846" s="5">
        <v>45121</v>
      </c>
      <c r="K846" s="5">
        <v>45121</v>
      </c>
      <c r="L846" s="5">
        <v>0</v>
      </c>
      <c r="M846" s="12">
        <v>0</v>
      </c>
      <c r="N846" s="5">
        <f t="shared" si="26"/>
        <v>45121</v>
      </c>
      <c r="O846" s="5">
        <v>23551.94</v>
      </c>
      <c r="P846" s="5">
        <f t="shared" si="27"/>
        <v>21569.06</v>
      </c>
      <c r="Q846" t="s">
        <v>131</v>
      </c>
      <c r="R846">
        <v>2026</v>
      </c>
      <c r="S846">
        <v>3</v>
      </c>
    </row>
    <row r="847" spans="1:19" x14ac:dyDescent="0.3">
      <c r="A847" s="19" t="s">
        <v>905</v>
      </c>
      <c r="B847" s="20">
        <v>46091</v>
      </c>
      <c r="C847" s="19" t="s">
        <v>50</v>
      </c>
      <c r="D847" s="19" t="s">
        <v>34</v>
      </c>
      <c r="E847" s="19" t="s">
        <v>42</v>
      </c>
      <c r="F847" s="19" t="s">
        <v>35</v>
      </c>
      <c r="G847" s="19" t="s">
        <v>24</v>
      </c>
      <c r="H847" s="19" t="s">
        <v>25</v>
      </c>
      <c r="I847" s="19">
        <v>1</v>
      </c>
      <c r="J847" s="21">
        <v>19313</v>
      </c>
      <c r="K847" s="21">
        <v>19313</v>
      </c>
      <c r="L847" s="21">
        <v>0</v>
      </c>
      <c r="M847" s="15">
        <v>0</v>
      </c>
      <c r="N847" s="21">
        <f t="shared" si="26"/>
        <v>19313</v>
      </c>
      <c r="O847" s="21">
        <v>11036.67</v>
      </c>
      <c r="P847" s="21">
        <f t="shared" si="27"/>
        <v>8276.33</v>
      </c>
      <c r="Q847" s="19" t="s">
        <v>131</v>
      </c>
      <c r="R847" s="19">
        <v>2026</v>
      </c>
      <c r="S847" s="19">
        <v>3</v>
      </c>
    </row>
    <row r="848" spans="1:19" x14ac:dyDescent="0.3">
      <c r="A848" t="s">
        <v>906</v>
      </c>
      <c r="B848" s="2">
        <v>46092</v>
      </c>
      <c r="C848" t="s">
        <v>82</v>
      </c>
      <c r="D848" t="s">
        <v>21</v>
      </c>
      <c r="E848" t="s">
        <v>44</v>
      </c>
      <c r="F848" t="s">
        <v>23</v>
      </c>
      <c r="G848" t="s">
        <v>24</v>
      </c>
      <c r="H848" t="s">
        <v>25</v>
      </c>
      <c r="I848">
        <v>2</v>
      </c>
      <c r="J848" s="5">
        <v>45840</v>
      </c>
      <c r="K848" s="5">
        <v>91680</v>
      </c>
      <c r="L848" s="5">
        <v>0</v>
      </c>
      <c r="M848" s="12">
        <v>0</v>
      </c>
      <c r="N848" s="5">
        <f t="shared" si="26"/>
        <v>91680</v>
      </c>
      <c r="O848" s="5">
        <v>57536.85</v>
      </c>
      <c r="P848" s="5">
        <f t="shared" si="27"/>
        <v>34143.15</v>
      </c>
      <c r="Q848" t="s">
        <v>131</v>
      </c>
      <c r="R848">
        <v>2026</v>
      </c>
      <c r="S848">
        <v>3</v>
      </c>
    </row>
    <row r="849" spans="1:19" x14ac:dyDescent="0.3">
      <c r="A849" s="19" t="s">
        <v>907</v>
      </c>
      <c r="B849" s="20">
        <v>46093</v>
      </c>
      <c r="C849" s="19" t="s">
        <v>33</v>
      </c>
      <c r="D849" s="19" t="s">
        <v>34</v>
      </c>
      <c r="E849" s="19" t="s">
        <v>44</v>
      </c>
      <c r="F849" s="19" t="s">
        <v>40</v>
      </c>
      <c r="G849" s="19" t="s">
        <v>31</v>
      </c>
      <c r="H849" s="19" t="s">
        <v>133</v>
      </c>
      <c r="I849" s="19">
        <v>3</v>
      </c>
      <c r="J849" s="21">
        <v>40866</v>
      </c>
      <c r="K849" s="21">
        <v>122598</v>
      </c>
      <c r="L849" s="21">
        <v>18389.7</v>
      </c>
      <c r="M849" s="15">
        <v>0.15</v>
      </c>
      <c r="N849" s="21">
        <f t="shared" si="26"/>
        <v>104208.3</v>
      </c>
      <c r="O849" s="21">
        <v>68555.259999999995</v>
      </c>
      <c r="P849" s="21">
        <f t="shared" si="27"/>
        <v>35653.040000000008</v>
      </c>
      <c r="Q849" s="19" t="s">
        <v>131</v>
      </c>
      <c r="R849" s="19">
        <v>2026</v>
      </c>
      <c r="S849" s="19">
        <v>3</v>
      </c>
    </row>
    <row r="850" spans="1:19" x14ac:dyDescent="0.3">
      <c r="A850" t="s">
        <v>908</v>
      </c>
      <c r="B850" s="2">
        <v>46093</v>
      </c>
      <c r="C850" t="s">
        <v>50</v>
      </c>
      <c r="D850" t="s">
        <v>34</v>
      </c>
      <c r="E850" t="s">
        <v>42</v>
      </c>
      <c r="F850" t="s">
        <v>40</v>
      </c>
      <c r="G850" t="s">
        <v>31</v>
      </c>
      <c r="H850" t="s">
        <v>25</v>
      </c>
      <c r="I850">
        <v>2</v>
      </c>
      <c r="J850" s="5">
        <v>16578</v>
      </c>
      <c r="K850" s="5">
        <v>33156</v>
      </c>
      <c r="L850" s="5">
        <v>0</v>
      </c>
      <c r="M850" s="12">
        <v>0</v>
      </c>
      <c r="N850" s="5">
        <f t="shared" si="26"/>
        <v>33156</v>
      </c>
      <c r="O850" s="5">
        <v>17808.919999999998</v>
      </c>
      <c r="P850" s="5">
        <f t="shared" si="27"/>
        <v>15347.080000000002</v>
      </c>
      <c r="Q850" t="s">
        <v>131</v>
      </c>
      <c r="R850">
        <v>2026</v>
      </c>
      <c r="S850">
        <v>3</v>
      </c>
    </row>
    <row r="851" spans="1:19" x14ac:dyDescent="0.3">
      <c r="A851" s="19" t="s">
        <v>909</v>
      </c>
      <c r="B851" s="20">
        <v>46095</v>
      </c>
      <c r="C851" s="19" t="s">
        <v>28</v>
      </c>
      <c r="D851" s="19" t="s">
        <v>29</v>
      </c>
      <c r="E851" s="19" t="s">
        <v>44</v>
      </c>
      <c r="F851" s="19" t="s">
        <v>37</v>
      </c>
      <c r="G851" s="19" t="s">
        <v>31</v>
      </c>
      <c r="H851" s="19" t="s">
        <v>25</v>
      </c>
      <c r="I851" s="19">
        <v>2</v>
      </c>
      <c r="J851" s="21">
        <v>66593</v>
      </c>
      <c r="K851" s="21">
        <v>133186</v>
      </c>
      <c r="L851" s="21">
        <v>0</v>
      </c>
      <c r="M851" s="15">
        <v>0</v>
      </c>
      <c r="N851" s="21">
        <f t="shared" si="26"/>
        <v>133186</v>
      </c>
      <c r="O851" s="21">
        <v>89666.83</v>
      </c>
      <c r="P851" s="21">
        <f t="shared" si="27"/>
        <v>43519.17</v>
      </c>
      <c r="Q851" s="19" t="s">
        <v>131</v>
      </c>
      <c r="R851" s="19">
        <v>2026</v>
      </c>
      <c r="S851" s="19">
        <v>3</v>
      </c>
    </row>
    <row r="852" spans="1:19" x14ac:dyDescent="0.3">
      <c r="A852" t="s">
        <v>910</v>
      </c>
      <c r="B852" s="2">
        <v>46096</v>
      </c>
      <c r="C852" t="s">
        <v>48</v>
      </c>
      <c r="D852" t="s">
        <v>34</v>
      </c>
      <c r="E852" t="s">
        <v>22</v>
      </c>
      <c r="F852" t="s">
        <v>40</v>
      </c>
      <c r="G852" t="s">
        <v>31</v>
      </c>
      <c r="H852" t="s">
        <v>133</v>
      </c>
      <c r="I852">
        <v>1</v>
      </c>
      <c r="J852" s="5">
        <v>24272</v>
      </c>
      <c r="K852" s="5">
        <v>24272</v>
      </c>
      <c r="L852" s="5">
        <v>3640.8</v>
      </c>
      <c r="M852" s="12">
        <v>0.15</v>
      </c>
      <c r="N852" s="5">
        <f t="shared" si="26"/>
        <v>20631.2</v>
      </c>
      <c r="O852" s="5">
        <v>13746.36</v>
      </c>
      <c r="P852" s="5">
        <f t="shared" si="27"/>
        <v>6884.84</v>
      </c>
      <c r="Q852" t="s">
        <v>131</v>
      </c>
      <c r="R852">
        <v>2026</v>
      </c>
      <c r="S852">
        <v>3</v>
      </c>
    </row>
    <row r="853" spans="1:19" x14ac:dyDescent="0.3">
      <c r="A853" s="19" t="s">
        <v>911</v>
      </c>
      <c r="B853" s="20">
        <v>46096</v>
      </c>
      <c r="C853" s="19" t="s">
        <v>82</v>
      </c>
      <c r="D853" s="19" t="s">
        <v>21</v>
      </c>
      <c r="E853" s="19" t="s">
        <v>22</v>
      </c>
      <c r="F853" s="19" t="s">
        <v>30</v>
      </c>
      <c r="G853" s="19" t="s">
        <v>31</v>
      </c>
      <c r="H853" s="19" t="s">
        <v>133</v>
      </c>
      <c r="I853" s="19">
        <v>2</v>
      </c>
      <c r="J853" s="21">
        <v>45351</v>
      </c>
      <c r="K853" s="21">
        <v>90702</v>
      </c>
      <c r="L853" s="21">
        <v>13605.3</v>
      </c>
      <c r="M853" s="15">
        <v>0.15</v>
      </c>
      <c r="N853" s="21">
        <f t="shared" si="26"/>
        <v>77096.7</v>
      </c>
      <c r="O853" s="21">
        <v>47639.360000000001</v>
      </c>
      <c r="P853" s="21">
        <f t="shared" si="27"/>
        <v>29457.339999999997</v>
      </c>
      <c r="Q853" s="19" t="s">
        <v>131</v>
      </c>
      <c r="R853" s="19">
        <v>2026</v>
      </c>
      <c r="S853" s="19">
        <v>3</v>
      </c>
    </row>
    <row r="854" spans="1:19" x14ac:dyDescent="0.3">
      <c r="A854" t="s">
        <v>912</v>
      </c>
      <c r="B854" s="2">
        <v>46096</v>
      </c>
      <c r="C854" t="s">
        <v>64</v>
      </c>
      <c r="D854" t="s">
        <v>29</v>
      </c>
      <c r="E854" t="s">
        <v>44</v>
      </c>
      <c r="F854" t="s">
        <v>40</v>
      </c>
      <c r="G854" t="s">
        <v>24</v>
      </c>
      <c r="H854" t="s">
        <v>25</v>
      </c>
      <c r="I854">
        <v>1</v>
      </c>
      <c r="J854" s="5">
        <v>31634</v>
      </c>
      <c r="K854" s="5">
        <v>31634</v>
      </c>
      <c r="L854" s="5">
        <v>0</v>
      </c>
      <c r="M854" s="12">
        <v>0</v>
      </c>
      <c r="N854" s="5">
        <f t="shared" si="26"/>
        <v>31634</v>
      </c>
      <c r="O854" s="5">
        <v>16199.1</v>
      </c>
      <c r="P854" s="5">
        <f t="shared" si="27"/>
        <v>15434.9</v>
      </c>
      <c r="Q854" t="s">
        <v>131</v>
      </c>
      <c r="R854">
        <v>2026</v>
      </c>
      <c r="S854">
        <v>3</v>
      </c>
    </row>
    <row r="855" spans="1:19" x14ac:dyDescent="0.3">
      <c r="A855" s="19" t="s">
        <v>913</v>
      </c>
      <c r="B855" s="20">
        <v>46096</v>
      </c>
      <c r="C855" s="19" t="s">
        <v>82</v>
      </c>
      <c r="D855" s="19" t="s">
        <v>21</v>
      </c>
      <c r="E855" s="19" t="s">
        <v>44</v>
      </c>
      <c r="F855" s="19" t="s">
        <v>23</v>
      </c>
      <c r="G855" s="19" t="s">
        <v>31</v>
      </c>
      <c r="H855" s="19" t="s">
        <v>133</v>
      </c>
      <c r="I855" s="19">
        <v>2</v>
      </c>
      <c r="J855" s="21">
        <v>45857</v>
      </c>
      <c r="K855" s="21">
        <v>91714</v>
      </c>
      <c r="L855" s="21">
        <v>4585.7</v>
      </c>
      <c r="M855" s="15">
        <v>0.05</v>
      </c>
      <c r="N855" s="21">
        <f t="shared" si="26"/>
        <v>87128.3</v>
      </c>
      <c r="O855" s="21">
        <v>53604.51</v>
      </c>
      <c r="P855" s="21">
        <f t="shared" si="27"/>
        <v>33523.79</v>
      </c>
      <c r="Q855" s="19" t="s">
        <v>131</v>
      </c>
      <c r="R855" s="19">
        <v>2026</v>
      </c>
      <c r="S855" s="19">
        <v>3</v>
      </c>
    </row>
    <row r="856" spans="1:19" x14ac:dyDescent="0.3">
      <c r="A856" t="s">
        <v>914</v>
      </c>
      <c r="B856" s="2">
        <v>46097</v>
      </c>
      <c r="C856" t="s">
        <v>82</v>
      </c>
      <c r="D856" t="s">
        <v>21</v>
      </c>
      <c r="E856" t="s">
        <v>56</v>
      </c>
      <c r="F856" t="s">
        <v>35</v>
      </c>
      <c r="G856" t="s">
        <v>31</v>
      </c>
      <c r="H856" t="s">
        <v>25</v>
      </c>
      <c r="I856">
        <v>3</v>
      </c>
      <c r="J856" s="5">
        <v>43441</v>
      </c>
      <c r="K856" s="5">
        <v>130323</v>
      </c>
      <c r="L856" s="5">
        <v>0</v>
      </c>
      <c r="M856" s="12">
        <v>0</v>
      </c>
      <c r="N856" s="5">
        <f t="shared" si="26"/>
        <v>130323</v>
      </c>
      <c r="O856" s="5">
        <v>75125.77</v>
      </c>
      <c r="P856" s="5">
        <f t="shared" si="27"/>
        <v>55197.229999999996</v>
      </c>
      <c r="Q856" t="s">
        <v>131</v>
      </c>
      <c r="R856">
        <v>2026</v>
      </c>
      <c r="S856">
        <v>3</v>
      </c>
    </row>
    <row r="857" spans="1:19" x14ac:dyDescent="0.3">
      <c r="A857" s="19" t="s">
        <v>915</v>
      </c>
      <c r="B857" s="20">
        <v>46097</v>
      </c>
      <c r="C857" s="19" t="s">
        <v>28</v>
      </c>
      <c r="D857" s="19" t="s">
        <v>29</v>
      </c>
      <c r="E857" s="19" t="s">
        <v>42</v>
      </c>
      <c r="F857" s="19" t="s">
        <v>37</v>
      </c>
      <c r="G857" s="19" t="s">
        <v>31</v>
      </c>
      <c r="H857" s="19" t="s">
        <v>133</v>
      </c>
      <c r="I857" s="19">
        <v>3</v>
      </c>
      <c r="J857" s="21">
        <v>69283</v>
      </c>
      <c r="K857" s="21">
        <v>207849</v>
      </c>
      <c r="L857" s="21">
        <v>20784.900000000001</v>
      </c>
      <c r="M857" s="15">
        <v>0.1</v>
      </c>
      <c r="N857" s="21">
        <f t="shared" si="26"/>
        <v>187064.1</v>
      </c>
      <c r="O857" s="21">
        <v>107477.01</v>
      </c>
      <c r="P857" s="21">
        <f t="shared" si="27"/>
        <v>79587.090000000011</v>
      </c>
      <c r="Q857" s="19" t="s">
        <v>131</v>
      </c>
      <c r="R857" s="19">
        <v>2026</v>
      </c>
      <c r="S857" s="19">
        <v>3</v>
      </c>
    </row>
    <row r="858" spans="1:19" x14ac:dyDescent="0.3">
      <c r="A858" t="s">
        <v>916</v>
      </c>
      <c r="B858" s="2">
        <v>46097</v>
      </c>
      <c r="C858" t="s">
        <v>75</v>
      </c>
      <c r="D858" t="s">
        <v>34</v>
      </c>
      <c r="E858" t="s">
        <v>44</v>
      </c>
      <c r="F858" t="s">
        <v>40</v>
      </c>
      <c r="G858" t="s">
        <v>31</v>
      </c>
      <c r="H858" t="s">
        <v>25</v>
      </c>
      <c r="I858">
        <v>4</v>
      </c>
      <c r="J858" s="5">
        <v>36947</v>
      </c>
      <c r="K858" s="5">
        <v>147788</v>
      </c>
      <c r="L858" s="5">
        <v>0</v>
      </c>
      <c r="M858" s="12">
        <v>0</v>
      </c>
      <c r="N858" s="5">
        <f t="shared" si="26"/>
        <v>147788</v>
      </c>
      <c r="O858" s="5">
        <v>98440.07</v>
      </c>
      <c r="P858" s="5">
        <f t="shared" si="27"/>
        <v>49347.929999999993</v>
      </c>
      <c r="Q858" t="s">
        <v>131</v>
      </c>
      <c r="R858">
        <v>2026</v>
      </c>
      <c r="S858">
        <v>3</v>
      </c>
    </row>
    <row r="859" spans="1:19" x14ac:dyDescent="0.3">
      <c r="A859" s="19" t="s">
        <v>917</v>
      </c>
      <c r="B859" s="20">
        <v>46097</v>
      </c>
      <c r="C859" s="19" t="s">
        <v>71</v>
      </c>
      <c r="D859" s="19" t="s">
        <v>34</v>
      </c>
      <c r="E859" s="19" t="s">
        <v>56</v>
      </c>
      <c r="F859" s="19" t="s">
        <v>23</v>
      </c>
      <c r="G859" s="19" t="s">
        <v>31</v>
      </c>
      <c r="H859" s="19" t="s">
        <v>25</v>
      </c>
      <c r="I859" s="19">
        <v>5</v>
      </c>
      <c r="J859" s="21">
        <v>52730</v>
      </c>
      <c r="K859" s="21">
        <v>263650</v>
      </c>
      <c r="L859" s="21">
        <v>0</v>
      </c>
      <c r="M859" s="15">
        <v>0</v>
      </c>
      <c r="N859" s="21">
        <f t="shared" si="26"/>
        <v>263650</v>
      </c>
      <c r="O859" s="21">
        <v>167041.31</v>
      </c>
      <c r="P859" s="21">
        <f t="shared" si="27"/>
        <v>96608.69</v>
      </c>
      <c r="Q859" s="19" t="s">
        <v>131</v>
      </c>
      <c r="R859" s="19">
        <v>2026</v>
      </c>
      <c r="S859" s="19">
        <v>3</v>
      </c>
    </row>
    <row r="860" spans="1:19" x14ac:dyDescent="0.3">
      <c r="A860" t="s">
        <v>918</v>
      </c>
      <c r="B860" s="2">
        <v>46098</v>
      </c>
      <c r="C860" t="s">
        <v>20</v>
      </c>
      <c r="D860" t="s">
        <v>21</v>
      </c>
      <c r="E860" t="s">
        <v>44</v>
      </c>
      <c r="F860" t="s">
        <v>37</v>
      </c>
      <c r="G860" t="s">
        <v>31</v>
      </c>
      <c r="H860" t="s">
        <v>25</v>
      </c>
      <c r="I860">
        <v>4</v>
      </c>
      <c r="J860" s="5">
        <v>15527</v>
      </c>
      <c r="K860" s="5">
        <v>62108</v>
      </c>
      <c r="L860" s="5">
        <v>0</v>
      </c>
      <c r="M860" s="12">
        <v>0</v>
      </c>
      <c r="N860" s="5">
        <f t="shared" si="26"/>
        <v>62108</v>
      </c>
      <c r="O860" s="5">
        <v>31134.880000000001</v>
      </c>
      <c r="P860" s="5">
        <f t="shared" si="27"/>
        <v>30973.119999999999</v>
      </c>
      <c r="Q860" t="s">
        <v>131</v>
      </c>
      <c r="R860">
        <v>2026</v>
      </c>
      <c r="S860">
        <v>3</v>
      </c>
    </row>
    <row r="861" spans="1:19" x14ac:dyDescent="0.3">
      <c r="A861" s="19" t="s">
        <v>919</v>
      </c>
      <c r="B861" s="20">
        <v>46098</v>
      </c>
      <c r="C861" s="19" t="s">
        <v>46</v>
      </c>
      <c r="D861" s="19" t="s">
        <v>21</v>
      </c>
      <c r="E861" s="19" t="s">
        <v>42</v>
      </c>
      <c r="F861" s="19" t="s">
        <v>30</v>
      </c>
      <c r="G861" s="19" t="s">
        <v>31</v>
      </c>
      <c r="H861" s="19" t="s">
        <v>133</v>
      </c>
      <c r="I861" s="19">
        <v>5</v>
      </c>
      <c r="J861" s="21">
        <v>12569</v>
      </c>
      <c r="K861" s="21">
        <v>62845</v>
      </c>
      <c r="L861" s="21">
        <v>6284.5</v>
      </c>
      <c r="M861" s="15">
        <v>0.1</v>
      </c>
      <c r="N861" s="21">
        <f t="shared" si="26"/>
        <v>56560.5</v>
      </c>
      <c r="O861" s="21">
        <v>37291.54</v>
      </c>
      <c r="P861" s="21">
        <f t="shared" si="27"/>
        <v>19268.96</v>
      </c>
      <c r="Q861" s="19" t="s">
        <v>131</v>
      </c>
      <c r="R861" s="19">
        <v>2026</v>
      </c>
      <c r="S861" s="19">
        <v>3</v>
      </c>
    </row>
    <row r="862" spans="1:19" x14ac:dyDescent="0.3">
      <c r="A862" t="s">
        <v>920</v>
      </c>
      <c r="B862" s="2">
        <v>46103</v>
      </c>
      <c r="C862" t="s">
        <v>50</v>
      </c>
      <c r="D862" t="s">
        <v>34</v>
      </c>
      <c r="E862" t="s">
        <v>22</v>
      </c>
      <c r="F862" t="s">
        <v>37</v>
      </c>
      <c r="G862" t="s">
        <v>31</v>
      </c>
      <c r="H862" t="s">
        <v>25</v>
      </c>
      <c r="I862">
        <v>2</v>
      </c>
      <c r="J862" s="5">
        <v>19278</v>
      </c>
      <c r="K862" s="5">
        <v>38556</v>
      </c>
      <c r="L862" s="5">
        <v>0</v>
      </c>
      <c r="M862" s="12">
        <v>0</v>
      </c>
      <c r="N862" s="5">
        <f t="shared" si="26"/>
        <v>38556</v>
      </c>
      <c r="O862" s="5">
        <v>25062.73</v>
      </c>
      <c r="P862" s="5">
        <f t="shared" si="27"/>
        <v>13493.27</v>
      </c>
      <c r="Q862" t="s">
        <v>131</v>
      </c>
      <c r="R862">
        <v>2026</v>
      </c>
      <c r="S862">
        <v>3</v>
      </c>
    </row>
    <row r="863" spans="1:19" x14ac:dyDescent="0.3">
      <c r="A863" s="19" t="s">
        <v>921</v>
      </c>
      <c r="B863" s="20">
        <v>46105</v>
      </c>
      <c r="C863" s="19" t="s">
        <v>46</v>
      </c>
      <c r="D863" s="19" t="s">
        <v>21</v>
      </c>
      <c r="E863" s="19" t="s">
        <v>42</v>
      </c>
      <c r="F863" s="19" t="s">
        <v>35</v>
      </c>
      <c r="G863" s="19" t="s">
        <v>31</v>
      </c>
      <c r="H863" s="19" t="s">
        <v>133</v>
      </c>
      <c r="I863" s="19">
        <v>2</v>
      </c>
      <c r="J863" s="21">
        <v>12223</v>
      </c>
      <c r="K863" s="21">
        <v>24446</v>
      </c>
      <c r="L863" s="21">
        <v>4889.2</v>
      </c>
      <c r="M863" s="15">
        <v>0.2</v>
      </c>
      <c r="N863" s="21">
        <f t="shared" si="26"/>
        <v>19556.8</v>
      </c>
      <c r="O863" s="21">
        <v>16424.68</v>
      </c>
      <c r="P863" s="21">
        <f t="shared" si="27"/>
        <v>3132.119999999999</v>
      </c>
      <c r="Q863" s="19" t="s">
        <v>131</v>
      </c>
      <c r="R863" s="19">
        <v>2026</v>
      </c>
      <c r="S863" s="19">
        <v>3</v>
      </c>
    </row>
    <row r="864" spans="1:19" x14ac:dyDescent="0.3">
      <c r="A864" t="s">
        <v>922</v>
      </c>
      <c r="B864" s="2">
        <v>46105</v>
      </c>
      <c r="C864" t="s">
        <v>33</v>
      </c>
      <c r="D864" t="s">
        <v>34</v>
      </c>
      <c r="E864" t="s">
        <v>56</v>
      </c>
      <c r="F864" t="s">
        <v>40</v>
      </c>
      <c r="G864" t="s">
        <v>24</v>
      </c>
      <c r="H864" t="s">
        <v>25</v>
      </c>
      <c r="I864">
        <v>1</v>
      </c>
      <c r="J864" s="5">
        <v>42368</v>
      </c>
      <c r="K864" s="5">
        <v>42368</v>
      </c>
      <c r="L864" s="5">
        <v>0</v>
      </c>
      <c r="M864" s="12">
        <v>0</v>
      </c>
      <c r="N864" s="5">
        <f t="shared" si="26"/>
        <v>42368</v>
      </c>
      <c r="O864" s="5">
        <v>20368.57</v>
      </c>
      <c r="P864" s="5">
        <f t="shared" si="27"/>
        <v>21999.43</v>
      </c>
      <c r="Q864" t="s">
        <v>131</v>
      </c>
      <c r="R864">
        <v>2026</v>
      </c>
      <c r="S864">
        <v>3</v>
      </c>
    </row>
    <row r="865" spans="1:19" x14ac:dyDescent="0.3">
      <c r="A865" s="19" t="s">
        <v>923</v>
      </c>
      <c r="B865" s="20">
        <v>46105</v>
      </c>
      <c r="C865" s="19" t="s">
        <v>82</v>
      </c>
      <c r="D865" s="19" t="s">
        <v>21</v>
      </c>
      <c r="E865" s="19" t="s">
        <v>56</v>
      </c>
      <c r="F865" s="19" t="s">
        <v>37</v>
      </c>
      <c r="G865" s="19" t="s">
        <v>24</v>
      </c>
      <c r="H865" s="19" t="s">
        <v>25</v>
      </c>
      <c r="I865" s="19">
        <v>1</v>
      </c>
      <c r="J865" s="21">
        <v>44967</v>
      </c>
      <c r="K865" s="21">
        <v>44967</v>
      </c>
      <c r="L865" s="21">
        <v>0</v>
      </c>
      <c r="M865" s="15">
        <v>0</v>
      </c>
      <c r="N865" s="21">
        <f t="shared" si="26"/>
        <v>44967</v>
      </c>
      <c r="O865" s="21">
        <v>24692.11</v>
      </c>
      <c r="P865" s="21">
        <f t="shared" si="27"/>
        <v>20274.89</v>
      </c>
      <c r="Q865" s="19" t="s">
        <v>131</v>
      </c>
      <c r="R865" s="19">
        <v>2026</v>
      </c>
      <c r="S865" s="19">
        <v>3</v>
      </c>
    </row>
    <row r="866" spans="1:19" x14ac:dyDescent="0.3">
      <c r="A866" t="s">
        <v>924</v>
      </c>
      <c r="B866" s="2">
        <v>46106</v>
      </c>
      <c r="C866" t="s">
        <v>20</v>
      </c>
      <c r="D866" t="s">
        <v>21</v>
      </c>
      <c r="E866" t="s">
        <v>42</v>
      </c>
      <c r="F866" t="s">
        <v>35</v>
      </c>
      <c r="G866" t="s">
        <v>24</v>
      </c>
      <c r="H866" t="s">
        <v>133</v>
      </c>
      <c r="I866">
        <v>1</v>
      </c>
      <c r="J866" s="5">
        <v>14506</v>
      </c>
      <c r="K866" s="5">
        <v>14506</v>
      </c>
      <c r="L866" s="5">
        <v>2175.9</v>
      </c>
      <c r="M866" s="12">
        <v>0.15</v>
      </c>
      <c r="N866" s="5">
        <f t="shared" si="26"/>
        <v>12330.1</v>
      </c>
      <c r="O866" s="5">
        <v>9166.1299999999992</v>
      </c>
      <c r="P866" s="5">
        <f t="shared" si="27"/>
        <v>3163.9700000000012</v>
      </c>
      <c r="Q866" t="s">
        <v>131</v>
      </c>
      <c r="R866">
        <v>2026</v>
      </c>
      <c r="S866">
        <v>3</v>
      </c>
    </row>
    <row r="867" spans="1:19" x14ac:dyDescent="0.3">
      <c r="A867" s="19" t="s">
        <v>925</v>
      </c>
      <c r="B867" s="20">
        <v>46106</v>
      </c>
      <c r="C867" s="19" t="s">
        <v>28</v>
      </c>
      <c r="D867" s="19" t="s">
        <v>29</v>
      </c>
      <c r="E867" s="19" t="s">
        <v>44</v>
      </c>
      <c r="F867" s="19" t="s">
        <v>23</v>
      </c>
      <c r="G867" s="19" t="s">
        <v>24</v>
      </c>
      <c r="H867" s="19" t="s">
        <v>25</v>
      </c>
      <c r="I867" s="19">
        <v>2</v>
      </c>
      <c r="J867" s="21">
        <v>68652</v>
      </c>
      <c r="K867" s="21">
        <v>137304</v>
      </c>
      <c r="L867" s="21">
        <v>0</v>
      </c>
      <c r="M867" s="15">
        <v>0</v>
      </c>
      <c r="N867" s="21">
        <f t="shared" si="26"/>
        <v>137304</v>
      </c>
      <c r="O867" s="21">
        <v>90544.94</v>
      </c>
      <c r="P867" s="21">
        <f t="shared" si="27"/>
        <v>46759.06</v>
      </c>
      <c r="Q867" s="19" t="s">
        <v>131</v>
      </c>
      <c r="R867" s="19">
        <v>2026</v>
      </c>
      <c r="S867" s="19">
        <v>3</v>
      </c>
    </row>
    <row r="868" spans="1:19" x14ac:dyDescent="0.3">
      <c r="A868" t="s">
        <v>926</v>
      </c>
      <c r="B868" s="2">
        <v>46106</v>
      </c>
      <c r="C868" t="s">
        <v>82</v>
      </c>
      <c r="D868" t="s">
        <v>21</v>
      </c>
      <c r="E868" t="s">
        <v>44</v>
      </c>
      <c r="F868" t="s">
        <v>40</v>
      </c>
      <c r="G868" t="s">
        <v>24</v>
      </c>
      <c r="H868" t="s">
        <v>133</v>
      </c>
      <c r="I868">
        <v>2</v>
      </c>
      <c r="J868" s="5">
        <v>42614</v>
      </c>
      <c r="K868" s="5">
        <v>85228</v>
      </c>
      <c r="L868" s="5">
        <v>17045.599999999999</v>
      </c>
      <c r="M868" s="12">
        <v>0.2</v>
      </c>
      <c r="N868" s="5">
        <f t="shared" si="26"/>
        <v>68182.399999999994</v>
      </c>
      <c r="O868" s="5">
        <v>48629.11</v>
      </c>
      <c r="P868" s="5">
        <f t="shared" si="27"/>
        <v>19553.289999999994</v>
      </c>
      <c r="Q868" t="s">
        <v>131</v>
      </c>
      <c r="R868">
        <v>2026</v>
      </c>
      <c r="S868">
        <v>3</v>
      </c>
    </row>
    <row r="869" spans="1:19" x14ac:dyDescent="0.3">
      <c r="A869" s="19" t="s">
        <v>927</v>
      </c>
      <c r="B869" s="20">
        <v>46106</v>
      </c>
      <c r="C869" s="19" t="s">
        <v>50</v>
      </c>
      <c r="D869" s="19" t="s">
        <v>34</v>
      </c>
      <c r="E869" s="19" t="s">
        <v>22</v>
      </c>
      <c r="F869" s="19" t="s">
        <v>35</v>
      </c>
      <c r="G869" s="19" t="s">
        <v>31</v>
      </c>
      <c r="H869" s="19" t="s">
        <v>25</v>
      </c>
      <c r="I869" s="19">
        <v>1</v>
      </c>
      <c r="J869" s="21">
        <v>18837</v>
      </c>
      <c r="K869" s="21">
        <v>18837</v>
      </c>
      <c r="L869" s="21">
        <v>0</v>
      </c>
      <c r="M869" s="15">
        <v>0</v>
      </c>
      <c r="N869" s="21">
        <f t="shared" si="26"/>
        <v>18837</v>
      </c>
      <c r="O869" s="21">
        <v>11162.1</v>
      </c>
      <c r="P869" s="21">
        <f t="shared" si="27"/>
        <v>7674.9</v>
      </c>
      <c r="Q869" s="19" t="s">
        <v>131</v>
      </c>
      <c r="R869" s="19">
        <v>2026</v>
      </c>
      <c r="S869" s="19">
        <v>3</v>
      </c>
    </row>
    <row r="870" spans="1:19" x14ac:dyDescent="0.3">
      <c r="A870" t="s">
        <v>928</v>
      </c>
      <c r="B870" s="2">
        <v>46107</v>
      </c>
      <c r="C870" t="s">
        <v>71</v>
      </c>
      <c r="D870" t="s">
        <v>34</v>
      </c>
      <c r="E870" t="s">
        <v>22</v>
      </c>
      <c r="F870" t="s">
        <v>40</v>
      </c>
      <c r="G870" t="s">
        <v>31</v>
      </c>
      <c r="H870" t="s">
        <v>25</v>
      </c>
      <c r="I870">
        <v>2</v>
      </c>
      <c r="J870" s="5">
        <v>51276</v>
      </c>
      <c r="K870" s="5">
        <v>102552</v>
      </c>
      <c r="L870" s="5">
        <v>0</v>
      </c>
      <c r="M870" s="12">
        <v>0</v>
      </c>
      <c r="N870" s="5">
        <f t="shared" si="26"/>
        <v>102552</v>
      </c>
      <c r="O870" s="5">
        <v>54802.68</v>
      </c>
      <c r="P870" s="5">
        <f t="shared" si="27"/>
        <v>47749.32</v>
      </c>
      <c r="Q870" t="s">
        <v>131</v>
      </c>
      <c r="R870">
        <v>2026</v>
      </c>
      <c r="S870">
        <v>3</v>
      </c>
    </row>
    <row r="871" spans="1:19" x14ac:dyDescent="0.3">
      <c r="A871" s="19" t="s">
        <v>929</v>
      </c>
      <c r="B871" s="20">
        <v>46107</v>
      </c>
      <c r="C871" s="19" t="s">
        <v>46</v>
      </c>
      <c r="D871" s="19" t="s">
        <v>21</v>
      </c>
      <c r="E871" s="19" t="s">
        <v>42</v>
      </c>
      <c r="F871" s="19" t="s">
        <v>23</v>
      </c>
      <c r="G871" s="19" t="s">
        <v>31</v>
      </c>
      <c r="H871" s="19" t="s">
        <v>133</v>
      </c>
      <c r="I871" s="19">
        <v>1</v>
      </c>
      <c r="J871" s="21">
        <v>12684</v>
      </c>
      <c r="K871" s="21">
        <v>12684</v>
      </c>
      <c r="L871" s="21">
        <v>2536.8000000000002</v>
      </c>
      <c r="M871" s="15">
        <v>0.2</v>
      </c>
      <c r="N871" s="21">
        <f t="shared" si="26"/>
        <v>10147.200000000001</v>
      </c>
      <c r="O871" s="21">
        <v>7932.72</v>
      </c>
      <c r="P871" s="21">
        <f t="shared" si="27"/>
        <v>2214.4800000000005</v>
      </c>
      <c r="Q871" s="19" t="s">
        <v>131</v>
      </c>
      <c r="R871" s="19">
        <v>2026</v>
      </c>
      <c r="S871" s="19">
        <v>3</v>
      </c>
    </row>
    <row r="872" spans="1:19" x14ac:dyDescent="0.3">
      <c r="A872" t="s">
        <v>930</v>
      </c>
      <c r="B872" s="2">
        <v>46107</v>
      </c>
      <c r="C872" t="s">
        <v>20</v>
      </c>
      <c r="D872" t="s">
        <v>21</v>
      </c>
      <c r="E872" t="s">
        <v>22</v>
      </c>
      <c r="F872" t="s">
        <v>37</v>
      </c>
      <c r="G872" t="s">
        <v>24</v>
      </c>
      <c r="H872" t="s">
        <v>25</v>
      </c>
      <c r="I872">
        <v>3</v>
      </c>
      <c r="J872" s="5">
        <v>15084</v>
      </c>
      <c r="K872" s="5">
        <v>45252</v>
      </c>
      <c r="L872" s="5">
        <v>0</v>
      </c>
      <c r="M872" s="12">
        <v>0</v>
      </c>
      <c r="N872" s="5">
        <f t="shared" si="26"/>
        <v>45252</v>
      </c>
      <c r="O872" s="5">
        <v>28816.36</v>
      </c>
      <c r="P872" s="5">
        <f t="shared" si="27"/>
        <v>16435.64</v>
      </c>
      <c r="Q872" t="s">
        <v>131</v>
      </c>
      <c r="R872">
        <v>2026</v>
      </c>
      <c r="S872">
        <v>3</v>
      </c>
    </row>
    <row r="873" spans="1:19" x14ac:dyDescent="0.3">
      <c r="A873" s="19" t="s">
        <v>931</v>
      </c>
      <c r="B873" s="20">
        <v>46107</v>
      </c>
      <c r="C873" s="19" t="s">
        <v>64</v>
      </c>
      <c r="D873" s="19" t="s">
        <v>29</v>
      </c>
      <c r="E873" s="19" t="s">
        <v>44</v>
      </c>
      <c r="F873" s="19" t="s">
        <v>40</v>
      </c>
      <c r="G873" s="19" t="s">
        <v>24</v>
      </c>
      <c r="H873" s="19" t="s">
        <v>25</v>
      </c>
      <c r="I873" s="19">
        <v>2</v>
      </c>
      <c r="J873" s="21">
        <v>29895</v>
      </c>
      <c r="K873" s="21">
        <v>59790</v>
      </c>
      <c r="L873" s="21">
        <v>0</v>
      </c>
      <c r="M873" s="15">
        <v>0</v>
      </c>
      <c r="N873" s="21">
        <f t="shared" si="26"/>
        <v>59790</v>
      </c>
      <c r="O873" s="21">
        <v>31480.05</v>
      </c>
      <c r="P873" s="21">
        <f t="shared" si="27"/>
        <v>28309.95</v>
      </c>
      <c r="Q873" s="19" t="s">
        <v>131</v>
      </c>
      <c r="R873" s="19">
        <v>2026</v>
      </c>
      <c r="S873" s="19">
        <v>3</v>
      </c>
    </row>
    <row r="874" spans="1:19" x14ac:dyDescent="0.3">
      <c r="A874" t="s">
        <v>932</v>
      </c>
      <c r="B874" s="2">
        <v>46108</v>
      </c>
      <c r="C874" t="s">
        <v>71</v>
      </c>
      <c r="D874" t="s">
        <v>34</v>
      </c>
      <c r="E874" t="s">
        <v>22</v>
      </c>
      <c r="F874" t="s">
        <v>40</v>
      </c>
      <c r="G874" t="s">
        <v>31</v>
      </c>
      <c r="H874" t="s">
        <v>133</v>
      </c>
      <c r="I874">
        <v>3</v>
      </c>
      <c r="J874" s="5">
        <v>52610</v>
      </c>
      <c r="K874" s="5">
        <v>157830</v>
      </c>
      <c r="L874" s="5">
        <v>31566</v>
      </c>
      <c r="M874" s="12">
        <v>0.2</v>
      </c>
      <c r="N874" s="5">
        <f t="shared" si="26"/>
        <v>126264</v>
      </c>
      <c r="O874" s="5">
        <v>84358.44</v>
      </c>
      <c r="P874" s="5">
        <f t="shared" si="27"/>
        <v>41905.56</v>
      </c>
      <c r="Q874" t="s">
        <v>131</v>
      </c>
      <c r="R874">
        <v>2026</v>
      </c>
      <c r="S874">
        <v>3</v>
      </c>
    </row>
    <row r="875" spans="1:19" x14ac:dyDescent="0.3">
      <c r="A875" s="19" t="s">
        <v>933</v>
      </c>
      <c r="B875" s="20">
        <v>46108</v>
      </c>
      <c r="C875" s="19" t="s">
        <v>33</v>
      </c>
      <c r="D875" s="19" t="s">
        <v>34</v>
      </c>
      <c r="E875" s="19" t="s">
        <v>44</v>
      </c>
      <c r="F875" s="19" t="s">
        <v>30</v>
      </c>
      <c r="G875" s="19" t="s">
        <v>31</v>
      </c>
      <c r="H875" s="19" t="s">
        <v>133</v>
      </c>
      <c r="I875" s="19">
        <v>1</v>
      </c>
      <c r="J875" s="21">
        <v>41089</v>
      </c>
      <c r="K875" s="21">
        <v>41089</v>
      </c>
      <c r="L875" s="21">
        <v>6163.35</v>
      </c>
      <c r="M875" s="15">
        <v>0.15</v>
      </c>
      <c r="N875" s="21">
        <f t="shared" si="26"/>
        <v>34925.65</v>
      </c>
      <c r="O875" s="21">
        <v>20721.599999999999</v>
      </c>
      <c r="P875" s="21">
        <f t="shared" si="27"/>
        <v>14204.050000000003</v>
      </c>
      <c r="Q875" s="19" t="s">
        <v>131</v>
      </c>
      <c r="R875" s="19">
        <v>2026</v>
      </c>
      <c r="S875" s="19">
        <v>3</v>
      </c>
    </row>
    <row r="876" spans="1:19" x14ac:dyDescent="0.3">
      <c r="A876" t="s">
        <v>934</v>
      </c>
      <c r="B876" s="2">
        <v>46110</v>
      </c>
      <c r="C876" t="s">
        <v>71</v>
      </c>
      <c r="D876" t="s">
        <v>34</v>
      </c>
      <c r="E876" t="s">
        <v>22</v>
      </c>
      <c r="F876" t="s">
        <v>37</v>
      </c>
      <c r="G876" t="s">
        <v>24</v>
      </c>
      <c r="H876" t="s">
        <v>133</v>
      </c>
      <c r="I876">
        <v>2</v>
      </c>
      <c r="J876" s="5">
        <v>52004</v>
      </c>
      <c r="K876" s="5">
        <v>104008</v>
      </c>
      <c r="L876" s="5">
        <v>5200.3999999999996</v>
      </c>
      <c r="M876" s="12">
        <v>0.05</v>
      </c>
      <c r="N876" s="5">
        <f t="shared" si="26"/>
        <v>98807.6</v>
      </c>
      <c r="O876" s="5">
        <v>64690.8</v>
      </c>
      <c r="P876" s="5">
        <f t="shared" si="27"/>
        <v>34116.800000000003</v>
      </c>
      <c r="Q876" t="s">
        <v>131</v>
      </c>
      <c r="R876">
        <v>2026</v>
      </c>
      <c r="S876">
        <v>3</v>
      </c>
    </row>
    <row r="877" spans="1:19" x14ac:dyDescent="0.3">
      <c r="A877" s="19" t="s">
        <v>935</v>
      </c>
      <c r="B877" s="20">
        <v>46112</v>
      </c>
      <c r="C877" s="19" t="s">
        <v>46</v>
      </c>
      <c r="D877" s="19" t="s">
        <v>21</v>
      </c>
      <c r="E877" s="19" t="s">
        <v>22</v>
      </c>
      <c r="F877" s="19" t="s">
        <v>40</v>
      </c>
      <c r="G877" s="19" t="s">
        <v>31</v>
      </c>
      <c r="H877" s="19" t="s">
        <v>133</v>
      </c>
      <c r="I877" s="19">
        <v>2</v>
      </c>
      <c r="J877" s="21">
        <v>12437</v>
      </c>
      <c r="K877" s="21">
        <v>24874</v>
      </c>
      <c r="L877" s="21">
        <v>2487.4</v>
      </c>
      <c r="M877" s="15">
        <v>0.1</v>
      </c>
      <c r="N877" s="21">
        <f t="shared" si="26"/>
        <v>22386.6</v>
      </c>
      <c r="O877" s="21">
        <v>13047.65</v>
      </c>
      <c r="P877" s="21">
        <f t="shared" si="27"/>
        <v>9338.9499999999989</v>
      </c>
      <c r="Q877" s="19" t="s">
        <v>131</v>
      </c>
      <c r="R877" s="19">
        <v>2026</v>
      </c>
      <c r="S877" s="19">
        <v>3</v>
      </c>
    </row>
    <row r="878" spans="1:19" x14ac:dyDescent="0.3">
      <c r="A878" t="s">
        <v>936</v>
      </c>
      <c r="B878" s="2">
        <v>46112</v>
      </c>
      <c r="C878" t="s">
        <v>71</v>
      </c>
      <c r="D878" t="s">
        <v>34</v>
      </c>
      <c r="E878" t="s">
        <v>22</v>
      </c>
      <c r="F878" t="s">
        <v>23</v>
      </c>
      <c r="G878" t="s">
        <v>24</v>
      </c>
      <c r="H878" t="s">
        <v>25</v>
      </c>
      <c r="I878">
        <v>2</v>
      </c>
      <c r="J878" s="5">
        <v>46636</v>
      </c>
      <c r="K878" s="5">
        <v>93272</v>
      </c>
      <c r="L878" s="5">
        <v>0</v>
      </c>
      <c r="M878" s="12">
        <v>0</v>
      </c>
      <c r="N878" s="5">
        <f t="shared" si="26"/>
        <v>93272</v>
      </c>
      <c r="O878" s="5">
        <v>47658.559999999998</v>
      </c>
      <c r="P878" s="5">
        <f t="shared" si="27"/>
        <v>45613.440000000002</v>
      </c>
      <c r="Q878" t="s">
        <v>131</v>
      </c>
      <c r="R878">
        <v>2026</v>
      </c>
      <c r="S878">
        <v>3</v>
      </c>
    </row>
    <row r="879" spans="1:19" x14ac:dyDescent="0.3">
      <c r="A879" s="19" t="s">
        <v>937</v>
      </c>
      <c r="B879" s="20">
        <v>46113</v>
      </c>
      <c r="C879" s="19" t="s">
        <v>48</v>
      </c>
      <c r="D879" s="19" t="s">
        <v>34</v>
      </c>
      <c r="E879" s="19" t="s">
        <v>42</v>
      </c>
      <c r="F879" s="19" t="s">
        <v>23</v>
      </c>
      <c r="G879" s="19" t="s">
        <v>24</v>
      </c>
      <c r="H879" s="19" t="s">
        <v>133</v>
      </c>
      <c r="I879" s="19">
        <v>1</v>
      </c>
      <c r="J879" s="21">
        <v>25893</v>
      </c>
      <c r="K879" s="21">
        <v>25893</v>
      </c>
      <c r="L879" s="21">
        <v>2589.3000000000002</v>
      </c>
      <c r="M879" s="15">
        <v>0.1</v>
      </c>
      <c r="N879" s="21">
        <f t="shared" si="26"/>
        <v>23303.7</v>
      </c>
      <c r="O879" s="21">
        <v>15481.19</v>
      </c>
      <c r="P879" s="21">
        <f t="shared" si="27"/>
        <v>7822.51</v>
      </c>
      <c r="Q879" s="19" t="s">
        <v>165</v>
      </c>
      <c r="R879" s="19">
        <v>2026</v>
      </c>
      <c r="S879" s="19">
        <v>4</v>
      </c>
    </row>
    <row r="880" spans="1:19" x14ac:dyDescent="0.3">
      <c r="A880" t="s">
        <v>938</v>
      </c>
      <c r="B880" s="2">
        <v>46114</v>
      </c>
      <c r="C880" t="s">
        <v>20</v>
      </c>
      <c r="D880" t="s">
        <v>21</v>
      </c>
      <c r="E880" t="s">
        <v>44</v>
      </c>
      <c r="F880" t="s">
        <v>40</v>
      </c>
      <c r="G880" t="s">
        <v>24</v>
      </c>
      <c r="H880" t="s">
        <v>133</v>
      </c>
      <c r="I880">
        <v>1</v>
      </c>
      <c r="J880" s="5">
        <v>14567</v>
      </c>
      <c r="K880" s="5">
        <v>14567</v>
      </c>
      <c r="L880" s="5">
        <v>1456.7</v>
      </c>
      <c r="M880" s="12">
        <v>0.1</v>
      </c>
      <c r="N880" s="5">
        <f t="shared" si="26"/>
        <v>13110.3</v>
      </c>
      <c r="O880" s="5">
        <v>7758.04</v>
      </c>
      <c r="P880" s="5">
        <f t="shared" si="27"/>
        <v>5352.2599999999993</v>
      </c>
      <c r="Q880" t="s">
        <v>165</v>
      </c>
      <c r="R880">
        <v>2026</v>
      </c>
      <c r="S880">
        <v>4</v>
      </c>
    </row>
    <row r="881" spans="1:19" x14ac:dyDescent="0.3">
      <c r="A881" s="19" t="s">
        <v>939</v>
      </c>
      <c r="B881" s="20">
        <v>46114</v>
      </c>
      <c r="C881" s="19" t="s">
        <v>33</v>
      </c>
      <c r="D881" s="19" t="s">
        <v>34</v>
      </c>
      <c r="E881" s="19" t="s">
        <v>44</v>
      </c>
      <c r="F881" s="19" t="s">
        <v>40</v>
      </c>
      <c r="G881" s="19" t="s">
        <v>24</v>
      </c>
      <c r="H881" s="19" t="s">
        <v>25</v>
      </c>
      <c r="I881" s="19">
        <v>2</v>
      </c>
      <c r="J881" s="21">
        <v>39294</v>
      </c>
      <c r="K881" s="21">
        <v>78588</v>
      </c>
      <c r="L881" s="21">
        <v>0</v>
      </c>
      <c r="M881" s="15">
        <v>0</v>
      </c>
      <c r="N881" s="21">
        <f t="shared" si="26"/>
        <v>78588</v>
      </c>
      <c r="O881" s="21">
        <v>47753.599999999999</v>
      </c>
      <c r="P881" s="21">
        <f t="shared" si="27"/>
        <v>30834.400000000001</v>
      </c>
      <c r="Q881" s="19" t="s">
        <v>165</v>
      </c>
      <c r="R881" s="19">
        <v>2026</v>
      </c>
      <c r="S881" s="19">
        <v>4</v>
      </c>
    </row>
    <row r="882" spans="1:19" x14ac:dyDescent="0.3">
      <c r="A882" t="s">
        <v>940</v>
      </c>
      <c r="B882" s="2">
        <v>46114</v>
      </c>
      <c r="C882" t="s">
        <v>50</v>
      </c>
      <c r="D882" t="s">
        <v>34</v>
      </c>
      <c r="E882" t="s">
        <v>22</v>
      </c>
      <c r="F882" t="s">
        <v>40</v>
      </c>
      <c r="G882" t="s">
        <v>24</v>
      </c>
      <c r="H882" t="s">
        <v>25</v>
      </c>
      <c r="I882">
        <v>2</v>
      </c>
      <c r="J882" s="5">
        <v>18163</v>
      </c>
      <c r="K882" s="5">
        <v>36326</v>
      </c>
      <c r="L882" s="5">
        <v>0</v>
      </c>
      <c r="M882" s="12">
        <v>0</v>
      </c>
      <c r="N882" s="5">
        <f t="shared" si="26"/>
        <v>36326</v>
      </c>
      <c r="O882" s="5">
        <v>24190.09</v>
      </c>
      <c r="P882" s="5">
        <f t="shared" si="27"/>
        <v>12135.91</v>
      </c>
      <c r="Q882" t="s">
        <v>165</v>
      </c>
      <c r="R882">
        <v>2026</v>
      </c>
      <c r="S882">
        <v>4</v>
      </c>
    </row>
    <row r="883" spans="1:19" x14ac:dyDescent="0.3">
      <c r="A883" s="19" t="s">
        <v>941</v>
      </c>
      <c r="B883" s="20">
        <v>46114</v>
      </c>
      <c r="C883" s="19" t="s">
        <v>33</v>
      </c>
      <c r="D883" s="19" t="s">
        <v>34</v>
      </c>
      <c r="E883" s="19" t="s">
        <v>22</v>
      </c>
      <c r="F883" s="19" t="s">
        <v>35</v>
      </c>
      <c r="G883" s="19" t="s">
        <v>24</v>
      </c>
      <c r="H883" s="19" t="s">
        <v>25</v>
      </c>
      <c r="I883" s="19">
        <v>2</v>
      </c>
      <c r="J883" s="21">
        <v>40494</v>
      </c>
      <c r="K883" s="21">
        <v>80988</v>
      </c>
      <c r="L883" s="21">
        <v>0</v>
      </c>
      <c r="M883" s="15">
        <v>0</v>
      </c>
      <c r="N883" s="21">
        <f t="shared" si="26"/>
        <v>80988</v>
      </c>
      <c r="O883" s="21">
        <v>42539.31</v>
      </c>
      <c r="P883" s="21">
        <f t="shared" si="27"/>
        <v>38448.69</v>
      </c>
      <c r="Q883" s="19" t="s">
        <v>165</v>
      </c>
      <c r="R883" s="19">
        <v>2026</v>
      </c>
      <c r="S883" s="19">
        <v>4</v>
      </c>
    </row>
    <row r="884" spans="1:19" x14ac:dyDescent="0.3">
      <c r="A884" t="s">
        <v>942</v>
      </c>
      <c r="B884" s="2">
        <v>46115</v>
      </c>
      <c r="C884" t="s">
        <v>50</v>
      </c>
      <c r="D884" t="s">
        <v>34</v>
      </c>
      <c r="E884" t="s">
        <v>42</v>
      </c>
      <c r="F884" t="s">
        <v>37</v>
      </c>
      <c r="G884" t="s">
        <v>31</v>
      </c>
      <c r="H884" t="s">
        <v>25</v>
      </c>
      <c r="I884">
        <v>1</v>
      </c>
      <c r="J884" s="5">
        <v>17244</v>
      </c>
      <c r="K884" s="5">
        <v>17244</v>
      </c>
      <c r="L884" s="5">
        <v>0</v>
      </c>
      <c r="M884" s="12">
        <v>0</v>
      </c>
      <c r="N884" s="5">
        <f t="shared" si="26"/>
        <v>17244</v>
      </c>
      <c r="O884" s="5">
        <v>9263.7900000000009</v>
      </c>
      <c r="P884" s="5">
        <f t="shared" si="27"/>
        <v>7980.2099999999991</v>
      </c>
      <c r="Q884" t="s">
        <v>165</v>
      </c>
      <c r="R884">
        <v>2026</v>
      </c>
      <c r="S884">
        <v>4</v>
      </c>
    </row>
    <row r="885" spans="1:19" x14ac:dyDescent="0.3">
      <c r="A885" s="19" t="s">
        <v>943</v>
      </c>
      <c r="B885" s="20">
        <v>46115</v>
      </c>
      <c r="C885" s="19" t="s">
        <v>48</v>
      </c>
      <c r="D885" s="19" t="s">
        <v>34</v>
      </c>
      <c r="E885" s="19" t="s">
        <v>56</v>
      </c>
      <c r="F885" s="19" t="s">
        <v>37</v>
      </c>
      <c r="G885" s="19" t="s">
        <v>31</v>
      </c>
      <c r="H885" s="19" t="s">
        <v>25</v>
      </c>
      <c r="I885" s="19">
        <v>2</v>
      </c>
      <c r="J885" s="21">
        <v>23752</v>
      </c>
      <c r="K885" s="21">
        <v>47504</v>
      </c>
      <c r="L885" s="21">
        <v>0</v>
      </c>
      <c r="M885" s="15">
        <v>0</v>
      </c>
      <c r="N885" s="21">
        <f t="shared" si="26"/>
        <v>47504</v>
      </c>
      <c r="O885" s="21">
        <v>23343.49</v>
      </c>
      <c r="P885" s="21">
        <f t="shared" si="27"/>
        <v>24160.51</v>
      </c>
      <c r="Q885" s="19" t="s">
        <v>165</v>
      </c>
      <c r="R885" s="19">
        <v>2026</v>
      </c>
      <c r="S885" s="19">
        <v>4</v>
      </c>
    </row>
    <row r="886" spans="1:19" x14ac:dyDescent="0.3">
      <c r="A886" t="s">
        <v>944</v>
      </c>
      <c r="B886" s="2">
        <v>46116</v>
      </c>
      <c r="C886" t="s">
        <v>33</v>
      </c>
      <c r="D886" t="s">
        <v>34</v>
      </c>
      <c r="E886" t="s">
        <v>56</v>
      </c>
      <c r="F886" t="s">
        <v>30</v>
      </c>
      <c r="G886" t="s">
        <v>24</v>
      </c>
      <c r="H886" t="s">
        <v>25</v>
      </c>
      <c r="I886">
        <v>2</v>
      </c>
      <c r="J886" s="5">
        <v>38857</v>
      </c>
      <c r="K886" s="5">
        <v>77714</v>
      </c>
      <c r="L886" s="5">
        <v>0</v>
      </c>
      <c r="M886" s="12">
        <v>0</v>
      </c>
      <c r="N886" s="5">
        <f t="shared" si="26"/>
        <v>77714</v>
      </c>
      <c r="O886" s="5">
        <v>45909.96</v>
      </c>
      <c r="P886" s="5">
        <f t="shared" si="27"/>
        <v>31804.04</v>
      </c>
      <c r="Q886" t="s">
        <v>165</v>
      </c>
      <c r="R886">
        <v>2026</v>
      </c>
      <c r="S886">
        <v>4</v>
      </c>
    </row>
    <row r="887" spans="1:19" x14ac:dyDescent="0.3">
      <c r="A887" s="19" t="s">
        <v>945</v>
      </c>
      <c r="B887" s="20">
        <v>46116</v>
      </c>
      <c r="C887" s="19" t="s">
        <v>75</v>
      </c>
      <c r="D887" s="19" t="s">
        <v>34</v>
      </c>
      <c r="E887" s="19" t="s">
        <v>44</v>
      </c>
      <c r="F887" s="19" t="s">
        <v>37</v>
      </c>
      <c r="G887" s="19" t="s">
        <v>24</v>
      </c>
      <c r="H887" s="19" t="s">
        <v>133</v>
      </c>
      <c r="I887" s="19">
        <v>1</v>
      </c>
      <c r="J887" s="21">
        <v>37977</v>
      </c>
      <c r="K887" s="21">
        <v>37977</v>
      </c>
      <c r="L887" s="21">
        <v>1898.85</v>
      </c>
      <c r="M887" s="15">
        <v>0.05</v>
      </c>
      <c r="N887" s="21">
        <f t="shared" si="26"/>
        <v>36078.15</v>
      </c>
      <c r="O887" s="21">
        <v>20771.41</v>
      </c>
      <c r="P887" s="21">
        <f t="shared" si="27"/>
        <v>15306.740000000002</v>
      </c>
      <c r="Q887" s="19" t="s">
        <v>165</v>
      </c>
      <c r="R887" s="19">
        <v>2026</v>
      </c>
      <c r="S887" s="19">
        <v>4</v>
      </c>
    </row>
    <row r="888" spans="1:19" x14ac:dyDescent="0.3">
      <c r="A888" t="s">
        <v>946</v>
      </c>
      <c r="B888" s="2">
        <v>46117</v>
      </c>
      <c r="C888" t="s">
        <v>82</v>
      </c>
      <c r="D888" t="s">
        <v>21</v>
      </c>
      <c r="E888" t="s">
        <v>22</v>
      </c>
      <c r="F888" t="s">
        <v>23</v>
      </c>
      <c r="G888" t="s">
        <v>24</v>
      </c>
      <c r="H888" t="s">
        <v>25</v>
      </c>
      <c r="I888">
        <v>2</v>
      </c>
      <c r="J888" s="5">
        <v>46446</v>
      </c>
      <c r="K888" s="5">
        <v>92892</v>
      </c>
      <c r="L888" s="5">
        <v>0</v>
      </c>
      <c r="M888" s="12">
        <v>0</v>
      </c>
      <c r="N888" s="5">
        <f t="shared" si="26"/>
        <v>92892</v>
      </c>
      <c r="O888" s="5">
        <v>52896.44</v>
      </c>
      <c r="P888" s="5">
        <f t="shared" si="27"/>
        <v>39995.56</v>
      </c>
      <c r="Q888" t="s">
        <v>165</v>
      </c>
      <c r="R888">
        <v>2026</v>
      </c>
      <c r="S888">
        <v>4</v>
      </c>
    </row>
    <row r="889" spans="1:19" x14ac:dyDescent="0.3">
      <c r="A889" s="19" t="s">
        <v>947</v>
      </c>
      <c r="B889" s="20">
        <v>46118</v>
      </c>
      <c r="C889" s="19" t="s">
        <v>64</v>
      </c>
      <c r="D889" s="19" t="s">
        <v>29</v>
      </c>
      <c r="E889" s="19" t="s">
        <v>42</v>
      </c>
      <c r="F889" s="19" t="s">
        <v>40</v>
      </c>
      <c r="G889" s="19" t="s">
        <v>24</v>
      </c>
      <c r="H889" s="19" t="s">
        <v>133</v>
      </c>
      <c r="I889" s="19">
        <v>1</v>
      </c>
      <c r="J889" s="21">
        <v>29532</v>
      </c>
      <c r="K889" s="21">
        <v>29532</v>
      </c>
      <c r="L889" s="21">
        <v>4429.8</v>
      </c>
      <c r="M889" s="15">
        <v>0.15</v>
      </c>
      <c r="N889" s="21">
        <f t="shared" si="26"/>
        <v>25102.2</v>
      </c>
      <c r="O889" s="21">
        <v>18016.03</v>
      </c>
      <c r="P889" s="21">
        <f t="shared" si="27"/>
        <v>7086.1700000000019</v>
      </c>
      <c r="Q889" s="19" t="s">
        <v>165</v>
      </c>
      <c r="R889" s="19">
        <v>2026</v>
      </c>
      <c r="S889" s="19">
        <v>4</v>
      </c>
    </row>
    <row r="890" spans="1:19" x14ac:dyDescent="0.3">
      <c r="A890" t="s">
        <v>948</v>
      </c>
      <c r="B890" s="2">
        <v>46118</v>
      </c>
      <c r="C890" t="s">
        <v>75</v>
      </c>
      <c r="D890" t="s">
        <v>34</v>
      </c>
      <c r="E890" t="s">
        <v>44</v>
      </c>
      <c r="F890" t="s">
        <v>37</v>
      </c>
      <c r="G890" t="s">
        <v>31</v>
      </c>
      <c r="H890" t="s">
        <v>133</v>
      </c>
      <c r="I890">
        <v>1</v>
      </c>
      <c r="J890" s="5">
        <v>37086</v>
      </c>
      <c r="K890" s="5">
        <v>37086</v>
      </c>
      <c r="L890" s="5">
        <v>5562.9</v>
      </c>
      <c r="M890" s="12">
        <v>0.15</v>
      </c>
      <c r="N890" s="5">
        <f t="shared" si="26"/>
        <v>31523.1</v>
      </c>
      <c r="O890" s="5">
        <v>22237.81</v>
      </c>
      <c r="P890" s="5">
        <f t="shared" si="27"/>
        <v>9285.2899999999972</v>
      </c>
      <c r="Q890" t="s">
        <v>165</v>
      </c>
      <c r="R890">
        <v>2026</v>
      </c>
      <c r="S890">
        <v>4</v>
      </c>
    </row>
    <row r="891" spans="1:19" x14ac:dyDescent="0.3">
      <c r="A891" s="19" t="s">
        <v>949</v>
      </c>
      <c r="B891" s="20">
        <v>46119</v>
      </c>
      <c r="C891" s="19" t="s">
        <v>64</v>
      </c>
      <c r="D891" s="19" t="s">
        <v>29</v>
      </c>
      <c r="E891" s="19" t="s">
        <v>42</v>
      </c>
      <c r="F891" s="19" t="s">
        <v>40</v>
      </c>
      <c r="G891" s="19" t="s">
        <v>31</v>
      </c>
      <c r="H891" s="19" t="s">
        <v>25</v>
      </c>
      <c r="I891" s="19">
        <v>1</v>
      </c>
      <c r="J891" s="21">
        <v>29744</v>
      </c>
      <c r="K891" s="21">
        <v>29744</v>
      </c>
      <c r="L891" s="21">
        <v>0</v>
      </c>
      <c r="M891" s="15">
        <v>0</v>
      </c>
      <c r="N891" s="21">
        <f t="shared" si="26"/>
        <v>29744</v>
      </c>
      <c r="O891" s="21">
        <v>15744.44</v>
      </c>
      <c r="P891" s="21">
        <f t="shared" si="27"/>
        <v>13999.56</v>
      </c>
      <c r="Q891" s="19" t="s">
        <v>165</v>
      </c>
      <c r="R891" s="19">
        <v>2026</v>
      </c>
      <c r="S891" s="19">
        <v>4</v>
      </c>
    </row>
    <row r="892" spans="1:19" x14ac:dyDescent="0.3">
      <c r="A892" t="s">
        <v>950</v>
      </c>
      <c r="B892" s="2">
        <v>46119</v>
      </c>
      <c r="C892" t="s">
        <v>48</v>
      </c>
      <c r="D892" t="s">
        <v>34</v>
      </c>
      <c r="E892" t="s">
        <v>22</v>
      </c>
      <c r="F892" t="s">
        <v>37</v>
      </c>
      <c r="G892" t="s">
        <v>24</v>
      </c>
      <c r="H892" t="s">
        <v>25</v>
      </c>
      <c r="I892">
        <v>3</v>
      </c>
      <c r="J892" s="5">
        <v>23165</v>
      </c>
      <c r="K892" s="5">
        <v>69495</v>
      </c>
      <c r="L892" s="5">
        <v>0</v>
      </c>
      <c r="M892" s="12">
        <v>0</v>
      </c>
      <c r="N892" s="5">
        <f t="shared" si="26"/>
        <v>69495</v>
      </c>
      <c r="O892" s="5">
        <v>33840.120000000003</v>
      </c>
      <c r="P892" s="5">
        <f t="shared" si="27"/>
        <v>35654.879999999997</v>
      </c>
      <c r="Q892" t="s">
        <v>165</v>
      </c>
      <c r="R892">
        <v>2026</v>
      </c>
      <c r="S892">
        <v>4</v>
      </c>
    </row>
    <row r="893" spans="1:19" x14ac:dyDescent="0.3">
      <c r="A893" s="19" t="s">
        <v>951</v>
      </c>
      <c r="B893" s="20">
        <v>46120</v>
      </c>
      <c r="C893" s="19" t="s">
        <v>82</v>
      </c>
      <c r="D893" s="19" t="s">
        <v>21</v>
      </c>
      <c r="E893" s="19" t="s">
        <v>44</v>
      </c>
      <c r="F893" s="19" t="s">
        <v>40</v>
      </c>
      <c r="G893" s="19" t="s">
        <v>31</v>
      </c>
      <c r="H893" s="19" t="s">
        <v>25</v>
      </c>
      <c r="I893" s="19">
        <v>1</v>
      </c>
      <c r="J893" s="21">
        <v>46622</v>
      </c>
      <c r="K893" s="21">
        <v>46622</v>
      </c>
      <c r="L893" s="21">
        <v>0</v>
      </c>
      <c r="M893" s="15">
        <v>0</v>
      </c>
      <c r="N893" s="21">
        <f t="shared" si="26"/>
        <v>46622</v>
      </c>
      <c r="O893" s="21">
        <v>31464.62</v>
      </c>
      <c r="P893" s="21">
        <f t="shared" si="27"/>
        <v>15157.380000000001</v>
      </c>
      <c r="Q893" s="19" t="s">
        <v>165</v>
      </c>
      <c r="R893" s="19">
        <v>2026</v>
      </c>
      <c r="S893" s="19">
        <v>4</v>
      </c>
    </row>
    <row r="894" spans="1:19" x14ac:dyDescent="0.3">
      <c r="A894" t="s">
        <v>952</v>
      </c>
      <c r="B894" s="2">
        <v>46122</v>
      </c>
      <c r="C894" t="s">
        <v>75</v>
      </c>
      <c r="D894" t="s">
        <v>34</v>
      </c>
      <c r="E894" t="s">
        <v>42</v>
      </c>
      <c r="F894" t="s">
        <v>30</v>
      </c>
      <c r="G894" t="s">
        <v>31</v>
      </c>
      <c r="H894" t="s">
        <v>25</v>
      </c>
      <c r="I894">
        <v>3</v>
      </c>
      <c r="J894" s="5">
        <v>40988</v>
      </c>
      <c r="K894" s="5">
        <v>122964</v>
      </c>
      <c r="L894" s="5">
        <v>0</v>
      </c>
      <c r="M894" s="12">
        <v>0</v>
      </c>
      <c r="N894" s="5">
        <f t="shared" si="26"/>
        <v>122964</v>
      </c>
      <c r="O894" s="5">
        <v>76489.59</v>
      </c>
      <c r="P894" s="5">
        <f t="shared" si="27"/>
        <v>46474.41</v>
      </c>
      <c r="Q894" t="s">
        <v>165</v>
      </c>
      <c r="R894">
        <v>2026</v>
      </c>
      <c r="S894">
        <v>4</v>
      </c>
    </row>
    <row r="895" spans="1:19" x14ac:dyDescent="0.3">
      <c r="A895" s="19" t="s">
        <v>953</v>
      </c>
      <c r="B895" s="20">
        <v>46122</v>
      </c>
      <c r="C895" s="19" t="s">
        <v>48</v>
      </c>
      <c r="D895" s="19" t="s">
        <v>34</v>
      </c>
      <c r="E895" s="19" t="s">
        <v>44</v>
      </c>
      <c r="F895" s="19" t="s">
        <v>35</v>
      </c>
      <c r="G895" s="19" t="s">
        <v>31</v>
      </c>
      <c r="H895" s="19" t="s">
        <v>133</v>
      </c>
      <c r="I895" s="19">
        <v>5</v>
      </c>
      <c r="J895" s="21">
        <v>26699</v>
      </c>
      <c r="K895" s="21">
        <v>133495</v>
      </c>
      <c r="L895" s="21">
        <v>26699</v>
      </c>
      <c r="M895" s="15">
        <v>0.2</v>
      </c>
      <c r="N895" s="21">
        <f t="shared" si="26"/>
        <v>106796</v>
      </c>
      <c r="O895" s="21">
        <v>72775.59</v>
      </c>
      <c r="P895" s="21">
        <f t="shared" si="27"/>
        <v>34020.410000000003</v>
      </c>
      <c r="Q895" s="19" t="s">
        <v>165</v>
      </c>
      <c r="R895" s="19">
        <v>2026</v>
      </c>
      <c r="S895" s="19">
        <v>4</v>
      </c>
    </row>
    <row r="896" spans="1:19" x14ac:dyDescent="0.3">
      <c r="A896" t="s">
        <v>954</v>
      </c>
      <c r="B896" s="2">
        <v>46122</v>
      </c>
      <c r="C896" t="s">
        <v>28</v>
      </c>
      <c r="D896" t="s">
        <v>29</v>
      </c>
      <c r="E896" t="s">
        <v>42</v>
      </c>
      <c r="F896" t="s">
        <v>37</v>
      </c>
      <c r="G896" t="s">
        <v>24</v>
      </c>
      <c r="H896" t="s">
        <v>25</v>
      </c>
      <c r="I896">
        <v>1</v>
      </c>
      <c r="J896" s="5">
        <v>63156</v>
      </c>
      <c r="K896" s="5">
        <v>63156</v>
      </c>
      <c r="L896" s="5">
        <v>9473.4</v>
      </c>
      <c r="M896" s="12">
        <v>0.15</v>
      </c>
      <c r="N896" s="5">
        <f t="shared" si="26"/>
        <v>53682.6</v>
      </c>
      <c r="O896" s="5">
        <v>32187.040000000001</v>
      </c>
      <c r="P896" s="5">
        <f t="shared" si="27"/>
        <v>21495.559999999998</v>
      </c>
      <c r="Q896" t="s">
        <v>165</v>
      </c>
      <c r="R896">
        <v>2026</v>
      </c>
      <c r="S896">
        <v>4</v>
      </c>
    </row>
    <row r="897" spans="1:19" x14ac:dyDescent="0.3">
      <c r="A897" s="19" t="s">
        <v>955</v>
      </c>
      <c r="B897" s="20">
        <v>46123</v>
      </c>
      <c r="C897" s="19" t="s">
        <v>28</v>
      </c>
      <c r="D897" s="19" t="s">
        <v>29</v>
      </c>
      <c r="E897" s="19" t="s">
        <v>42</v>
      </c>
      <c r="F897" s="19" t="s">
        <v>40</v>
      </c>
      <c r="G897" s="19" t="s">
        <v>24</v>
      </c>
      <c r="H897" s="19" t="s">
        <v>25</v>
      </c>
      <c r="I897" s="19">
        <v>2</v>
      </c>
      <c r="J897" s="21">
        <v>66934</v>
      </c>
      <c r="K897" s="21">
        <v>133868</v>
      </c>
      <c r="L897" s="21">
        <v>0</v>
      </c>
      <c r="M897" s="15">
        <v>0</v>
      </c>
      <c r="N897" s="21">
        <f t="shared" si="26"/>
        <v>133868</v>
      </c>
      <c r="O897" s="21">
        <v>72908.009999999995</v>
      </c>
      <c r="P897" s="21">
        <f t="shared" si="27"/>
        <v>60959.990000000005</v>
      </c>
      <c r="Q897" s="19" t="s">
        <v>165</v>
      </c>
      <c r="R897" s="19">
        <v>2026</v>
      </c>
      <c r="S897" s="19">
        <v>4</v>
      </c>
    </row>
    <row r="898" spans="1:19" x14ac:dyDescent="0.3">
      <c r="A898" t="s">
        <v>956</v>
      </c>
      <c r="B898" s="2">
        <v>46124</v>
      </c>
      <c r="C898" t="s">
        <v>50</v>
      </c>
      <c r="D898" t="s">
        <v>34</v>
      </c>
      <c r="E898" t="s">
        <v>22</v>
      </c>
      <c r="F898" t="s">
        <v>37</v>
      </c>
      <c r="G898" t="s">
        <v>31</v>
      </c>
      <c r="H898" t="s">
        <v>133</v>
      </c>
      <c r="I898">
        <v>5</v>
      </c>
      <c r="J898" s="5">
        <v>19133</v>
      </c>
      <c r="K898" s="5">
        <v>95665</v>
      </c>
      <c r="L898" s="5">
        <v>14349.75</v>
      </c>
      <c r="M898" s="12">
        <v>0.15</v>
      </c>
      <c r="N898" s="5">
        <f t="shared" si="26"/>
        <v>81315.25</v>
      </c>
      <c r="O898" s="5">
        <v>47890.7</v>
      </c>
      <c r="P898" s="5">
        <f t="shared" si="27"/>
        <v>33424.550000000003</v>
      </c>
      <c r="Q898" t="s">
        <v>165</v>
      </c>
      <c r="R898">
        <v>2026</v>
      </c>
      <c r="S898">
        <v>4</v>
      </c>
    </row>
    <row r="899" spans="1:19" x14ac:dyDescent="0.3">
      <c r="A899" s="19" t="s">
        <v>957</v>
      </c>
      <c r="B899" s="20">
        <v>46125</v>
      </c>
      <c r="C899" s="19" t="s">
        <v>33</v>
      </c>
      <c r="D899" s="19" t="s">
        <v>34</v>
      </c>
      <c r="E899" s="19" t="s">
        <v>42</v>
      </c>
      <c r="F899" s="19" t="s">
        <v>37</v>
      </c>
      <c r="G899" s="19" t="s">
        <v>24</v>
      </c>
      <c r="H899" s="19" t="s">
        <v>25</v>
      </c>
      <c r="I899" s="19">
        <v>2</v>
      </c>
      <c r="J899" s="21">
        <v>40678</v>
      </c>
      <c r="K899" s="21">
        <v>81356</v>
      </c>
      <c r="L899" s="21">
        <v>0</v>
      </c>
      <c r="M899" s="15">
        <v>0</v>
      </c>
      <c r="N899" s="21">
        <f t="shared" ref="N899:N962" si="28">K899-L899</f>
        <v>81356</v>
      </c>
      <c r="O899" s="21">
        <v>40981.360000000001</v>
      </c>
      <c r="P899" s="21">
        <f t="shared" si="27"/>
        <v>40374.639999999999</v>
      </c>
      <c r="Q899" s="19" t="s">
        <v>165</v>
      </c>
      <c r="R899" s="19">
        <v>2026</v>
      </c>
      <c r="S899" s="19">
        <v>4</v>
      </c>
    </row>
    <row r="900" spans="1:19" x14ac:dyDescent="0.3">
      <c r="A900" t="s">
        <v>958</v>
      </c>
      <c r="B900" s="2">
        <v>46127</v>
      </c>
      <c r="C900" t="s">
        <v>82</v>
      </c>
      <c r="D900" t="s">
        <v>21</v>
      </c>
      <c r="E900" t="s">
        <v>56</v>
      </c>
      <c r="F900" t="s">
        <v>40</v>
      </c>
      <c r="G900" t="s">
        <v>24</v>
      </c>
      <c r="H900" t="s">
        <v>25</v>
      </c>
      <c r="I900">
        <v>2</v>
      </c>
      <c r="J900" s="5">
        <v>46064</v>
      </c>
      <c r="K900" s="5">
        <v>92128</v>
      </c>
      <c r="L900" s="5">
        <v>0</v>
      </c>
      <c r="M900" s="12">
        <v>0</v>
      </c>
      <c r="N900" s="5">
        <f t="shared" si="28"/>
        <v>92128</v>
      </c>
      <c r="O900" s="5">
        <v>60595.519999999997</v>
      </c>
      <c r="P900" s="5">
        <f t="shared" ref="P900:P963" si="29">N900-O900</f>
        <v>31532.480000000003</v>
      </c>
      <c r="Q900" t="s">
        <v>165</v>
      </c>
      <c r="R900">
        <v>2026</v>
      </c>
      <c r="S900">
        <v>4</v>
      </c>
    </row>
    <row r="901" spans="1:19" x14ac:dyDescent="0.3">
      <c r="A901" s="19" t="s">
        <v>959</v>
      </c>
      <c r="B901" s="20">
        <v>46127</v>
      </c>
      <c r="C901" s="19" t="s">
        <v>50</v>
      </c>
      <c r="D901" s="19" t="s">
        <v>34</v>
      </c>
      <c r="E901" s="19" t="s">
        <v>56</v>
      </c>
      <c r="F901" s="19" t="s">
        <v>40</v>
      </c>
      <c r="G901" s="19" t="s">
        <v>24</v>
      </c>
      <c r="H901" s="19" t="s">
        <v>133</v>
      </c>
      <c r="I901" s="19">
        <v>4</v>
      </c>
      <c r="J901" s="21">
        <v>17808</v>
      </c>
      <c r="K901" s="21">
        <v>71232</v>
      </c>
      <c r="L901" s="21">
        <v>3561.6</v>
      </c>
      <c r="M901" s="15">
        <v>0.05</v>
      </c>
      <c r="N901" s="21">
        <f t="shared" si="28"/>
        <v>67670.399999999994</v>
      </c>
      <c r="O901" s="21">
        <v>47555.25</v>
      </c>
      <c r="P901" s="21">
        <f t="shared" si="29"/>
        <v>20115.149999999994</v>
      </c>
      <c r="Q901" s="19" t="s">
        <v>165</v>
      </c>
      <c r="R901" s="19">
        <v>2026</v>
      </c>
      <c r="S901" s="19">
        <v>4</v>
      </c>
    </row>
    <row r="902" spans="1:19" x14ac:dyDescent="0.3">
      <c r="A902" t="s">
        <v>960</v>
      </c>
      <c r="B902" s="2">
        <v>46129</v>
      </c>
      <c r="C902" t="s">
        <v>28</v>
      </c>
      <c r="D902" t="s">
        <v>29</v>
      </c>
      <c r="E902" t="s">
        <v>22</v>
      </c>
      <c r="F902" t="s">
        <v>37</v>
      </c>
      <c r="G902" t="s">
        <v>24</v>
      </c>
      <c r="H902" t="s">
        <v>25</v>
      </c>
      <c r="I902">
        <v>2</v>
      </c>
      <c r="J902" s="5">
        <v>68885</v>
      </c>
      <c r="K902" s="5">
        <v>137770</v>
      </c>
      <c r="L902" s="5">
        <v>0</v>
      </c>
      <c r="M902" s="12">
        <v>0</v>
      </c>
      <c r="N902" s="5">
        <f t="shared" si="28"/>
        <v>137770</v>
      </c>
      <c r="O902" s="5">
        <v>77502.87</v>
      </c>
      <c r="P902" s="5">
        <f t="shared" si="29"/>
        <v>60267.130000000005</v>
      </c>
      <c r="Q902" t="s">
        <v>165</v>
      </c>
      <c r="R902">
        <v>2026</v>
      </c>
      <c r="S902">
        <v>4</v>
      </c>
    </row>
    <row r="903" spans="1:19" x14ac:dyDescent="0.3">
      <c r="A903" s="19" t="s">
        <v>961</v>
      </c>
      <c r="B903" s="20">
        <v>46129</v>
      </c>
      <c r="C903" s="19" t="s">
        <v>82</v>
      </c>
      <c r="D903" s="19" t="s">
        <v>21</v>
      </c>
      <c r="E903" s="19" t="s">
        <v>42</v>
      </c>
      <c r="F903" s="19" t="s">
        <v>30</v>
      </c>
      <c r="G903" s="19" t="s">
        <v>31</v>
      </c>
      <c r="H903" s="19" t="s">
        <v>25</v>
      </c>
      <c r="I903" s="19">
        <v>2</v>
      </c>
      <c r="J903" s="21">
        <v>42266</v>
      </c>
      <c r="K903" s="21">
        <v>84532</v>
      </c>
      <c r="L903" s="21">
        <v>0</v>
      </c>
      <c r="M903" s="15">
        <v>0</v>
      </c>
      <c r="N903" s="21">
        <f t="shared" si="28"/>
        <v>84532</v>
      </c>
      <c r="O903" s="21">
        <v>43638.52</v>
      </c>
      <c r="P903" s="21">
        <f t="shared" si="29"/>
        <v>40893.480000000003</v>
      </c>
      <c r="Q903" s="19" t="s">
        <v>165</v>
      </c>
      <c r="R903" s="19">
        <v>2026</v>
      </c>
      <c r="S903" s="19">
        <v>4</v>
      </c>
    </row>
    <row r="904" spans="1:19" x14ac:dyDescent="0.3">
      <c r="A904" t="s">
        <v>962</v>
      </c>
      <c r="B904" s="2">
        <v>46129</v>
      </c>
      <c r="C904" t="s">
        <v>82</v>
      </c>
      <c r="D904" t="s">
        <v>21</v>
      </c>
      <c r="E904" t="s">
        <v>42</v>
      </c>
      <c r="F904" t="s">
        <v>40</v>
      </c>
      <c r="G904" t="s">
        <v>24</v>
      </c>
      <c r="H904" t="s">
        <v>133</v>
      </c>
      <c r="I904">
        <v>3</v>
      </c>
      <c r="J904" s="5">
        <v>44337</v>
      </c>
      <c r="K904" s="5">
        <v>133011</v>
      </c>
      <c r="L904" s="5">
        <v>26602.2</v>
      </c>
      <c r="M904" s="12">
        <v>0.2</v>
      </c>
      <c r="N904" s="5">
        <f t="shared" si="28"/>
        <v>106408.8</v>
      </c>
      <c r="O904" s="5">
        <v>77601.75</v>
      </c>
      <c r="P904" s="5">
        <f t="shared" si="29"/>
        <v>28807.050000000003</v>
      </c>
      <c r="Q904" t="s">
        <v>165</v>
      </c>
      <c r="R904">
        <v>2026</v>
      </c>
      <c r="S904">
        <v>4</v>
      </c>
    </row>
    <row r="905" spans="1:19" x14ac:dyDescent="0.3">
      <c r="A905" s="19" t="s">
        <v>963</v>
      </c>
      <c r="B905" s="20">
        <v>46132</v>
      </c>
      <c r="C905" s="19" t="s">
        <v>48</v>
      </c>
      <c r="D905" s="19" t="s">
        <v>34</v>
      </c>
      <c r="E905" s="19" t="s">
        <v>22</v>
      </c>
      <c r="F905" s="19" t="s">
        <v>30</v>
      </c>
      <c r="G905" s="19" t="s">
        <v>31</v>
      </c>
      <c r="H905" s="19" t="s">
        <v>133</v>
      </c>
      <c r="I905" s="19">
        <v>1</v>
      </c>
      <c r="J905" s="21">
        <v>26458</v>
      </c>
      <c r="K905" s="21">
        <v>26458</v>
      </c>
      <c r="L905" s="21">
        <v>3968.7</v>
      </c>
      <c r="M905" s="15">
        <v>0.15</v>
      </c>
      <c r="N905" s="21">
        <f t="shared" si="28"/>
        <v>22489.3</v>
      </c>
      <c r="O905" s="21">
        <v>13298.37</v>
      </c>
      <c r="P905" s="21">
        <f t="shared" si="29"/>
        <v>9190.9299999999985</v>
      </c>
      <c r="Q905" s="19" t="s">
        <v>165</v>
      </c>
      <c r="R905" s="19">
        <v>2026</v>
      </c>
      <c r="S905" s="19">
        <v>4</v>
      </c>
    </row>
    <row r="906" spans="1:19" x14ac:dyDescent="0.3">
      <c r="A906" t="s">
        <v>964</v>
      </c>
      <c r="B906" s="2">
        <v>46134</v>
      </c>
      <c r="C906" t="s">
        <v>82</v>
      </c>
      <c r="D906" t="s">
        <v>21</v>
      </c>
      <c r="E906" t="s">
        <v>22</v>
      </c>
      <c r="F906" t="s">
        <v>40</v>
      </c>
      <c r="G906" t="s">
        <v>31</v>
      </c>
      <c r="H906" t="s">
        <v>25</v>
      </c>
      <c r="I906">
        <v>2</v>
      </c>
      <c r="J906" s="5">
        <v>43692</v>
      </c>
      <c r="K906" s="5">
        <v>87384</v>
      </c>
      <c r="L906" s="5">
        <v>0</v>
      </c>
      <c r="M906" s="12">
        <v>0</v>
      </c>
      <c r="N906" s="5">
        <f t="shared" si="28"/>
        <v>87384</v>
      </c>
      <c r="O906" s="5">
        <v>59258.81</v>
      </c>
      <c r="P906" s="5">
        <f t="shared" si="29"/>
        <v>28125.190000000002</v>
      </c>
      <c r="Q906" t="s">
        <v>165</v>
      </c>
      <c r="R906">
        <v>2026</v>
      </c>
      <c r="S906">
        <v>4</v>
      </c>
    </row>
    <row r="907" spans="1:19" x14ac:dyDescent="0.3">
      <c r="A907" s="19" t="s">
        <v>965</v>
      </c>
      <c r="B907" s="20">
        <v>46135</v>
      </c>
      <c r="C907" s="19" t="s">
        <v>71</v>
      </c>
      <c r="D907" s="19" t="s">
        <v>34</v>
      </c>
      <c r="E907" s="19" t="s">
        <v>44</v>
      </c>
      <c r="F907" s="19" t="s">
        <v>40</v>
      </c>
      <c r="G907" s="19" t="s">
        <v>24</v>
      </c>
      <c r="H907" s="19" t="s">
        <v>25</v>
      </c>
      <c r="I907" s="19">
        <v>4</v>
      </c>
      <c r="J907" s="21">
        <v>50371</v>
      </c>
      <c r="K907" s="21">
        <v>201484</v>
      </c>
      <c r="L907" s="21">
        <v>0</v>
      </c>
      <c r="M907" s="15">
        <v>0</v>
      </c>
      <c r="N907" s="21">
        <f t="shared" si="28"/>
        <v>201484</v>
      </c>
      <c r="O907" s="21">
        <v>97005.39</v>
      </c>
      <c r="P907" s="21">
        <f t="shared" si="29"/>
        <v>104478.61</v>
      </c>
      <c r="Q907" s="19" t="s">
        <v>165</v>
      </c>
      <c r="R907" s="19">
        <v>2026</v>
      </c>
      <c r="S907" s="19">
        <v>4</v>
      </c>
    </row>
    <row r="908" spans="1:19" x14ac:dyDescent="0.3">
      <c r="A908" t="s">
        <v>966</v>
      </c>
      <c r="B908" s="2">
        <v>46136</v>
      </c>
      <c r="C908" t="s">
        <v>50</v>
      </c>
      <c r="D908" t="s">
        <v>34</v>
      </c>
      <c r="E908" t="s">
        <v>44</v>
      </c>
      <c r="F908" t="s">
        <v>23</v>
      </c>
      <c r="G908" t="s">
        <v>31</v>
      </c>
      <c r="H908" t="s">
        <v>133</v>
      </c>
      <c r="I908">
        <v>2</v>
      </c>
      <c r="J908" s="5">
        <v>17239</v>
      </c>
      <c r="K908" s="5">
        <v>34478</v>
      </c>
      <c r="L908" s="5">
        <v>3447.8</v>
      </c>
      <c r="M908" s="12">
        <v>0.1</v>
      </c>
      <c r="N908" s="5">
        <f t="shared" si="28"/>
        <v>31030.2</v>
      </c>
      <c r="O908" s="5">
        <v>16827.509999999998</v>
      </c>
      <c r="P908" s="5">
        <f t="shared" si="29"/>
        <v>14202.690000000002</v>
      </c>
      <c r="Q908" t="s">
        <v>165</v>
      </c>
      <c r="R908">
        <v>2026</v>
      </c>
      <c r="S908">
        <v>4</v>
      </c>
    </row>
    <row r="909" spans="1:19" x14ac:dyDescent="0.3">
      <c r="A909" s="19" t="s">
        <v>967</v>
      </c>
      <c r="B909" s="20">
        <v>46138</v>
      </c>
      <c r="C909" s="19" t="s">
        <v>75</v>
      </c>
      <c r="D909" s="19" t="s">
        <v>34</v>
      </c>
      <c r="E909" s="19" t="s">
        <v>42</v>
      </c>
      <c r="F909" s="19" t="s">
        <v>35</v>
      </c>
      <c r="G909" s="19" t="s">
        <v>31</v>
      </c>
      <c r="H909" s="19" t="s">
        <v>25</v>
      </c>
      <c r="I909" s="19">
        <v>2</v>
      </c>
      <c r="J909" s="21">
        <v>36305</v>
      </c>
      <c r="K909" s="21">
        <v>72610</v>
      </c>
      <c r="L909" s="21">
        <v>0</v>
      </c>
      <c r="M909" s="15">
        <v>0</v>
      </c>
      <c r="N909" s="21">
        <f t="shared" si="28"/>
        <v>72610</v>
      </c>
      <c r="O909" s="21">
        <v>46067.27</v>
      </c>
      <c r="P909" s="21">
        <f t="shared" si="29"/>
        <v>26542.730000000003</v>
      </c>
      <c r="Q909" s="19" t="s">
        <v>165</v>
      </c>
      <c r="R909" s="19">
        <v>2026</v>
      </c>
      <c r="S909" s="19">
        <v>4</v>
      </c>
    </row>
    <row r="910" spans="1:19" x14ac:dyDescent="0.3">
      <c r="A910" t="s">
        <v>968</v>
      </c>
      <c r="B910" s="2">
        <v>46139</v>
      </c>
      <c r="C910" t="s">
        <v>48</v>
      </c>
      <c r="D910" t="s">
        <v>34</v>
      </c>
      <c r="E910" t="s">
        <v>42</v>
      </c>
      <c r="F910" t="s">
        <v>30</v>
      </c>
      <c r="G910" t="s">
        <v>31</v>
      </c>
      <c r="H910" t="s">
        <v>25</v>
      </c>
      <c r="I910">
        <v>4</v>
      </c>
      <c r="J910" s="5">
        <v>24654</v>
      </c>
      <c r="K910" s="5">
        <v>98616</v>
      </c>
      <c r="L910" s="5">
        <v>0</v>
      </c>
      <c r="M910" s="12">
        <v>0</v>
      </c>
      <c r="N910" s="5">
        <f t="shared" si="28"/>
        <v>98616</v>
      </c>
      <c r="O910" s="5">
        <v>54733.84</v>
      </c>
      <c r="P910" s="5">
        <f t="shared" si="29"/>
        <v>43882.16</v>
      </c>
      <c r="Q910" t="s">
        <v>165</v>
      </c>
      <c r="R910">
        <v>2026</v>
      </c>
      <c r="S910">
        <v>4</v>
      </c>
    </row>
    <row r="911" spans="1:19" x14ac:dyDescent="0.3">
      <c r="A911" s="19" t="s">
        <v>969</v>
      </c>
      <c r="B911" s="20">
        <v>46140</v>
      </c>
      <c r="C911" s="19" t="s">
        <v>64</v>
      </c>
      <c r="D911" s="19" t="s">
        <v>29</v>
      </c>
      <c r="E911" s="19" t="s">
        <v>56</v>
      </c>
      <c r="F911" s="19" t="s">
        <v>35</v>
      </c>
      <c r="G911" s="19" t="s">
        <v>24</v>
      </c>
      <c r="H911" s="19" t="s">
        <v>133</v>
      </c>
      <c r="I911" s="19">
        <v>1</v>
      </c>
      <c r="J911" s="21">
        <v>30228</v>
      </c>
      <c r="K911" s="21">
        <v>30228</v>
      </c>
      <c r="L911" s="21">
        <v>3022.8</v>
      </c>
      <c r="M911" s="15">
        <v>0.1</v>
      </c>
      <c r="N911" s="21">
        <f t="shared" si="28"/>
        <v>27205.200000000001</v>
      </c>
      <c r="O911" s="21">
        <v>15319.2</v>
      </c>
      <c r="P911" s="21">
        <f t="shared" si="29"/>
        <v>11886</v>
      </c>
      <c r="Q911" s="19" t="s">
        <v>165</v>
      </c>
      <c r="R911" s="19">
        <v>2026</v>
      </c>
      <c r="S911" s="19">
        <v>4</v>
      </c>
    </row>
    <row r="912" spans="1:19" x14ac:dyDescent="0.3">
      <c r="A912" t="s">
        <v>970</v>
      </c>
      <c r="B912" s="2">
        <v>46140</v>
      </c>
      <c r="C912" t="s">
        <v>48</v>
      </c>
      <c r="D912" t="s">
        <v>34</v>
      </c>
      <c r="E912" t="s">
        <v>42</v>
      </c>
      <c r="F912" t="s">
        <v>23</v>
      </c>
      <c r="G912" t="s">
        <v>24</v>
      </c>
      <c r="H912" t="s">
        <v>133</v>
      </c>
      <c r="I912">
        <v>3</v>
      </c>
      <c r="J912" s="5">
        <v>23432</v>
      </c>
      <c r="K912" s="5">
        <v>70296</v>
      </c>
      <c r="L912" s="5">
        <v>14059.2</v>
      </c>
      <c r="M912" s="12">
        <v>0.2</v>
      </c>
      <c r="N912" s="5">
        <f t="shared" si="28"/>
        <v>56236.800000000003</v>
      </c>
      <c r="O912" s="5">
        <v>44290.15</v>
      </c>
      <c r="P912" s="5">
        <f t="shared" si="29"/>
        <v>11946.650000000001</v>
      </c>
      <c r="Q912" t="s">
        <v>165</v>
      </c>
      <c r="R912">
        <v>2026</v>
      </c>
      <c r="S912">
        <v>4</v>
      </c>
    </row>
    <row r="913" spans="1:19" x14ac:dyDescent="0.3">
      <c r="A913" s="19" t="s">
        <v>971</v>
      </c>
      <c r="B913" s="20">
        <v>46141</v>
      </c>
      <c r="C913" s="19" t="s">
        <v>20</v>
      </c>
      <c r="D913" s="19" t="s">
        <v>21</v>
      </c>
      <c r="E913" s="19" t="s">
        <v>44</v>
      </c>
      <c r="F913" s="19" t="s">
        <v>40</v>
      </c>
      <c r="G913" s="19" t="s">
        <v>31</v>
      </c>
      <c r="H913" s="19" t="s">
        <v>25</v>
      </c>
      <c r="I913" s="19">
        <v>1</v>
      </c>
      <c r="J913" s="21">
        <v>14113</v>
      </c>
      <c r="K913" s="21">
        <v>14113</v>
      </c>
      <c r="L913" s="21">
        <v>0</v>
      </c>
      <c r="M913" s="15">
        <v>0</v>
      </c>
      <c r="N913" s="21">
        <f t="shared" si="28"/>
        <v>14113</v>
      </c>
      <c r="O913" s="21">
        <v>6967.17</v>
      </c>
      <c r="P913" s="21">
        <f t="shared" si="29"/>
        <v>7145.83</v>
      </c>
      <c r="Q913" s="19" t="s">
        <v>165</v>
      </c>
      <c r="R913" s="19">
        <v>2026</v>
      </c>
      <c r="S913" s="19">
        <v>4</v>
      </c>
    </row>
    <row r="914" spans="1:19" x14ac:dyDescent="0.3">
      <c r="A914" t="s">
        <v>972</v>
      </c>
      <c r="B914" s="2">
        <v>46142</v>
      </c>
      <c r="C914" t="s">
        <v>20</v>
      </c>
      <c r="D914" t="s">
        <v>21</v>
      </c>
      <c r="E914" t="s">
        <v>22</v>
      </c>
      <c r="F914" t="s">
        <v>23</v>
      </c>
      <c r="G914" t="s">
        <v>31</v>
      </c>
      <c r="H914" t="s">
        <v>25</v>
      </c>
      <c r="I914">
        <v>1</v>
      </c>
      <c r="J914" s="5">
        <v>13827</v>
      </c>
      <c r="K914" s="5">
        <v>13827</v>
      </c>
      <c r="L914" s="5">
        <v>0</v>
      </c>
      <c r="M914" s="12">
        <v>0</v>
      </c>
      <c r="N914" s="5">
        <f t="shared" si="28"/>
        <v>13827</v>
      </c>
      <c r="O914" s="5">
        <v>7492.21</v>
      </c>
      <c r="P914" s="5">
        <f t="shared" si="29"/>
        <v>6334.79</v>
      </c>
      <c r="Q914" t="s">
        <v>165</v>
      </c>
      <c r="R914">
        <v>2026</v>
      </c>
      <c r="S914">
        <v>4</v>
      </c>
    </row>
    <row r="915" spans="1:19" x14ac:dyDescent="0.3">
      <c r="A915" s="19" t="s">
        <v>973</v>
      </c>
      <c r="B915" s="20">
        <v>46142</v>
      </c>
      <c r="C915" s="19" t="s">
        <v>33</v>
      </c>
      <c r="D915" s="19" t="s">
        <v>34</v>
      </c>
      <c r="E915" s="19" t="s">
        <v>56</v>
      </c>
      <c r="F915" s="19" t="s">
        <v>23</v>
      </c>
      <c r="G915" s="19" t="s">
        <v>31</v>
      </c>
      <c r="H915" s="19" t="s">
        <v>25</v>
      </c>
      <c r="I915" s="19">
        <v>1</v>
      </c>
      <c r="J915" s="21">
        <v>41173</v>
      </c>
      <c r="K915" s="21">
        <v>41173</v>
      </c>
      <c r="L915" s="21">
        <v>4117.3</v>
      </c>
      <c r="M915" s="15">
        <v>0.1</v>
      </c>
      <c r="N915" s="21">
        <f t="shared" si="28"/>
        <v>37055.699999999997</v>
      </c>
      <c r="O915" s="21">
        <v>20419.46</v>
      </c>
      <c r="P915" s="21">
        <f t="shared" si="29"/>
        <v>16636.239999999998</v>
      </c>
      <c r="Q915" s="19" t="s">
        <v>165</v>
      </c>
      <c r="R915" s="19">
        <v>2026</v>
      </c>
      <c r="S915" s="19">
        <v>4</v>
      </c>
    </row>
    <row r="916" spans="1:19" x14ac:dyDescent="0.3">
      <c r="A916" t="s">
        <v>974</v>
      </c>
      <c r="B916" s="2">
        <v>46143</v>
      </c>
      <c r="C916" t="s">
        <v>82</v>
      </c>
      <c r="D916" t="s">
        <v>21</v>
      </c>
      <c r="E916" t="s">
        <v>44</v>
      </c>
      <c r="F916" t="s">
        <v>23</v>
      </c>
      <c r="G916" t="s">
        <v>31</v>
      </c>
      <c r="H916" t="s">
        <v>25</v>
      </c>
      <c r="I916">
        <v>3</v>
      </c>
      <c r="J916" s="5">
        <v>46314</v>
      </c>
      <c r="K916" s="5">
        <v>138942</v>
      </c>
      <c r="L916" s="5">
        <v>0</v>
      </c>
      <c r="M916" s="12">
        <v>0</v>
      </c>
      <c r="N916" s="5">
        <f t="shared" si="28"/>
        <v>138942</v>
      </c>
      <c r="O916" s="5">
        <v>80602.460000000006</v>
      </c>
      <c r="P916" s="5">
        <f t="shared" si="29"/>
        <v>58339.539999999994</v>
      </c>
      <c r="Q916" t="s">
        <v>201</v>
      </c>
      <c r="R916">
        <v>2026</v>
      </c>
      <c r="S916">
        <v>5</v>
      </c>
    </row>
    <row r="917" spans="1:19" x14ac:dyDescent="0.3">
      <c r="A917" s="19" t="s">
        <v>975</v>
      </c>
      <c r="B917" s="20">
        <v>46144</v>
      </c>
      <c r="C917" s="19" t="s">
        <v>33</v>
      </c>
      <c r="D917" s="19" t="s">
        <v>34</v>
      </c>
      <c r="E917" s="19" t="s">
        <v>56</v>
      </c>
      <c r="F917" s="19" t="s">
        <v>37</v>
      </c>
      <c r="G917" s="19" t="s">
        <v>24</v>
      </c>
      <c r="H917" s="19" t="s">
        <v>25</v>
      </c>
      <c r="I917" s="19">
        <v>3</v>
      </c>
      <c r="J917" s="21">
        <v>45176</v>
      </c>
      <c r="K917" s="21">
        <v>135528</v>
      </c>
      <c r="L917" s="21">
        <v>0</v>
      </c>
      <c r="M917" s="15">
        <v>0</v>
      </c>
      <c r="N917" s="21">
        <f t="shared" si="28"/>
        <v>135528</v>
      </c>
      <c r="O917" s="21">
        <v>66980.94</v>
      </c>
      <c r="P917" s="21">
        <f t="shared" si="29"/>
        <v>68547.06</v>
      </c>
      <c r="Q917" s="19" t="s">
        <v>201</v>
      </c>
      <c r="R917" s="19">
        <v>2026</v>
      </c>
      <c r="S917" s="19">
        <v>5</v>
      </c>
    </row>
    <row r="918" spans="1:19" x14ac:dyDescent="0.3">
      <c r="A918" t="s">
        <v>976</v>
      </c>
      <c r="B918" s="2">
        <v>46144</v>
      </c>
      <c r="C918" t="s">
        <v>33</v>
      </c>
      <c r="D918" t="s">
        <v>34</v>
      </c>
      <c r="E918" t="s">
        <v>44</v>
      </c>
      <c r="F918" t="s">
        <v>35</v>
      </c>
      <c r="G918" t="s">
        <v>31</v>
      </c>
      <c r="H918" t="s">
        <v>25</v>
      </c>
      <c r="I918">
        <v>3</v>
      </c>
      <c r="J918" s="5">
        <v>41994</v>
      </c>
      <c r="K918" s="5">
        <v>125982</v>
      </c>
      <c r="L918" s="5">
        <v>0</v>
      </c>
      <c r="M918" s="12">
        <v>0</v>
      </c>
      <c r="N918" s="5">
        <f t="shared" si="28"/>
        <v>125982</v>
      </c>
      <c r="O918" s="5">
        <v>70285.759999999995</v>
      </c>
      <c r="P918" s="5">
        <f t="shared" si="29"/>
        <v>55696.240000000005</v>
      </c>
      <c r="Q918" t="s">
        <v>201</v>
      </c>
      <c r="R918">
        <v>2026</v>
      </c>
      <c r="S918">
        <v>5</v>
      </c>
    </row>
    <row r="919" spans="1:19" x14ac:dyDescent="0.3">
      <c r="A919" s="19" t="s">
        <v>977</v>
      </c>
      <c r="B919" s="20">
        <v>46145</v>
      </c>
      <c r="C919" s="19" t="s">
        <v>46</v>
      </c>
      <c r="D919" s="19" t="s">
        <v>21</v>
      </c>
      <c r="E919" s="19" t="s">
        <v>22</v>
      </c>
      <c r="F919" s="19" t="s">
        <v>40</v>
      </c>
      <c r="G919" s="19" t="s">
        <v>31</v>
      </c>
      <c r="H919" s="19" t="s">
        <v>25</v>
      </c>
      <c r="I919" s="19">
        <v>1</v>
      </c>
      <c r="J919" s="21">
        <v>12841</v>
      </c>
      <c r="K919" s="21">
        <v>12841</v>
      </c>
      <c r="L919" s="21">
        <v>0</v>
      </c>
      <c r="M919" s="15">
        <v>0</v>
      </c>
      <c r="N919" s="21">
        <f t="shared" si="28"/>
        <v>12841</v>
      </c>
      <c r="O919" s="21">
        <v>6360.93</v>
      </c>
      <c r="P919" s="21">
        <f t="shared" si="29"/>
        <v>6480.07</v>
      </c>
      <c r="Q919" s="19" t="s">
        <v>201</v>
      </c>
      <c r="R919" s="19">
        <v>2026</v>
      </c>
      <c r="S919" s="19">
        <v>5</v>
      </c>
    </row>
    <row r="920" spans="1:19" x14ac:dyDescent="0.3">
      <c r="A920" t="s">
        <v>978</v>
      </c>
      <c r="B920" s="2">
        <v>46145</v>
      </c>
      <c r="C920" t="s">
        <v>71</v>
      </c>
      <c r="D920" t="s">
        <v>34</v>
      </c>
      <c r="E920" t="s">
        <v>56</v>
      </c>
      <c r="F920" t="s">
        <v>40</v>
      </c>
      <c r="G920" t="s">
        <v>31</v>
      </c>
      <c r="H920" t="s">
        <v>25</v>
      </c>
      <c r="I920">
        <v>1</v>
      </c>
      <c r="J920" s="5">
        <v>53986</v>
      </c>
      <c r="K920" s="5">
        <v>53986</v>
      </c>
      <c r="L920" s="5">
        <v>0</v>
      </c>
      <c r="M920" s="12">
        <v>0</v>
      </c>
      <c r="N920" s="5">
        <f t="shared" si="28"/>
        <v>53986</v>
      </c>
      <c r="O920" s="5">
        <v>29010.05</v>
      </c>
      <c r="P920" s="5">
        <f t="shared" si="29"/>
        <v>24975.95</v>
      </c>
      <c r="Q920" t="s">
        <v>201</v>
      </c>
      <c r="R920">
        <v>2026</v>
      </c>
      <c r="S920">
        <v>5</v>
      </c>
    </row>
    <row r="921" spans="1:19" x14ac:dyDescent="0.3">
      <c r="A921" s="19" t="s">
        <v>979</v>
      </c>
      <c r="B921" s="20">
        <v>46145</v>
      </c>
      <c r="C921" s="19" t="s">
        <v>33</v>
      </c>
      <c r="D921" s="19" t="s">
        <v>34</v>
      </c>
      <c r="E921" s="19" t="s">
        <v>44</v>
      </c>
      <c r="F921" s="19" t="s">
        <v>40</v>
      </c>
      <c r="G921" s="19" t="s">
        <v>24</v>
      </c>
      <c r="H921" s="19" t="s">
        <v>25</v>
      </c>
      <c r="I921" s="19">
        <v>2</v>
      </c>
      <c r="J921" s="21">
        <v>45282</v>
      </c>
      <c r="K921" s="21">
        <v>90564</v>
      </c>
      <c r="L921" s="21">
        <v>0</v>
      </c>
      <c r="M921" s="15">
        <v>0</v>
      </c>
      <c r="N921" s="21">
        <f t="shared" si="28"/>
        <v>90564</v>
      </c>
      <c r="O921" s="21">
        <v>48046.85</v>
      </c>
      <c r="P921" s="21">
        <f t="shared" si="29"/>
        <v>42517.15</v>
      </c>
      <c r="Q921" s="19" t="s">
        <v>201</v>
      </c>
      <c r="R921" s="19">
        <v>2026</v>
      </c>
      <c r="S921" s="19">
        <v>5</v>
      </c>
    </row>
    <row r="922" spans="1:19" x14ac:dyDescent="0.3">
      <c r="A922" t="s">
        <v>980</v>
      </c>
      <c r="B922" s="2">
        <v>46146</v>
      </c>
      <c r="C922" t="s">
        <v>20</v>
      </c>
      <c r="D922" t="s">
        <v>21</v>
      </c>
      <c r="E922" t="s">
        <v>22</v>
      </c>
      <c r="F922" t="s">
        <v>23</v>
      </c>
      <c r="G922" t="s">
        <v>24</v>
      </c>
      <c r="H922" t="s">
        <v>25</v>
      </c>
      <c r="I922">
        <v>1</v>
      </c>
      <c r="J922" s="5">
        <v>14015</v>
      </c>
      <c r="K922" s="5">
        <v>14015</v>
      </c>
      <c r="L922" s="5">
        <v>0</v>
      </c>
      <c r="M922" s="12">
        <v>0</v>
      </c>
      <c r="N922" s="5">
        <f t="shared" si="28"/>
        <v>14015</v>
      </c>
      <c r="O922" s="5">
        <v>6850.99</v>
      </c>
      <c r="P922" s="5">
        <f t="shared" si="29"/>
        <v>7164.01</v>
      </c>
      <c r="Q922" t="s">
        <v>201</v>
      </c>
      <c r="R922">
        <v>2026</v>
      </c>
      <c r="S922">
        <v>5</v>
      </c>
    </row>
    <row r="923" spans="1:19" x14ac:dyDescent="0.3">
      <c r="A923" s="19" t="s">
        <v>981</v>
      </c>
      <c r="B923" s="20">
        <v>46148</v>
      </c>
      <c r="C923" s="19" t="s">
        <v>46</v>
      </c>
      <c r="D923" s="19" t="s">
        <v>21</v>
      </c>
      <c r="E923" s="19" t="s">
        <v>42</v>
      </c>
      <c r="F923" s="19" t="s">
        <v>37</v>
      </c>
      <c r="G923" s="19" t="s">
        <v>24</v>
      </c>
      <c r="H923" s="19" t="s">
        <v>25</v>
      </c>
      <c r="I923" s="19">
        <v>2</v>
      </c>
      <c r="J923" s="21">
        <v>11960</v>
      </c>
      <c r="K923" s="21">
        <v>23920</v>
      </c>
      <c r="L923" s="21">
        <v>0</v>
      </c>
      <c r="M923" s="15">
        <v>0</v>
      </c>
      <c r="N923" s="21">
        <f t="shared" si="28"/>
        <v>23920</v>
      </c>
      <c r="O923" s="21">
        <v>13055.62</v>
      </c>
      <c r="P923" s="21">
        <f t="shared" si="29"/>
        <v>10864.38</v>
      </c>
      <c r="Q923" s="19" t="s">
        <v>201</v>
      </c>
      <c r="R923" s="19">
        <v>2026</v>
      </c>
      <c r="S923" s="19">
        <v>5</v>
      </c>
    </row>
    <row r="924" spans="1:19" x14ac:dyDescent="0.3">
      <c r="A924" t="s">
        <v>982</v>
      </c>
      <c r="B924" s="2">
        <v>46150</v>
      </c>
      <c r="C924" t="s">
        <v>82</v>
      </c>
      <c r="D924" t="s">
        <v>21</v>
      </c>
      <c r="E924" t="s">
        <v>56</v>
      </c>
      <c r="F924" t="s">
        <v>40</v>
      </c>
      <c r="G924" t="s">
        <v>31</v>
      </c>
      <c r="H924" t="s">
        <v>25</v>
      </c>
      <c r="I924">
        <v>1</v>
      </c>
      <c r="J924" s="5">
        <v>46960</v>
      </c>
      <c r="K924" s="5">
        <v>46960</v>
      </c>
      <c r="L924" s="5">
        <v>0</v>
      </c>
      <c r="M924" s="12">
        <v>0</v>
      </c>
      <c r="N924" s="5">
        <f t="shared" si="28"/>
        <v>46960</v>
      </c>
      <c r="O924" s="5">
        <v>30313.439999999999</v>
      </c>
      <c r="P924" s="5">
        <f t="shared" si="29"/>
        <v>16646.560000000001</v>
      </c>
      <c r="Q924" t="s">
        <v>201</v>
      </c>
      <c r="R924">
        <v>2026</v>
      </c>
      <c r="S924">
        <v>5</v>
      </c>
    </row>
    <row r="925" spans="1:19" x14ac:dyDescent="0.3">
      <c r="A925" s="19" t="s">
        <v>983</v>
      </c>
      <c r="B925" s="20">
        <v>46152</v>
      </c>
      <c r="C925" s="19" t="s">
        <v>28</v>
      </c>
      <c r="D925" s="19" t="s">
        <v>29</v>
      </c>
      <c r="E925" s="19" t="s">
        <v>44</v>
      </c>
      <c r="F925" s="19" t="s">
        <v>40</v>
      </c>
      <c r="G925" s="19" t="s">
        <v>24</v>
      </c>
      <c r="H925" s="19" t="s">
        <v>25</v>
      </c>
      <c r="I925" s="19">
        <v>2</v>
      </c>
      <c r="J925" s="21">
        <v>65741</v>
      </c>
      <c r="K925" s="21">
        <v>131482</v>
      </c>
      <c r="L925" s="21">
        <v>0</v>
      </c>
      <c r="M925" s="15">
        <v>0</v>
      </c>
      <c r="N925" s="21">
        <f t="shared" si="28"/>
        <v>131482</v>
      </c>
      <c r="O925" s="21">
        <v>77410.789999999994</v>
      </c>
      <c r="P925" s="21">
        <f t="shared" si="29"/>
        <v>54071.210000000006</v>
      </c>
      <c r="Q925" s="19" t="s">
        <v>201</v>
      </c>
      <c r="R925" s="19">
        <v>2026</v>
      </c>
      <c r="S925" s="19">
        <v>5</v>
      </c>
    </row>
    <row r="926" spans="1:19" x14ac:dyDescent="0.3">
      <c r="A926" t="s">
        <v>984</v>
      </c>
      <c r="B926" s="2">
        <v>46152</v>
      </c>
      <c r="C926" t="s">
        <v>75</v>
      </c>
      <c r="D926" t="s">
        <v>34</v>
      </c>
      <c r="E926" t="s">
        <v>22</v>
      </c>
      <c r="F926" t="s">
        <v>37</v>
      </c>
      <c r="G926" t="s">
        <v>31</v>
      </c>
      <c r="H926" t="s">
        <v>25</v>
      </c>
      <c r="I926">
        <v>2</v>
      </c>
      <c r="J926" s="5">
        <v>36180</v>
      </c>
      <c r="K926" s="5">
        <v>72360</v>
      </c>
      <c r="L926" s="5">
        <v>0</v>
      </c>
      <c r="M926" s="12">
        <v>0</v>
      </c>
      <c r="N926" s="5">
        <f t="shared" si="28"/>
        <v>72360</v>
      </c>
      <c r="O926" s="5">
        <v>46186.080000000002</v>
      </c>
      <c r="P926" s="5">
        <f t="shared" si="29"/>
        <v>26173.919999999998</v>
      </c>
      <c r="Q926" t="s">
        <v>201</v>
      </c>
      <c r="R926">
        <v>2026</v>
      </c>
      <c r="S926">
        <v>5</v>
      </c>
    </row>
    <row r="927" spans="1:19" x14ac:dyDescent="0.3">
      <c r="A927" s="19" t="s">
        <v>985</v>
      </c>
      <c r="B927" s="20">
        <v>46155</v>
      </c>
      <c r="C927" s="19" t="s">
        <v>46</v>
      </c>
      <c r="D927" s="19" t="s">
        <v>21</v>
      </c>
      <c r="E927" s="19" t="s">
        <v>22</v>
      </c>
      <c r="F927" s="19" t="s">
        <v>35</v>
      </c>
      <c r="G927" s="19" t="s">
        <v>24</v>
      </c>
      <c r="H927" s="19" t="s">
        <v>25</v>
      </c>
      <c r="I927" s="19">
        <v>2</v>
      </c>
      <c r="J927" s="21">
        <v>11125</v>
      </c>
      <c r="K927" s="21">
        <v>22250</v>
      </c>
      <c r="L927" s="21">
        <v>0</v>
      </c>
      <c r="M927" s="15">
        <v>0</v>
      </c>
      <c r="N927" s="21">
        <f t="shared" si="28"/>
        <v>22250</v>
      </c>
      <c r="O927" s="21">
        <v>12023.53</v>
      </c>
      <c r="P927" s="21">
        <f t="shared" si="29"/>
        <v>10226.469999999999</v>
      </c>
      <c r="Q927" s="19" t="s">
        <v>201</v>
      </c>
      <c r="R927" s="19">
        <v>2026</v>
      </c>
      <c r="S927" s="19">
        <v>5</v>
      </c>
    </row>
    <row r="928" spans="1:19" x14ac:dyDescent="0.3">
      <c r="A928" t="s">
        <v>986</v>
      </c>
      <c r="B928" s="2">
        <v>46155</v>
      </c>
      <c r="C928" t="s">
        <v>28</v>
      </c>
      <c r="D928" t="s">
        <v>29</v>
      </c>
      <c r="E928" t="s">
        <v>22</v>
      </c>
      <c r="F928" t="s">
        <v>37</v>
      </c>
      <c r="G928" t="s">
        <v>24</v>
      </c>
      <c r="H928" t="s">
        <v>25</v>
      </c>
      <c r="I928">
        <v>1</v>
      </c>
      <c r="J928" s="5">
        <v>60237</v>
      </c>
      <c r="K928" s="5">
        <v>60237</v>
      </c>
      <c r="L928" s="5">
        <v>0</v>
      </c>
      <c r="M928" s="12">
        <v>0</v>
      </c>
      <c r="N928" s="5">
        <f t="shared" si="28"/>
        <v>60237</v>
      </c>
      <c r="O928" s="5">
        <v>39974.199999999997</v>
      </c>
      <c r="P928" s="5">
        <f t="shared" si="29"/>
        <v>20262.800000000003</v>
      </c>
      <c r="Q928" t="s">
        <v>201</v>
      </c>
      <c r="R928">
        <v>2026</v>
      </c>
      <c r="S928">
        <v>5</v>
      </c>
    </row>
    <row r="929" spans="1:19" x14ac:dyDescent="0.3">
      <c r="A929" s="19" t="s">
        <v>987</v>
      </c>
      <c r="B929" s="20">
        <v>46156</v>
      </c>
      <c r="C929" s="19" t="s">
        <v>28</v>
      </c>
      <c r="D929" s="19" t="s">
        <v>29</v>
      </c>
      <c r="E929" s="19" t="s">
        <v>44</v>
      </c>
      <c r="F929" s="19" t="s">
        <v>37</v>
      </c>
      <c r="G929" s="19" t="s">
        <v>24</v>
      </c>
      <c r="H929" s="19" t="s">
        <v>25</v>
      </c>
      <c r="I929" s="19">
        <v>1</v>
      </c>
      <c r="J929" s="21">
        <v>60040</v>
      </c>
      <c r="K929" s="21">
        <v>60040</v>
      </c>
      <c r="L929" s="21">
        <v>0</v>
      </c>
      <c r="M929" s="15">
        <v>0</v>
      </c>
      <c r="N929" s="21">
        <f t="shared" si="28"/>
        <v>60040</v>
      </c>
      <c r="O929" s="21">
        <v>34626.379999999997</v>
      </c>
      <c r="P929" s="21">
        <f t="shared" si="29"/>
        <v>25413.620000000003</v>
      </c>
      <c r="Q929" s="19" t="s">
        <v>201</v>
      </c>
      <c r="R929" s="19">
        <v>2026</v>
      </c>
      <c r="S929" s="19">
        <v>5</v>
      </c>
    </row>
    <row r="930" spans="1:19" x14ac:dyDescent="0.3">
      <c r="A930" t="s">
        <v>988</v>
      </c>
      <c r="B930" s="2">
        <v>46157</v>
      </c>
      <c r="C930" t="s">
        <v>33</v>
      </c>
      <c r="D930" t="s">
        <v>34</v>
      </c>
      <c r="E930" t="s">
        <v>22</v>
      </c>
      <c r="F930" t="s">
        <v>30</v>
      </c>
      <c r="G930" t="s">
        <v>24</v>
      </c>
      <c r="H930" t="s">
        <v>25</v>
      </c>
      <c r="I930">
        <v>1</v>
      </c>
      <c r="J930" s="5">
        <v>39123</v>
      </c>
      <c r="K930" s="5">
        <v>39123</v>
      </c>
      <c r="L930" s="5">
        <v>3912.3</v>
      </c>
      <c r="M930" s="12">
        <v>0.1</v>
      </c>
      <c r="N930" s="5">
        <f t="shared" si="28"/>
        <v>35210.699999999997</v>
      </c>
      <c r="O930" s="5">
        <v>21541.31</v>
      </c>
      <c r="P930" s="5">
        <f t="shared" si="29"/>
        <v>13669.389999999996</v>
      </c>
      <c r="Q930" t="s">
        <v>201</v>
      </c>
      <c r="R930">
        <v>2026</v>
      </c>
      <c r="S930">
        <v>5</v>
      </c>
    </row>
    <row r="931" spans="1:19" x14ac:dyDescent="0.3">
      <c r="A931" s="19" t="s">
        <v>989</v>
      </c>
      <c r="B931" s="20">
        <v>46158</v>
      </c>
      <c r="C931" s="19" t="s">
        <v>48</v>
      </c>
      <c r="D931" s="19" t="s">
        <v>34</v>
      </c>
      <c r="E931" s="19" t="s">
        <v>42</v>
      </c>
      <c r="F931" s="19" t="s">
        <v>40</v>
      </c>
      <c r="G931" s="19" t="s">
        <v>31</v>
      </c>
      <c r="H931" s="19" t="s">
        <v>25</v>
      </c>
      <c r="I931" s="19">
        <v>2</v>
      </c>
      <c r="J931" s="21">
        <v>25952</v>
      </c>
      <c r="K931" s="21">
        <v>51904</v>
      </c>
      <c r="L931" s="21">
        <v>0</v>
      </c>
      <c r="M931" s="15">
        <v>0</v>
      </c>
      <c r="N931" s="21">
        <f t="shared" si="28"/>
        <v>51904</v>
      </c>
      <c r="O931" s="21">
        <v>34658.53</v>
      </c>
      <c r="P931" s="21">
        <f t="shared" si="29"/>
        <v>17245.47</v>
      </c>
      <c r="Q931" s="19" t="s">
        <v>201</v>
      </c>
      <c r="R931" s="19">
        <v>2026</v>
      </c>
      <c r="S931" s="19">
        <v>5</v>
      </c>
    </row>
    <row r="932" spans="1:19" x14ac:dyDescent="0.3">
      <c r="A932" t="s">
        <v>990</v>
      </c>
      <c r="B932" s="2">
        <v>46158</v>
      </c>
      <c r="C932" t="s">
        <v>28</v>
      </c>
      <c r="D932" t="s">
        <v>29</v>
      </c>
      <c r="E932" t="s">
        <v>22</v>
      </c>
      <c r="F932" t="s">
        <v>40</v>
      </c>
      <c r="G932" t="s">
        <v>24</v>
      </c>
      <c r="H932" t="s">
        <v>25</v>
      </c>
      <c r="I932">
        <v>1</v>
      </c>
      <c r="J932" s="5">
        <v>69983</v>
      </c>
      <c r="K932" s="5">
        <v>69983</v>
      </c>
      <c r="L932" s="5">
        <v>0</v>
      </c>
      <c r="M932" s="12">
        <v>0</v>
      </c>
      <c r="N932" s="5">
        <f t="shared" si="28"/>
        <v>69983</v>
      </c>
      <c r="O932" s="5">
        <v>45445.38</v>
      </c>
      <c r="P932" s="5">
        <f t="shared" si="29"/>
        <v>24537.620000000003</v>
      </c>
      <c r="Q932" t="s">
        <v>201</v>
      </c>
      <c r="R932">
        <v>2026</v>
      </c>
      <c r="S932">
        <v>5</v>
      </c>
    </row>
    <row r="933" spans="1:19" x14ac:dyDescent="0.3">
      <c r="A933" s="19" t="s">
        <v>991</v>
      </c>
      <c r="B933" s="20">
        <v>46160</v>
      </c>
      <c r="C933" s="19" t="s">
        <v>82</v>
      </c>
      <c r="D933" s="19" t="s">
        <v>21</v>
      </c>
      <c r="E933" s="19" t="s">
        <v>56</v>
      </c>
      <c r="F933" s="19" t="s">
        <v>30</v>
      </c>
      <c r="G933" s="19" t="s">
        <v>24</v>
      </c>
      <c r="H933" s="19" t="s">
        <v>25</v>
      </c>
      <c r="I933" s="19">
        <v>1</v>
      </c>
      <c r="J933" s="21">
        <v>48404</v>
      </c>
      <c r="K933" s="21">
        <v>48404</v>
      </c>
      <c r="L933" s="21">
        <v>0</v>
      </c>
      <c r="M933" s="15">
        <v>0</v>
      </c>
      <c r="N933" s="21">
        <f t="shared" si="28"/>
        <v>48404</v>
      </c>
      <c r="O933" s="21">
        <v>27228.98</v>
      </c>
      <c r="P933" s="21">
        <f t="shared" si="29"/>
        <v>21175.02</v>
      </c>
      <c r="Q933" s="19" t="s">
        <v>201</v>
      </c>
      <c r="R933" s="19">
        <v>2026</v>
      </c>
      <c r="S933" s="19">
        <v>5</v>
      </c>
    </row>
    <row r="934" spans="1:19" x14ac:dyDescent="0.3">
      <c r="A934" t="s">
        <v>992</v>
      </c>
      <c r="B934" s="2">
        <v>46162</v>
      </c>
      <c r="C934" t="s">
        <v>48</v>
      </c>
      <c r="D934" t="s">
        <v>34</v>
      </c>
      <c r="E934" t="s">
        <v>42</v>
      </c>
      <c r="F934" t="s">
        <v>23</v>
      </c>
      <c r="G934" t="s">
        <v>24</v>
      </c>
      <c r="H934" t="s">
        <v>25</v>
      </c>
      <c r="I934">
        <v>4</v>
      </c>
      <c r="J934" s="5">
        <v>24256</v>
      </c>
      <c r="K934" s="5">
        <v>97024</v>
      </c>
      <c r="L934" s="5">
        <v>0</v>
      </c>
      <c r="M934" s="12">
        <v>0</v>
      </c>
      <c r="N934" s="5">
        <f t="shared" si="28"/>
        <v>97024</v>
      </c>
      <c r="O934" s="5">
        <v>62469</v>
      </c>
      <c r="P934" s="5">
        <f t="shared" si="29"/>
        <v>34555</v>
      </c>
      <c r="Q934" t="s">
        <v>201</v>
      </c>
      <c r="R934">
        <v>2026</v>
      </c>
      <c r="S934">
        <v>5</v>
      </c>
    </row>
    <row r="935" spans="1:19" x14ac:dyDescent="0.3">
      <c r="A935" s="19" t="s">
        <v>993</v>
      </c>
      <c r="B935" s="20">
        <v>46163</v>
      </c>
      <c r="C935" s="19" t="s">
        <v>48</v>
      </c>
      <c r="D935" s="19" t="s">
        <v>34</v>
      </c>
      <c r="E935" s="19" t="s">
        <v>22</v>
      </c>
      <c r="F935" s="19" t="s">
        <v>40</v>
      </c>
      <c r="G935" s="19" t="s">
        <v>31</v>
      </c>
      <c r="H935" s="19" t="s">
        <v>25</v>
      </c>
      <c r="I935" s="19">
        <v>2</v>
      </c>
      <c r="J935" s="21">
        <v>25436</v>
      </c>
      <c r="K935" s="21">
        <v>50872</v>
      </c>
      <c r="L935" s="21">
        <v>0</v>
      </c>
      <c r="M935" s="15">
        <v>0</v>
      </c>
      <c r="N935" s="21">
        <f t="shared" si="28"/>
        <v>50872</v>
      </c>
      <c r="O935" s="21">
        <v>27110.68</v>
      </c>
      <c r="P935" s="21">
        <f t="shared" si="29"/>
        <v>23761.32</v>
      </c>
      <c r="Q935" s="19" t="s">
        <v>201</v>
      </c>
      <c r="R935" s="19">
        <v>2026</v>
      </c>
      <c r="S935" s="19">
        <v>5</v>
      </c>
    </row>
    <row r="936" spans="1:19" x14ac:dyDescent="0.3">
      <c r="A936" t="s">
        <v>994</v>
      </c>
      <c r="B936" s="2">
        <v>46163</v>
      </c>
      <c r="C936" t="s">
        <v>50</v>
      </c>
      <c r="D936" t="s">
        <v>34</v>
      </c>
      <c r="E936" t="s">
        <v>56</v>
      </c>
      <c r="F936" t="s">
        <v>37</v>
      </c>
      <c r="G936" t="s">
        <v>24</v>
      </c>
      <c r="H936" t="s">
        <v>25</v>
      </c>
      <c r="I936">
        <v>3</v>
      </c>
      <c r="J936" s="5">
        <v>17348</v>
      </c>
      <c r="K936" s="5">
        <v>52044</v>
      </c>
      <c r="L936" s="5">
        <v>0</v>
      </c>
      <c r="M936" s="12">
        <v>0</v>
      </c>
      <c r="N936" s="5">
        <f t="shared" si="28"/>
        <v>52044</v>
      </c>
      <c r="O936" s="5">
        <v>29417.16</v>
      </c>
      <c r="P936" s="5">
        <f t="shared" si="29"/>
        <v>22626.84</v>
      </c>
      <c r="Q936" t="s">
        <v>201</v>
      </c>
      <c r="R936">
        <v>2026</v>
      </c>
      <c r="S936">
        <v>5</v>
      </c>
    </row>
    <row r="937" spans="1:19" x14ac:dyDescent="0.3">
      <c r="A937" s="19" t="s">
        <v>995</v>
      </c>
      <c r="B937" s="20">
        <v>46163</v>
      </c>
      <c r="C937" s="19" t="s">
        <v>48</v>
      </c>
      <c r="D937" s="19" t="s">
        <v>34</v>
      </c>
      <c r="E937" s="19" t="s">
        <v>44</v>
      </c>
      <c r="F937" s="19" t="s">
        <v>37</v>
      </c>
      <c r="G937" s="19" t="s">
        <v>24</v>
      </c>
      <c r="H937" s="19" t="s">
        <v>25</v>
      </c>
      <c r="I937" s="19">
        <v>3</v>
      </c>
      <c r="J937" s="21">
        <v>23928</v>
      </c>
      <c r="K937" s="21">
        <v>71784</v>
      </c>
      <c r="L937" s="21">
        <v>0</v>
      </c>
      <c r="M937" s="15">
        <v>0</v>
      </c>
      <c r="N937" s="21">
        <f t="shared" si="28"/>
        <v>71784</v>
      </c>
      <c r="O937" s="21">
        <v>45673.99</v>
      </c>
      <c r="P937" s="21">
        <f t="shared" si="29"/>
        <v>26110.010000000002</v>
      </c>
      <c r="Q937" s="19" t="s">
        <v>201</v>
      </c>
      <c r="R937" s="19">
        <v>2026</v>
      </c>
      <c r="S937" s="19">
        <v>5</v>
      </c>
    </row>
    <row r="938" spans="1:19" x14ac:dyDescent="0.3">
      <c r="A938" t="s">
        <v>996</v>
      </c>
      <c r="B938" s="2">
        <v>46164</v>
      </c>
      <c r="C938" t="s">
        <v>82</v>
      </c>
      <c r="D938" t="s">
        <v>21</v>
      </c>
      <c r="E938" t="s">
        <v>22</v>
      </c>
      <c r="F938" t="s">
        <v>23</v>
      </c>
      <c r="G938" t="s">
        <v>24</v>
      </c>
      <c r="H938" t="s">
        <v>25</v>
      </c>
      <c r="I938">
        <v>2</v>
      </c>
      <c r="J938" s="5">
        <v>46068</v>
      </c>
      <c r="K938" s="5">
        <v>92136</v>
      </c>
      <c r="L938" s="5">
        <v>0</v>
      </c>
      <c r="M938" s="12">
        <v>0</v>
      </c>
      <c r="N938" s="5">
        <f t="shared" si="28"/>
        <v>92136</v>
      </c>
      <c r="O938" s="5">
        <v>60761.8</v>
      </c>
      <c r="P938" s="5">
        <f t="shared" si="29"/>
        <v>31374.199999999997</v>
      </c>
      <c r="Q938" t="s">
        <v>201</v>
      </c>
      <c r="R938">
        <v>2026</v>
      </c>
      <c r="S938">
        <v>5</v>
      </c>
    </row>
    <row r="939" spans="1:19" x14ac:dyDescent="0.3">
      <c r="A939" s="19" t="s">
        <v>997</v>
      </c>
      <c r="B939" s="20">
        <v>46164</v>
      </c>
      <c r="C939" s="19" t="s">
        <v>50</v>
      </c>
      <c r="D939" s="19" t="s">
        <v>34</v>
      </c>
      <c r="E939" s="19" t="s">
        <v>56</v>
      </c>
      <c r="F939" s="19" t="s">
        <v>35</v>
      </c>
      <c r="G939" s="19" t="s">
        <v>24</v>
      </c>
      <c r="H939" s="19" t="s">
        <v>25</v>
      </c>
      <c r="I939" s="19">
        <v>2</v>
      </c>
      <c r="J939" s="21">
        <v>17406</v>
      </c>
      <c r="K939" s="21">
        <v>34812</v>
      </c>
      <c r="L939" s="21">
        <v>0</v>
      </c>
      <c r="M939" s="15">
        <v>0</v>
      </c>
      <c r="N939" s="21">
        <f t="shared" si="28"/>
        <v>34812</v>
      </c>
      <c r="O939" s="21">
        <v>20192.57</v>
      </c>
      <c r="P939" s="21">
        <f t="shared" si="29"/>
        <v>14619.43</v>
      </c>
      <c r="Q939" s="19" t="s">
        <v>201</v>
      </c>
      <c r="R939" s="19">
        <v>2026</v>
      </c>
      <c r="S939" s="19">
        <v>5</v>
      </c>
    </row>
    <row r="940" spans="1:19" x14ac:dyDescent="0.3">
      <c r="A940" t="s">
        <v>998</v>
      </c>
      <c r="B940" s="2">
        <v>46167</v>
      </c>
      <c r="C940" t="s">
        <v>75</v>
      </c>
      <c r="D940" t="s">
        <v>34</v>
      </c>
      <c r="E940" t="s">
        <v>42</v>
      </c>
      <c r="F940" t="s">
        <v>35</v>
      </c>
      <c r="G940" t="s">
        <v>31</v>
      </c>
      <c r="H940" t="s">
        <v>25</v>
      </c>
      <c r="I940">
        <v>1</v>
      </c>
      <c r="J940" s="5">
        <v>39779</v>
      </c>
      <c r="K940" s="5">
        <v>39779</v>
      </c>
      <c r="L940" s="5">
        <v>0</v>
      </c>
      <c r="M940" s="12">
        <v>0</v>
      </c>
      <c r="N940" s="5">
        <f t="shared" si="28"/>
        <v>39779</v>
      </c>
      <c r="O940" s="5">
        <v>21345.55</v>
      </c>
      <c r="P940" s="5">
        <f t="shared" si="29"/>
        <v>18433.45</v>
      </c>
      <c r="Q940" t="s">
        <v>201</v>
      </c>
      <c r="R940">
        <v>2026</v>
      </c>
      <c r="S940">
        <v>5</v>
      </c>
    </row>
    <row r="941" spans="1:19" x14ac:dyDescent="0.3">
      <c r="A941" s="19" t="s">
        <v>999</v>
      </c>
      <c r="B941" s="20">
        <v>46167</v>
      </c>
      <c r="C941" s="19" t="s">
        <v>33</v>
      </c>
      <c r="D941" s="19" t="s">
        <v>34</v>
      </c>
      <c r="E941" s="19" t="s">
        <v>42</v>
      </c>
      <c r="F941" s="19" t="s">
        <v>23</v>
      </c>
      <c r="G941" s="19" t="s">
        <v>24</v>
      </c>
      <c r="H941" s="19" t="s">
        <v>25</v>
      </c>
      <c r="I941" s="19">
        <v>2</v>
      </c>
      <c r="J941" s="21">
        <v>40678</v>
      </c>
      <c r="K941" s="21">
        <v>81356</v>
      </c>
      <c r="L941" s="21">
        <v>0</v>
      </c>
      <c r="M941" s="15">
        <v>0</v>
      </c>
      <c r="N941" s="21">
        <f t="shared" si="28"/>
        <v>81356</v>
      </c>
      <c r="O941" s="21">
        <v>44886.73</v>
      </c>
      <c r="P941" s="21">
        <f t="shared" si="29"/>
        <v>36469.269999999997</v>
      </c>
      <c r="Q941" s="19" t="s">
        <v>201</v>
      </c>
      <c r="R941" s="19">
        <v>2026</v>
      </c>
      <c r="S941" s="19">
        <v>5</v>
      </c>
    </row>
    <row r="942" spans="1:19" x14ac:dyDescent="0.3">
      <c r="A942" t="s">
        <v>1000</v>
      </c>
      <c r="B942" s="2">
        <v>46168</v>
      </c>
      <c r="C942" t="s">
        <v>64</v>
      </c>
      <c r="D942" t="s">
        <v>29</v>
      </c>
      <c r="E942" t="s">
        <v>42</v>
      </c>
      <c r="F942" t="s">
        <v>23</v>
      </c>
      <c r="G942" t="s">
        <v>31</v>
      </c>
      <c r="H942" t="s">
        <v>25</v>
      </c>
      <c r="I942">
        <v>4</v>
      </c>
      <c r="J942" s="5">
        <v>28542</v>
      </c>
      <c r="K942" s="5">
        <v>114168</v>
      </c>
      <c r="L942" s="5">
        <v>0</v>
      </c>
      <c r="M942" s="12">
        <v>0</v>
      </c>
      <c r="N942" s="5">
        <f t="shared" si="28"/>
        <v>114168</v>
      </c>
      <c r="O942" s="5">
        <v>56803.55</v>
      </c>
      <c r="P942" s="5">
        <f t="shared" si="29"/>
        <v>57364.45</v>
      </c>
      <c r="Q942" t="s">
        <v>201</v>
      </c>
      <c r="R942">
        <v>2026</v>
      </c>
      <c r="S942">
        <v>5</v>
      </c>
    </row>
    <row r="943" spans="1:19" x14ac:dyDescent="0.3">
      <c r="A943" s="19" t="s">
        <v>1001</v>
      </c>
      <c r="B943" s="20">
        <v>46168</v>
      </c>
      <c r="C943" s="19" t="s">
        <v>46</v>
      </c>
      <c r="D943" s="19" t="s">
        <v>21</v>
      </c>
      <c r="E943" s="19" t="s">
        <v>22</v>
      </c>
      <c r="F943" s="19" t="s">
        <v>40</v>
      </c>
      <c r="G943" s="19" t="s">
        <v>31</v>
      </c>
      <c r="H943" s="19" t="s">
        <v>25</v>
      </c>
      <c r="I943" s="19">
        <v>2</v>
      </c>
      <c r="J943" s="21">
        <v>11197</v>
      </c>
      <c r="K943" s="21">
        <v>22394</v>
      </c>
      <c r="L943" s="21">
        <v>0</v>
      </c>
      <c r="M943" s="15">
        <v>0</v>
      </c>
      <c r="N943" s="21">
        <f t="shared" si="28"/>
        <v>22394</v>
      </c>
      <c r="O943" s="21">
        <v>15182.04</v>
      </c>
      <c r="P943" s="21">
        <f t="shared" si="29"/>
        <v>7211.9599999999991</v>
      </c>
      <c r="Q943" s="19" t="s">
        <v>201</v>
      </c>
      <c r="R943" s="19">
        <v>2026</v>
      </c>
      <c r="S943" s="19">
        <v>5</v>
      </c>
    </row>
    <row r="944" spans="1:19" x14ac:dyDescent="0.3">
      <c r="A944" t="s">
        <v>1002</v>
      </c>
      <c r="B944" s="2">
        <v>46168</v>
      </c>
      <c r="C944" t="s">
        <v>20</v>
      </c>
      <c r="D944" t="s">
        <v>21</v>
      </c>
      <c r="E944" t="s">
        <v>42</v>
      </c>
      <c r="F944" t="s">
        <v>40</v>
      </c>
      <c r="G944" t="s">
        <v>31</v>
      </c>
      <c r="H944" t="s">
        <v>25</v>
      </c>
      <c r="I944">
        <v>2</v>
      </c>
      <c r="J944" s="5">
        <v>14096</v>
      </c>
      <c r="K944" s="5">
        <v>28192</v>
      </c>
      <c r="L944" s="5">
        <v>0</v>
      </c>
      <c r="M944" s="12">
        <v>0</v>
      </c>
      <c r="N944" s="5">
        <f t="shared" si="28"/>
        <v>28192</v>
      </c>
      <c r="O944" s="5">
        <v>16820.900000000001</v>
      </c>
      <c r="P944" s="5">
        <f t="shared" si="29"/>
        <v>11371.099999999999</v>
      </c>
      <c r="Q944" t="s">
        <v>201</v>
      </c>
      <c r="R944">
        <v>2026</v>
      </c>
      <c r="S944">
        <v>5</v>
      </c>
    </row>
    <row r="945" spans="1:19" x14ac:dyDescent="0.3">
      <c r="A945" s="19" t="s">
        <v>1003</v>
      </c>
      <c r="B945" s="20">
        <v>46169</v>
      </c>
      <c r="C945" s="19" t="s">
        <v>28</v>
      </c>
      <c r="D945" s="19" t="s">
        <v>29</v>
      </c>
      <c r="E945" s="19" t="s">
        <v>42</v>
      </c>
      <c r="F945" s="19" t="s">
        <v>35</v>
      </c>
      <c r="G945" s="19" t="s">
        <v>24</v>
      </c>
      <c r="H945" s="19" t="s">
        <v>25</v>
      </c>
      <c r="I945" s="19">
        <v>3</v>
      </c>
      <c r="J945" s="21">
        <v>59960</v>
      </c>
      <c r="K945" s="21">
        <v>179880</v>
      </c>
      <c r="L945" s="21">
        <v>0</v>
      </c>
      <c r="M945" s="15">
        <v>0</v>
      </c>
      <c r="N945" s="21">
        <f t="shared" si="28"/>
        <v>179880</v>
      </c>
      <c r="O945" s="21">
        <v>95447.98</v>
      </c>
      <c r="P945" s="21">
        <f t="shared" si="29"/>
        <v>84432.02</v>
      </c>
      <c r="Q945" s="19" t="s">
        <v>201</v>
      </c>
      <c r="R945" s="19">
        <v>2026</v>
      </c>
      <c r="S945" s="19">
        <v>5</v>
      </c>
    </row>
    <row r="946" spans="1:19" x14ac:dyDescent="0.3">
      <c r="A946" t="s">
        <v>1004</v>
      </c>
      <c r="B946" s="2">
        <v>46170</v>
      </c>
      <c r="C946" t="s">
        <v>50</v>
      </c>
      <c r="D946" t="s">
        <v>34</v>
      </c>
      <c r="E946" t="s">
        <v>56</v>
      </c>
      <c r="F946" t="s">
        <v>35</v>
      </c>
      <c r="G946" t="s">
        <v>31</v>
      </c>
      <c r="H946" t="s">
        <v>25</v>
      </c>
      <c r="I946">
        <v>1</v>
      </c>
      <c r="J946" s="5">
        <v>18241</v>
      </c>
      <c r="K946" s="5">
        <v>18241</v>
      </c>
      <c r="L946" s="5">
        <v>912.05</v>
      </c>
      <c r="M946" s="12">
        <v>0.05</v>
      </c>
      <c r="N946" s="5">
        <f t="shared" si="28"/>
        <v>17328.95</v>
      </c>
      <c r="O946" s="5">
        <v>11498.2</v>
      </c>
      <c r="P946" s="5">
        <f t="shared" si="29"/>
        <v>5830.75</v>
      </c>
      <c r="Q946" t="s">
        <v>201</v>
      </c>
      <c r="R946">
        <v>2026</v>
      </c>
      <c r="S946">
        <v>5</v>
      </c>
    </row>
    <row r="947" spans="1:19" x14ac:dyDescent="0.3">
      <c r="A947" s="19" t="s">
        <v>1005</v>
      </c>
      <c r="B947" s="20">
        <v>46170</v>
      </c>
      <c r="C947" s="19" t="s">
        <v>28</v>
      </c>
      <c r="D947" s="19" t="s">
        <v>29</v>
      </c>
      <c r="E947" s="19" t="s">
        <v>42</v>
      </c>
      <c r="F947" s="19" t="s">
        <v>40</v>
      </c>
      <c r="G947" s="19" t="s">
        <v>31</v>
      </c>
      <c r="H947" s="19" t="s">
        <v>25</v>
      </c>
      <c r="I947" s="19">
        <v>5</v>
      </c>
      <c r="J947" s="21">
        <v>69779</v>
      </c>
      <c r="K947" s="21">
        <v>348895</v>
      </c>
      <c r="L947" s="21">
        <v>0</v>
      </c>
      <c r="M947" s="15">
        <v>0</v>
      </c>
      <c r="N947" s="21">
        <f t="shared" si="28"/>
        <v>348895</v>
      </c>
      <c r="O947" s="21">
        <v>175126.88</v>
      </c>
      <c r="P947" s="21">
        <f t="shared" si="29"/>
        <v>173768.12</v>
      </c>
      <c r="Q947" s="19" t="s">
        <v>201</v>
      </c>
      <c r="R947" s="19">
        <v>2026</v>
      </c>
      <c r="S947" s="19">
        <v>5</v>
      </c>
    </row>
    <row r="948" spans="1:19" x14ac:dyDescent="0.3">
      <c r="A948" t="s">
        <v>1006</v>
      </c>
      <c r="B948" s="2">
        <v>46172</v>
      </c>
      <c r="C948" t="s">
        <v>82</v>
      </c>
      <c r="D948" t="s">
        <v>21</v>
      </c>
      <c r="E948" t="s">
        <v>22</v>
      </c>
      <c r="F948" t="s">
        <v>40</v>
      </c>
      <c r="G948" t="s">
        <v>24</v>
      </c>
      <c r="H948" t="s">
        <v>25</v>
      </c>
      <c r="I948">
        <v>4</v>
      </c>
      <c r="J948" s="5">
        <v>41588</v>
      </c>
      <c r="K948" s="5">
        <v>166352</v>
      </c>
      <c r="L948" s="5">
        <v>0</v>
      </c>
      <c r="M948" s="12">
        <v>0</v>
      </c>
      <c r="N948" s="5">
        <f t="shared" si="28"/>
        <v>166352</v>
      </c>
      <c r="O948" s="5">
        <v>99948.63</v>
      </c>
      <c r="P948" s="5">
        <f t="shared" si="29"/>
        <v>66403.37</v>
      </c>
      <c r="Q948" t="s">
        <v>201</v>
      </c>
      <c r="R948">
        <v>2026</v>
      </c>
      <c r="S948">
        <v>5</v>
      </c>
    </row>
    <row r="949" spans="1:19" x14ac:dyDescent="0.3">
      <c r="A949" s="19" t="s">
        <v>1007</v>
      </c>
      <c r="B949" s="20">
        <v>46172</v>
      </c>
      <c r="C949" s="19" t="s">
        <v>33</v>
      </c>
      <c r="D949" s="19" t="s">
        <v>34</v>
      </c>
      <c r="E949" s="19" t="s">
        <v>22</v>
      </c>
      <c r="F949" s="19" t="s">
        <v>37</v>
      </c>
      <c r="G949" s="19" t="s">
        <v>24</v>
      </c>
      <c r="H949" s="19" t="s">
        <v>25</v>
      </c>
      <c r="I949" s="19">
        <v>3</v>
      </c>
      <c r="J949" s="21">
        <v>43301</v>
      </c>
      <c r="K949" s="21">
        <v>129903</v>
      </c>
      <c r="L949" s="21">
        <v>0</v>
      </c>
      <c r="M949" s="15">
        <v>0</v>
      </c>
      <c r="N949" s="21">
        <f t="shared" si="28"/>
        <v>129903</v>
      </c>
      <c r="O949" s="21">
        <v>79361.66</v>
      </c>
      <c r="P949" s="21">
        <f t="shared" si="29"/>
        <v>50541.34</v>
      </c>
      <c r="Q949" s="19" t="s">
        <v>201</v>
      </c>
      <c r="R949" s="19">
        <v>2026</v>
      </c>
      <c r="S949" s="19">
        <v>5</v>
      </c>
    </row>
    <row r="950" spans="1:19" x14ac:dyDescent="0.3">
      <c r="A950" t="s">
        <v>1008</v>
      </c>
      <c r="B950" s="2">
        <v>46172</v>
      </c>
      <c r="C950" t="s">
        <v>46</v>
      </c>
      <c r="D950" t="s">
        <v>21</v>
      </c>
      <c r="E950" t="s">
        <v>22</v>
      </c>
      <c r="F950" t="s">
        <v>23</v>
      </c>
      <c r="G950" t="s">
        <v>31</v>
      </c>
      <c r="H950" t="s">
        <v>25</v>
      </c>
      <c r="I950">
        <v>4</v>
      </c>
      <c r="J950" s="5">
        <v>11685</v>
      </c>
      <c r="K950" s="5">
        <v>46740</v>
      </c>
      <c r="L950" s="5">
        <v>0</v>
      </c>
      <c r="M950" s="12">
        <v>0</v>
      </c>
      <c r="N950" s="5">
        <f t="shared" si="28"/>
        <v>46740</v>
      </c>
      <c r="O950" s="5">
        <v>23397.16</v>
      </c>
      <c r="P950" s="5">
        <f t="shared" si="29"/>
        <v>23342.84</v>
      </c>
      <c r="Q950" t="s">
        <v>201</v>
      </c>
      <c r="R950">
        <v>2026</v>
      </c>
      <c r="S950">
        <v>5</v>
      </c>
    </row>
    <row r="951" spans="1:19" x14ac:dyDescent="0.3">
      <c r="A951" s="19" t="s">
        <v>1009</v>
      </c>
      <c r="B951" s="20">
        <v>46174</v>
      </c>
      <c r="C951" s="19" t="s">
        <v>50</v>
      </c>
      <c r="D951" s="19" t="s">
        <v>34</v>
      </c>
      <c r="E951" s="19" t="s">
        <v>22</v>
      </c>
      <c r="F951" s="19" t="s">
        <v>40</v>
      </c>
      <c r="G951" s="19" t="s">
        <v>24</v>
      </c>
      <c r="H951" s="19" t="s">
        <v>25</v>
      </c>
      <c r="I951" s="19">
        <v>1</v>
      </c>
      <c r="J951" s="21">
        <v>18269</v>
      </c>
      <c r="K951" s="21">
        <v>18269</v>
      </c>
      <c r="L951" s="21">
        <v>0</v>
      </c>
      <c r="M951" s="15">
        <v>0</v>
      </c>
      <c r="N951" s="21">
        <f t="shared" si="28"/>
        <v>18269</v>
      </c>
      <c r="O951" s="21">
        <v>10331.27</v>
      </c>
      <c r="P951" s="21">
        <f t="shared" si="29"/>
        <v>7937.73</v>
      </c>
      <c r="Q951" s="19" t="s">
        <v>241</v>
      </c>
      <c r="R951" s="19">
        <v>2026</v>
      </c>
      <c r="S951" s="19">
        <v>6</v>
      </c>
    </row>
    <row r="952" spans="1:19" x14ac:dyDescent="0.3">
      <c r="A952" t="s">
        <v>1010</v>
      </c>
      <c r="B952" s="2">
        <v>46174</v>
      </c>
      <c r="C952" t="s">
        <v>82</v>
      </c>
      <c r="D952" t="s">
        <v>21</v>
      </c>
      <c r="E952" t="s">
        <v>22</v>
      </c>
      <c r="F952" t="s">
        <v>35</v>
      </c>
      <c r="G952" t="s">
        <v>24</v>
      </c>
      <c r="H952" t="s">
        <v>240</v>
      </c>
      <c r="I952">
        <v>3</v>
      </c>
      <c r="J952" s="5">
        <v>43157</v>
      </c>
      <c r="K952" s="5">
        <v>129471</v>
      </c>
      <c r="L952" s="5">
        <v>12947.1</v>
      </c>
      <c r="M952" s="12">
        <v>0.1</v>
      </c>
      <c r="N952" s="5">
        <f t="shared" si="28"/>
        <v>116523.9</v>
      </c>
      <c r="O952" s="5">
        <v>73013.16</v>
      </c>
      <c r="P952" s="5">
        <f t="shared" si="29"/>
        <v>43510.739999999991</v>
      </c>
      <c r="Q952" t="s">
        <v>241</v>
      </c>
      <c r="R952">
        <v>2026</v>
      </c>
      <c r="S952">
        <v>6</v>
      </c>
    </row>
    <row r="953" spans="1:19" x14ac:dyDescent="0.3">
      <c r="A953" s="19" t="s">
        <v>1011</v>
      </c>
      <c r="B953" s="20">
        <v>46174</v>
      </c>
      <c r="C953" s="19" t="s">
        <v>33</v>
      </c>
      <c r="D953" s="19" t="s">
        <v>34</v>
      </c>
      <c r="E953" s="19" t="s">
        <v>44</v>
      </c>
      <c r="F953" s="19" t="s">
        <v>23</v>
      </c>
      <c r="G953" s="19" t="s">
        <v>31</v>
      </c>
      <c r="H953" s="19" t="s">
        <v>25</v>
      </c>
      <c r="I953" s="19">
        <v>1</v>
      </c>
      <c r="J953" s="21">
        <v>41722</v>
      </c>
      <c r="K953" s="21">
        <v>41722</v>
      </c>
      <c r="L953" s="21">
        <v>0</v>
      </c>
      <c r="M953" s="15">
        <v>0</v>
      </c>
      <c r="N953" s="21">
        <f t="shared" si="28"/>
        <v>41722</v>
      </c>
      <c r="O953" s="21">
        <v>24175.74</v>
      </c>
      <c r="P953" s="21">
        <f t="shared" si="29"/>
        <v>17546.259999999998</v>
      </c>
      <c r="Q953" s="19" t="s">
        <v>241</v>
      </c>
      <c r="R953" s="19">
        <v>2026</v>
      </c>
      <c r="S953" s="19">
        <v>6</v>
      </c>
    </row>
    <row r="954" spans="1:19" x14ac:dyDescent="0.3">
      <c r="A954" t="s">
        <v>1012</v>
      </c>
      <c r="B954" s="2">
        <v>46175</v>
      </c>
      <c r="C954" t="s">
        <v>50</v>
      </c>
      <c r="D954" t="s">
        <v>34</v>
      </c>
      <c r="E954" t="s">
        <v>22</v>
      </c>
      <c r="F954" t="s">
        <v>30</v>
      </c>
      <c r="G954" t="s">
        <v>31</v>
      </c>
      <c r="H954" t="s">
        <v>25</v>
      </c>
      <c r="I954">
        <v>2</v>
      </c>
      <c r="J954" s="5">
        <v>16861</v>
      </c>
      <c r="K954" s="5">
        <v>33722</v>
      </c>
      <c r="L954" s="5">
        <v>0</v>
      </c>
      <c r="M954" s="12">
        <v>0</v>
      </c>
      <c r="N954" s="5">
        <f t="shared" si="28"/>
        <v>33722</v>
      </c>
      <c r="O954" s="5">
        <v>18783.96</v>
      </c>
      <c r="P954" s="5">
        <f t="shared" si="29"/>
        <v>14938.04</v>
      </c>
      <c r="Q954" t="s">
        <v>241</v>
      </c>
      <c r="R954">
        <v>2026</v>
      </c>
      <c r="S954">
        <v>6</v>
      </c>
    </row>
    <row r="955" spans="1:19" x14ac:dyDescent="0.3">
      <c r="A955" s="19" t="s">
        <v>1013</v>
      </c>
      <c r="B955" s="20">
        <v>46175</v>
      </c>
      <c r="C955" s="19" t="s">
        <v>28</v>
      </c>
      <c r="D955" s="19" t="s">
        <v>29</v>
      </c>
      <c r="E955" s="19" t="s">
        <v>22</v>
      </c>
      <c r="F955" s="19" t="s">
        <v>37</v>
      </c>
      <c r="G955" s="19" t="s">
        <v>31</v>
      </c>
      <c r="H955" s="19" t="s">
        <v>25</v>
      </c>
      <c r="I955" s="19">
        <v>2</v>
      </c>
      <c r="J955" s="21">
        <v>66506</v>
      </c>
      <c r="K955" s="21">
        <v>133012</v>
      </c>
      <c r="L955" s="21">
        <v>0</v>
      </c>
      <c r="M955" s="15">
        <v>0</v>
      </c>
      <c r="N955" s="21">
        <f t="shared" si="28"/>
        <v>133012</v>
      </c>
      <c r="O955" s="21">
        <v>75274.759999999995</v>
      </c>
      <c r="P955" s="21">
        <f t="shared" si="29"/>
        <v>57737.240000000005</v>
      </c>
      <c r="Q955" s="19" t="s">
        <v>241</v>
      </c>
      <c r="R955" s="19">
        <v>2026</v>
      </c>
      <c r="S955" s="19">
        <v>6</v>
      </c>
    </row>
    <row r="956" spans="1:19" x14ac:dyDescent="0.3">
      <c r="A956" t="s">
        <v>1014</v>
      </c>
      <c r="B956" s="2">
        <v>46176</v>
      </c>
      <c r="C956" t="s">
        <v>82</v>
      </c>
      <c r="D956" t="s">
        <v>21</v>
      </c>
      <c r="E956" t="s">
        <v>56</v>
      </c>
      <c r="F956" t="s">
        <v>37</v>
      </c>
      <c r="G956" t="s">
        <v>31</v>
      </c>
      <c r="H956" t="s">
        <v>240</v>
      </c>
      <c r="I956">
        <v>2</v>
      </c>
      <c r="J956" s="5">
        <v>42899</v>
      </c>
      <c r="K956" s="5">
        <v>85798</v>
      </c>
      <c r="L956" s="5">
        <v>8579.7999999999993</v>
      </c>
      <c r="M956" s="12">
        <v>0.1</v>
      </c>
      <c r="N956" s="5">
        <f t="shared" si="28"/>
        <v>77218.2</v>
      </c>
      <c r="O956" s="5">
        <v>44436.42</v>
      </c>
      <c r="P956" s="5">
        <f t="shared" si="29"/>
        <v>32781.78</v>
      </c>
      <c r="Q956" t="s">
        <v>241</v>
      </c>
      <c r="R956">
        <v>2026</v>
      </c>
      <c r="S956">
        <v>6</v>
      </c>
    </row>
    <row r="957" spans="1:19" x14ac:dyDescent="0.3">
      <c r="A957" s="19" t="s">
        <v>1015</v>
      </c>
      <c r="B957" s="20">
        <v>46176</v>
      </c>
      <c r="C957" s="19" t="s">
        <v>71</v>
      </c>
      <c r="D957" s="19" t="s">
        <v>34</v>
      </c>
      <c r="E957" s="19" t="s">
        <v>22</v>
      </c>
      <c r="F957" s="19" t="s">
        <v>40</v>
      </c>
      <c r="G957" s="19" t="s">
        <v>31</v>
      </c>
      <c r="H957" s="19" t="s">
        <v>25</v>
      </c>
      <c r="I957" s="19">
        <v>2</v>
      </c>
      <c r="J957" s="21">
        <v>49218</v>
      </c>
      <c r="K957" s="21">
        <v>98436</v>
      </c>
      <c r="L957" s="21">
        <v>0</v>
      </c>
      <c r="M957" s="15">
        <v>0</v>
      </c>
      <c r="N957" s="21">
        <f t="shared" si="28"/>
        <v>98436</v>
      </c>
      <c r="O957" s="21">
        <v>59563.19</v>
      </c>
      <c r="P957" s="21">
        <f t="shared" si="29"/>
        <v>38872.81</v>
      </c>
      <c r="Q957" s="19" t="s">
        <v>241</v>
      </c>
      <c r="R957" s="19">
        <v>2026</v>
      </c>
      <c r="S957" s="19">
        <v>6</v>
      </c>
    </row>
    <row r="958" spans="1:19" x14ac:dyDescent="0.3">
      <c r="A958" t="s">
        <v>1016</v>
      </c>
      <c r="B958" s="2">
        <v>46177</v>
      </c>
      <c r="C958" t="s">
        <v>28</v>
      </c>
      <c r="D958" t="s">
        <v>29</v>
      </c>
      <c r="E958" t="s">
        <v>42</v>
      </c>
      <c r="F958" t="s">
        <v>40</v>
      </c>
      <c r="G958" t="s">
        <v>24</v>
      </c>
      <c r="H958" t="s">
        <v>240</v>
      </c>
      <c r="I958">
        <v>1</v>
      </c>
      <c r="J958" s="5">
        <v>69406</v>
      </c>
      <c r="K958" s="5">
        <v>69406</v>
      </c>
      <c r="L958" s="5">
        <v>3470.3</v>
      </c>
      <c r="M958" s="12">
        <v>0.05</v>
      </c>
      <c r="N958" s="5">
        <f t="shared" si="28"/>
        <v>65935.7</v>
      </c>
      <c r="O958" s="5">
        <v>38229.72</v>
      </c>
      <c r="P958" s="5">
        <f t="shared" si="29"/>
        <v>27705.979999999996</v>
      </c>
      <c r="Q958" t="s">
        <v>241</v>
      </c>
      <c r="R958">
        <v>2026</v>
      </c>
      <c r="S958">
        <v>6</v>
      </c>
    </row>
    <row r="959" spans="1:19" x14ac:dyDescent="0.3">
      <c r="A959" s="19" t="s">
        <v>1017</v>
      </c>
      <c r="B959" s="20">
        <v>46179</v>
      </c>
      <c r="C959" s="19" t="s">
        <v>82</v>
      </c>
      <c r="D959" s="19" t="s">
        <v>21</v>
      </c>
      <c r="E959" s="19" t="s">
        <v>44</v>
      </c>
      <c r="F959" s="19" t="s">
        <v>40</v>
      </c>
      <c r="G959" s="19" t="s">
        <v>24</v>
      </c>
      <c r="H959" s="19" t="s">
        <v>25</v>
      </c>
      <c r="I959" s="19">
        <v>1</v>
      </c>
      <c r="J959" s="21">
        <v>45376</v>
      </c>
      <c r="K959" s="21">
        <v>45376</v>
      </c>
      <c r="L959" s="21">
        <v>0</v>
      </c>
      <c r="M959" s="15">
        <v>0</v>
      </c>
      <c r="N959" s="21">
        <f t="shared" si="28"/>
        <v>45376</v>
      </c>
      <c r="O959" s="21">
        <v>24710.87</v>
      </c>
      <c r="P959" s="21">
        <f t="shared" si="29"/>
        <v>20665.13</v>
      </c>
      <c r="Q959" s="19" t="s">
        <v>241</v>
      </c>
      <c r="R959" s="19">
        <v>2026</v>
      </c>
      <c r="S959" s="19">
        <v>6</v>
      </c>
    </row>
    <row r="960" spans="1:19" x14ac:dyDescent="0.3">
      <c r="A960" t="s">
        <v>1018</v>
      </c>
      <c r="B960" s="2">
        <v>46182</v>
      </c>
      <c r="C960" t="s">
        <v>33</v>
      </c>
      <c r="D960" t="s">
        <v>34</v>
      </c>
      <c r="E960" t="s">
        <v>42</v>
      </c>
      <c r="F960" t="s">
        <v>23</v>
      </c>
      <c r="G960" t="s">
        <v>24</v>
      </c>
      <c r="H960" t="s">
        <v>240</v>
      </c>
      <c r="I960">
        <v>2</v>
      </c>
      <c r="J960" s="5">
        <v>40686</v>
      </c>
      <c r="K960" s="5">
        <v>81372</v>
      </c>
      <c r="L960" s="5">
        <v>8137.2</v>
      </c>
      <c r="M960" s="12">
        <v>0.1</v>
      </c>
      <c r="N960" s="5">
        <f t="shared" si="28"/>
        <v>73234.8</v>
      </c>
      <c r="O960" s="5">
        <v>49519.38</v>
      </c>
      <c r="P960" s="5">
        <f t="shared" si="29"/>
        <v>23715.420000000006</v>
      </c>
      <c r="Q960" t="s">
        <v>241</v>
      </c>
      <c r="R960">
        <v>2026</v>
      </c>
      <c r="S960">
        <v>6</v>
      </c>
    </row>
    <row r="961" spans="1:19" x14ac:dyDescent="0.3">
      <c r="A961" s="19" t="s">
        <v>1019</v>
      </c>
      <c r="B961" s="20">
        <v>46183</v>
      </c>
      <c r="C961" s="19" t="s">
        <v>33</v>
      </c>
      <c r="D961" s="19" t="s">
        <v>34</v>
      </c>
      <c r="E961" s="19" t="s">
        <v>42</v>
      </c>
      <c r="F961" s="19" t="s">
        <v>30</v>
      </c>
      <c r="G961" s="19" t="s">
        <v>24</v>
      </c>
      <c r="H961" s="19" t="s">
        <v>25</v>
      </c>
      <c r="I961" s="19">
        <v>1</v>
      </c>
      <c r="J961" s="21">
        <v>41259</v>
      </c>
      <c r="K961" s="21">
        <v>41259</v>
      </c>
      <c r="L961" s="21">
        <v>0</v>
      </c>
      <c r="M961" s="15">
        <v>0</v>
      </c>
      <c r="N961" s="21">
        <f t="shared" si="28"/>
        <v>41259</v>
      </c>
      <c r="O961" s="21">
        <v>21675.25</v>
      </c>
      <c r="P961" s="21">
        <f t="shared" si="29"/>
        <v>19583.75</v>
      </c>
      <c r="Q961" s="19" t="s">
        <v>241</v>
      </c>
      <c r="R961" s="19">
        <v>2026</v>
      </c>
      <c r="S961" s="19">
        <v>6</v>
      </c>
    </row>
    <row r="962" spans="1:19" x14ac:dyDescent="0.3">
      <c r="A962" t="s">
        <v>1020</v>
      </c>
      <c r="B962" s="2">
        <v>46184</v>
      </c>
      <c r="C962" t="s">
        <v>28</v>
      </c>
      <c r="D962" t="s">
        <v>29</v>
      </c>
      <c r="E962" t="s">
        <v>22</v>
      </c>
      <c r="F962" t="s">
        <v>23</v>
      </c>
      <c r="G962" t="s">
        <v>24</v>
      </c>
      <c r="H962" t="s">
        <v>240</v>
      </c>
      <c r="I962">
        <v>2</v>
      </c>
      <c r="J962" s="5">
        <v>68363</v>
      </c>
      <c r="K962" s="5">
        <v>136726</v>
      </c>
      <c r="L962" s="5">
        <v>13672.6</v>
      </c>
      <c r="M962" s="12">
        <v>0.1</v>
      </c>
      <c r="N962" s="5">
        <f t="shared" si="28"/>
        <v>123053.4</v>
      </c>
      <c r="O962" s="5">
        <v>76868.52</v>
      </c>
      <c r="P962" s="5">
        <f t="shared" si="29"/>
        <v>46184.87999999999</v>
      </c>
      <c r="Q962" t="s">
        <v>241</v>
      </c>
      <c r="R962">
        <v>2026</v>
      </c>
      <c r="S962">
        <v>6</v>
      </c>
    </row>
    <row r="963" spans="1:19" x14ac:dyDescent="0.3">
      <c r="A963" s="19" t="s">
        <v>1021</v>
      </c>
      <c r="B963" s="20">
        <v>46185</v>
      </c>
      <c r="C963" s="19" t="s">
        <v>82</v>
      </c>
      <c r="D963" s="19" t="s">
        <v>21</v>
      </c>
      <c r="E963" s="19" t="s">
        <v>22</v>
      </c>
      <c r="F963" s="19" t="s">
        <v>40</v>
      </c>
      <c r="G963" s="19" t="s">
        <v>31</v>
      </c>
      <c r="H963" s="19" t="s">
        <v>240</v>
      </c>
      <c r="I963" s="19">
        <v>1</v>
      </c>
      <c r="J963" s="21">
        <v>46876</v>
      </c>
      <c r="K963" s="21">
        <v>46876</v>
      </c>
      <c r="L963" s="21">
        <v>2343.8000000000002</v>
      </c>
      <c r="M963" s="15">
        <v>0.05</v>
      </c>
      <c r="N963" s="21">
        <f t="shared" ref="N963:N1026" si="30">K963-L963</f>
        <v>44532.2</v>
      </c>
      <c r="O963" s="21">
        <v>25715.16</v>
      </c>
      <c r="P963" s="21">
        <f t="shared" si="29"/>
        <v>18817.039999999997</v>
      </c>
      <c r="Q963" s="19" t="s">
        <v>241</v>
      </c>
      <c r="R963" s="19">
        <v>2026</v>
      </c>
      <c r="S963" s="19">
        <v>6</v>
      </c>
    </row>
    <row r="964" spans="1:19" x14ac:dyDescent="0.3">
      <c r="A964" t="s">
        <v>1022</v>
      </c>
      <c r="B964" s="2">
        <v>46186</v>
      </c>
      <c r="C964" t="s">
        <v>48</v>
      </c>
      <c r="D964" t="s">
        <v>34</v>
      </c>
      <c r="E964" t="s">
        <v>42</v>
      </c>
      <c r="F964" t="s">
        <v>23</v>
      </c>
      <c r="G964" t="s">
        <v>24</v>
      </c>
      <c r="H964" t="s">
        <v>25</v>
      </c>
      <c r="I964">
        <v>1</v>
      </c>
      <c r="J964" s="5">
        <v>26929</v>
      </c>
      <c r="K964" s="5">
        <v>26929</v>
      </c>
      <c r="L964" s="5">
        <v>0</v>
      </c>
      <c r="M964" s="12">
        <v>0</v>
      </c>
      <c r="N964" s="5">
        <f t="shared" si="30"/>
        <v>26929</v>
      </c>
      <c r="O964" s="5">
        <v>15290.99</v>
      </c>
      <c r="P964" s="5">
        <f t="shared" ref="P964:P1027" si="31">N964-O964</f>
        <v>11638.01</v>
      </c>
      <c r="Q964" t="s">
        <v>241</v>
      </c>
      <c r="R964">
        <v>2026</v>
      </c>
      <c r="S964">
        <v>6</v>
      </c>
    </row>
    <row r="965" spans="1:19" x14ac:dyDescent="0.3">
      <c r="A965" s="19" t="s">
        <v>1023</v>
      </c>
      <c r="B965" s="20">
        <v>46187</v>
      </c>
      <c r="C965" s="19" t="s">
        <v>33</v>
      </c>
      <c r="D965" s="19" t="s">
        <v>34</v>
      </c>
      <c r="E965" s="19" t="s">
        <v>22</v>
      </c>
      <c r="F965" s="19" t="s">
        <v>30</v>
      </c>
      <c r="G965" s="19" t="s">
        <v>24</v>
      </c>
      <c r="H965" s="19" t="s">
        <v>25</v>
      </c>
      <c r="I965" s="19">
        <v>3</v>
      </c>
      <c r="J965" s="21">
        <v>43782</v>
      </c>
      <c r="K965" s="21">
        <v>131346</v>
      </c>
      <c r="L965" s="21">
        <v>0</v>
      </c>
      <c r="M965" s="15">
        <v>0</v>
      </c>
      <c r="N965" s="21">
        <f t="shared" si="30"/>
        <v>131346</v>
      </c>
      <c r="O965" s="21">
        <v>80323.759999999995</v>
      </c>
      <c r="P965" s="21">
        <f t="shared" si="31"/>
        <v>51022.240000000005</v>
      </c>
      <c r="Q965" s="19" t="s">
        <v>241</v>
      </c>
      <c r="R965" s="19">
        <v>2026</v>
      </c>
      <c r="S965" s="19">
        <v>6</v>
      </c>
    </row>
    <row r="966" spans="1:19" x14ac:dyDescent="0.3">
      <c r="A966" t="s">
        <v>1024</v>
      </c>
      <c r="B966" s="2">
        <v>46188</v>
      </c>
      <c r="C966" t="s">
        <v>20</v>
      </c>
      <c r="D966" t="s">
        <v>21</v>
      </c>
      <c r="E966" t="s">
        <v>44</v>
      </c>
      <c r="F966" t="s">
        <v>40</v>
      </c>
      <c r="G966" t="s">
        <v>24</v>
      </c>
      <c r="H966" t="s">
        <v>25</v>
      </c>
      <c r="I966">
        <v>2</v>
      </c>
      <c r="J966" s="5">
        <v>14892</v>
      </c>
      <c r="K966" s="5">
        <v>29784</v>
      </c>
      <c r="L966" s="5">
        <v>0</v>
      </c>
      <c r="M966" s="12">
        <v>0</v>
      </c>
      <c r="N966" s="5">
        <f t="shared" si="30"/>
        <v>29784</v>
      </c>
      <c r="O966" s="5">
        <v>18647.72</v>
      </c>
      <c r="P966" s="5">
        <f t="shared" si="31"/>
        <v>11136.279999999999</v>
      </c>
      <c r="Q966" t="s">
        <v>241</v>
      </c>
      <c r="R966">
        <v>2026</v>
      </c>
      <c r="S966">
        <v>6</v>
      </c>
    </row>
    <row r="967" spans="1:19" x14ac:dyDescent="0.3">
      <c r="A967" s="19" t="s">
        <v>1025</v>
      </c>
      <c r="B967" s="20">
        <v>46188</v>
      </c>
      <c r="C967" s="19" t="s">
        <v>46</v>
      </c>
      <c r="D967" s="19" t="s">
        <v>21</v>
      </c>
      <c r="E967" s="19" t="s">
        <v>42</v>
      </c>
      <c r="F967" s="19" t="s">
        <v>40</v>
      </c>
      <c r="G967" s="19" t="s">
        <v>24</v>
      </c>
      <c r="H967" s="19" t="s">
        <v>240</v>
      </c>
      <c r="I967" s="19">
        <v>1</v>
      </c>
      <c r="J967" s="21">
        <v>11879</v>
      </c>
      <c r="K967" s="21">
        <v>11879</v>
      </c>
      <c r="L967" s="21">
        <v>593.95000000000005</v>
      </c>
      <c r="M967" s="15">
        <v>0.05</v>
      </c>
      <c r="N967" s="21">
        <f t="shared" si="30"/>
        <v>11285.05</v>
      </c>
      <c r="O967" s="21">
        <v>5825.23</v>
      </c>
      <c r="P967" s="21">
        <f t="shared" si="31"/>
        <v>5459.82</v>
      </c>
      <c r="Q967" s="19" t="s">
        <v>241</v>
      </c>
      <c r="R967" s="19">
        <v>2026</v>
      </c>
      <c r="S967" s="19">
        <v>6</v>
      </c>
    </row>
    <row r="968" spans="1:19" x14ac:dyDescent="0.3">
      <c r="A968" t="s">
        <v>1026</v>
      </c>
      <c r="B968" s="2">
        <v>46189</v>
      </c>
      <c r="C968" t="s">
        <v>33</v>
      </c>
      <c r="D968" t="s">
        <v>34</v>
      </c>
      <c r="E968" t="s">
        <v>22</v>
      </c>
      <c r="F968" t="s">
        <v>40</v>
      </c>
      <c r="G968" t="s">
        <v>24</v>
      </c>
      <c r="H968" t="s">
        <v>240</v>
      </c>
      <c r="I968">
        <v>5</v>
      </c>
      <c r="J968" s="5">
        <v>42151</v>
      </c>
      <c r="K968" s="5">
        <v>210755</v>
      </c>
      <c r="L968" s="5">
        <v>31613.25</v>
      </c>
      <c r="M968" s="12">
        <v>0.15</v>
      </c>
      <c r="N968" s="5">
        <f t="shared" si="30"/>
        <v>179141.75</v>
      </c>
      <c r="O968" s="5">
        <v>137387.64000000001</v>
      </c>
      <c r="P968" s="5">
        <f t="shared" si="31"/>
        <v>41754.109999999986</v>
      </c>
      <c r="Q968" t="s">
        <v>241</v>
      </c>
      <c r="R968">
        <v>2026</v>
      </c>
      <c r="S968">
        <v>6</v>
      </c>
    </row>
    <row r="969" spans="1:19" x14ac:dyDescent="0.3">
      <c r="A969" s="19" t="s">
        <v>1027</v>
      </c>
      <c r="B969" s="20">
        <v>46189</v>
      </c>
      <c r="C969" s="19" t="s">
        <v>48</v>
      </c>
      <c r="D969" s="19" t="s">
        <v>34</v>
      </c>
      <c r="E969" s="19" t="s">
        <v>42</v>
      </c>
      <c r="F969" s="19" t="s">
        <v>40</v>
      </c>
      <c r="G969" s="19" t="s">
        <v>24</v>
      </c>
      <c r="H969" s="19" t="s">
        <v>25</v>
      </c>
      <c r="I969" s="19">
        <v>2</v>
      </c>
      <c r="J969" s="21">
        <v>24439</v>
      </c>
      <c r="K969" s="21">
        <v>48878</v>
      </c>
      <c r="L969" s="21">
        <v>0</v>
      </c>
      <c r="M969" s="15">
        <v>0</v>
      </c>
      <c r="N969" s="21">
        <f t="shared" si="30"/>
        <v>48878</v>
      </c>
      <c r="O969" s="21">
        <v>23858.29</v>
      </c>
      <c r="P969" s="21">
        <f t="shared" si="31"/>
        <v>25019.71</v>
      </c>
      <c r="Q969" s="19" t="s">
        <v>241</v>
      </c>
      <c r="R969" s="19">
        <v>2026</v>
      </c>
      <c r="S969" s="19">
        <v>6</v>
      </c>
    </row>
    <row r="970" spans="1:19" x14ac:dyDescent="0.3">
      <c r="A970" t="s">
        <v>1028</v>
      </c>
      <c r="B970" s="2">
        <v>46190</v>
      </c>
      <c r="C970" t="s">
        <v>50</v>
      </c>
      <c r="D970" t="s">
        <v>34</v>
      </c>
      <c r="E970" t="s">
        <v>56</v>
      </c>
      <c r="F970" t="s">
        <v>37</v>
      </c>
      <c r="G970" t="s">
        <v>31</v>
      </c>
      <c r="H970" t="s">
        <v>25</v>
      </c>
      <c r="I970">
        <v>1</v>
      </c>
      <c r="J970" s="5">
        <v>18986</v>
      </c>
      <c r="K970" s="5">
        <v>18986</v>
      </c>
      <c r="L970" s="5">
        <v>0</v>
      </c>
      <c r="M970" s="12">
        <v>0</v>
      </c>
      <c r="N970" s="5">
        <f t="shared" si="30"/>
        <v>18986</v>
      </c>
      <c r="O970" s="5">
        <v>12403.28</v>
      </c>
      <c r="P970" s="5">
        <f t="shared" si="31"/>
        <v>6582.7199999999993</v>
      </c>
      <c r="Q970" t="s">
        <v>241</v>
      </c>
      <c r="R970">
        <v>2026</v>
      </c>
      <c r="S970">
        <v>6</v>
      </c>
    </row>
    <row r="971" spans="1:19" x14ac:dyDescent="0.3">
      <c r="A971" s="19" t="s">
        <v>1029</v>
      </c>
      <c r="B971" s="20">
        <v>46191</v>
      </c>
      <c r="C971" s="19" t="s">
        <v>48</v>
      </c>
      <c r="D971" s="19" t="s">
        <v>34</v>
      </c>
      <c r="E971" s="19" t="s">
        <v>22</v>
      </c>
      <c r="F971" s="19" t="s">
        <v>40</v>
      </c>
      <c r="G971" s="19" t="s">
        <v>24</v>
      </c>
      <c r="H971" s="19" t="s">
        <v>240</v>
      </c>
      <c r="I971" s="19">
        <v>3</v>
      </c>
      <c r="J971" s="21">
        <v>24292</v>
      </c>
      <c r="K971" s="21">
        <v>72876</v>
      </c>
      <c r="L971" s="21">
        <v>7287.6</v>
      </c>
      <c r="M971" s="15">
        <v>0.1</v>
      </c>
      <c r="N971" s="21">
        <f t="shared" si="30"/>
        <v>65588.399999999994</v>
      </c>
      <c r="O971" s="21">
        <v>40275.980000000003</v>
      </c>
      <c r="P971" s="21">
        <f t="shared" si="31"/>
        <v>25312.419999999991</v>
      </c>
      <c r="Q971" s="19" t="s">
        <v>241</v>
      </c>
      <c r="R971" s="19">
        <v>2026</v>
      </c>
      <c r="S971" s="19">
        <v>6</v>
      </c>
    </row>
    <row r="972" spans="1:19" x14ac:dyDescent="0.3">
      <c r="A972" t="s">
        <v>1030</v>
      </c>
      <c r="B972" s="2">
        <v>46191</v>
      </c>
      <c r="C972" t="s">
        <v>64</v>
      </c>
      <c r="D972" t="s">
        <v>29</v>
      </c>
      <c r="E972" t="s">
        <v>42</v>
      </c>
      <c r="F972" t="s">
        <v>30</v>
      </c>
      <c r="G972" t="s">
        <v>31</v>
      </c>
      <c r="H972" t="s">
        <v>240</v>
      </c>
      <c r="I972">
        <v>1</v>
      </c>
      <c r="J972" s="5">
        <v>30382</v>
      </c>
      <c r="K972" s="5">
        <v>30382</v>
      </c>
      <c r="L972" s="5">
        <v>6076.4</v>
      </c>
      <c r="M972" s="12">
        <v>0.2</v>
      </c>
      <c r="N972" s="5">
        <f t="shared" si="30"/>
        <v>24305.599999999999</v>
      </c>
      <c r="O972" s="5">
        <v>20122.47</v>
      </c>
      <c r="P972" s="5">
        <f t="shared" si="31"/>
        <v>4183.1299999999974</v>
      </c>
      <c r="Q972" t="s">
        <v>241</v>
      </c>
      <c r="R972">
        <v>2026</v>
      </c>
      <c r="S972">
        <v>6</v>
      </c>
    </row>
    <row r="973" spans="1:19" x14ac:dyDescent="0.3">
      <c r="A973" s="19" t="s">
        <v>1031</v>
      </c>
      <c r="B973" s="20">
        <v>46191</v>
      </c>
      <c r="C973" s="19" t="s">
        <v>82</v>
      </c>
      <c r="D973" s="19" t="s">
        <v>21</v>
      </c>
      <c r="E973" s="19" t="s">
        <v>42</v>
      </c>
      <c r="F973" s="19" t="s">
        <v>40</v>
      </c>
      <c r="G973" s="19" t="s">
        <v>31</v>
      </c>
      <c r="H973" s="19" t="s">
        <v>25</v>
      </c>
      <c r="I973" s="19">
        <v>3</v>
      </c>
      <c r="J973" s="21">
        <v>42605</v>
      </c>
      <c r="K973" s="21">
        <v>127815</v>
      </c>
      <c r="L973" s="21">
        <v>0</v>
      </c>
      <c r="M973" s="15">
        <v>0</v>
      </c>
      <c r="N973" s="21">
        <f t="shared" si="30"/>
        <v>127815</v>
      </c>
      <c r="O973" s="21">
        <v>70389.64</v>
      </c>
      <c r="P973" s="21">
        <f t="shared" si="31"/>
        <v>57425.36</v>
      </c>
      <c r="Q973" s="19" t="s">
        <v>241</v>
      </c>
      <c r="R973" s="19">
        <v>2026</v>
      </c>
      <c r="S973" s="19">
        <v>6</v>
      </c>
    </row>
    <row r="974" spans="1:19" x14ac:dyDescent="0.3">
      <c r="A974" t="s">
        <v>1032</v>
      </c>
      <c r="B974" s="2">
        <v>46193</v>
      </c>
      <c r="C974" t="s">
        <v>71</v>
      </c>
      <c r="D974" t="s">
        <v>34</v>
      </c>
      <c r="E974" t="s">
        <v>56</v>
      </c>
      <c r="F974" t="s">
        <v>40</v>
      </c>
      <c r="G974" t="s">
        <v>31</v>
      </c>
      <c r="H974" t="s">
        <v>25</v>
      </c>
      <c r="I974">
        <v>1</v>
      </c>
      <c r="J974" s="5">
        <v>48805</v>
      </c>
      <c r="K974" s="5">
        <v>48805</v>
      </c>
      <c r="L974" s="5">
        <v>0</v>
      </c>
      <c r="M974" s="12">
        <v>0</v>
      </c>
      <c r="N974" s="5">
        <f t="shared" si="30"/>
        <v>48805</v>
      </c>
      <c r="O974" s="5">
        <v>29111.22</v>
      </c>
      <c r="P974" s="5">
        <f t="shared" si="31"/>
        <v>19693.78</v>
      </c>
      <c r="Q974" t="s">
        <v>241</v>
      </c>
      <c r="R974">
        <v>2026</v>
      </c>
      <c r="S974">
        <v>6</v>
      </c>
    </row>
    <row r="975" spans="1:19" x14ac:dyDescent="0.3">
      <c r="A975" s="19" t="s">
        <v>1033</v>
      </c>
      <c r="B975" s="20">
        <v>46194</v>
      </c>
      <c r="C975" s="19" t="s">
        <v>64</v>
      </c>
      <c r="D975" s="19" t="s">
        <v>29</v>
      </c>
      <c r="E975" s="19" t="s">
        <v>22</v>
      </c>
      <c r="F975" s="19" t="s">
        <v>23</v>
      </c>
      <c r="G975" s="19" t="s">
        <v>24</v>
      </c>
      <c r="H975" s="19" t="s">
        <v>25</v>
      </c>
      <c r="I975" s="19">
        <v>4</v>
      </c>
      <c r="J975" s="21">
        <v>31233</v>
      </c>
      <c r="K975" s="21">
        <v>124932</v>
      </c>
      <c r="L975" s="21">
        <v>0</v>
      </c>
      <c r="M975" s="15">
        <v>0</v>
      </c>
      <c r="N975" s="21">
        <f t="shared" si="30"/>
        <v>124932</v>
      </c>
      <c r="O975" s="21">
        <v>60139.22</v>
      </c>
      <c r="P975" s="21">
        <f t="shared" si="31"/>
        <v>64792.78</v>
      </c>
      <c r="Q975" s="19" t="s">
        <v>241</v>
      </c>
      <c r="R975" s="19">
        <v>2026</v>
      </c>
      <c r="S975" s="19">
        <v>6</v>
      </c>
    </row>
    <row r="976" spans="1:19" x14ac:dyDescent="0.3">
      <c r="A976" t="s">
        <v>1034</v>
      </c>
      <c r="B976" s="2">
        <v>46196</v>
      </c>
      <c r="C976" t="s">
        <v>20</v>
      </c>
      <c r="D976" t="s">
        <v>21</v>
      </c>
      <c r="E976" t="s">
        <v>42</v>
      </c>
      <c r="F976" t="s">
        <v>40</v>
      </c>
      <c r="G976" t="s">
        <v>31</v>
      </c>
      <c r="H976" t="s">
        <v>25</v>
      </c>
      <c r="I976">
        <v>1</v>
      </c>
      <c r="J976" s="5">
        <v>15979</v>
      </c>
      <c r="K976" s="5">
        <v>15979</v>
      </c>
      <c r="L976" s="5">
        <v>2396.85</v>
      </c>
      <c r="M976" s="12">
        <v>0.15</v>
      </c>
      <c r="N976" s="5">
        <f t="shared" si="30"/>
        <v>13582.15</v>
      </c>
      <c r="O976" s="5">
        <v>10790.34</v>
      </c>
      <c r="P976" s="5">
        <f t="shared" si="31"/>
        <v>2791.8099999999995</v>
      </c>
      <c r="Q976" t="s">
        <v>241</v>
      </c>
      <c r="R976">
        <v>2026</v>
      </c>
      <c r="S976">
        <v>6</v>
      </c>
    </row>
    <row r="977" spans="1:19" x14ac:dyDescent="0.3">
      <c r="A977" s="19" t="s">
        <v>1035</v>
      </c>
      <c r="B977" s="20">
        <v>46197</v>
      </c>
      <c r="C977" s="19" t="s">
        <v>50</v>
      </c>
      <c r="D977" s="19" t="s">
        <v>34</v>
      </c>
      <c r="E977" s="19" t="s">
        <v>42</v>
      </c>
      <c r="F977" s="19" t="s">
        <v>37</v>
      </c>
      <c r="G977" s="19" t="s">
        <v>31</v>
      </c>
      <c r="H977" s="19" t="s">
        <v>25</v>
      </c>
      <c r="I977" s="19">
        <v>1</v>
      </c>
      <c r="J977" s="21">
        <v>16671</v>
      </c>
      <c r="K977" s="21">
        <v>16671</v>
      </c>
      <c r="L977" s="21">
        <v>0</v>
      </c>
      <c r="M977" s="15">
        <v>0</v>
      </c>
      <c r="N977" s="21">
        <f t="shared" si="30"/>
        <v>16671</v>
      </c>
      <c r="O977" s="21">
        <v>8751.07</v>
      </c>
      <c r="P977" s="21">
        <f t="shared" si="31"/>
        <v>7919.93</v>
      </c>
      <c r="Q977" s="19" t="s">
        <v>241</v>
      </c>
      <c r="R977" s="19">
        <v>2026</v>
      </c>
      <c r="S977" s="19">
        <v>6</v>
      </c>
    </row>
    <row r="978" spans="1:19" x14ac:dyDescent="0.3">
      <c r="A978" t="s">
        <v>1036</v>
      </c>
      <c r="B978" s="2">
        <v>46200</v>
      </c>
      <c r="C978" t="s">
        <v>20</v>
      </c>
      <c r="D978" t="s">
        <v>21</v>
      </c>
      <c r="E978" t="s">
        <v>22</v>
      </c>
      <c r="F978" t="s">
        <v>23</v>
      </c>
      <c r="G978" t="s">
        <v>31</v>
      </c>
      <c r="H978" t="s">
        <v>25</v>
      </c>
      <c r="I978">
        <v>3</v>
      </c>
      <c r="J978" s="5">
        <v>14512</v>
      </c>
      <c r="K978" s="5">
        <v>43536</v>
      </c>
      <c r="L978" s="5">
        <v>0</v>
      </c>
      <c r="M978" s="12">
        <v>0</v>
      </c>
      <c r="N978" s="5">
        <f t="shared" si="30"/>
        <v>43536</v>
      </c>
      <c r="O978" s="5">
        <v>29283.13</v>
      </c>
      <c r="P978" s="5">
        <f t="shared" si="31"/>
        <v>14252.869999999999</v>
      </c>
      <c r="Q978" t="s">
        <v>241</v>
      </c>
      <c r="R978">
        <v>2026</v>
      </c>
      <c r="S978">
        <v>6</v>
      </c>
    </row>
    <row r="979" spans="1:19" x14ac:dyDescent="0.3">
      <c r="A979" s="19" t="s">
        <v>1037</v>
      </c>
      <c r="B979" s="20">
        <v>46201</v>
      </c>
      <c r="C979" s="19" t="s">
        <v>20</v>
      </c>
      <c r="D979" s="19" t="s">
        <v>21</v>
      </c>
      <c r="E979" s="19" t="s">
        <v>22</v>
      </c>
      <c r="F979" s="19" t="s">
        <v>40</v>
      </c>
      <c r="G979" s="19" t="s">
        <v>24</v>
      </c>
      <c r="H979" s="19" t="s">
        <v>25</v>
      </c>
      <c r="I979" s="19">
        <v>2</v>
      </c>
      <c r="J979" s="21">
        <v>14344</v>
      </c>
      <c r="K979" s="21">
        <v>28688</v>
      </c>
      <c r="L979" s="21">
        <v>0</v>
      </c>
      <c r="M979" s="15">
        <v>0</v>
      </c>
      <c r="N979" s="21">
        <f t="shared" si="30"/>
        <v>28688</v>
      </c>
      <c r="O979" s="21">
        <v>14696.39</v>
      </c>
      <c r="P979" s="21">
        <f t="shared" si="31"/>
        <v>13991.61</v>
      </c>
      <c r="Q979" s="19" t="s">
        <v>241</v>
      </c>
      <c r="R979" s="19">
        <v>2026</v>
      </c>
      <c r="S979" s="19">
        <v>6</v>
      </c>
    </row>
    <row r="980" spans="1:19" x14ac:dyDescent="0.3">
      <c r="A980" t="s">
        <v>1038</v>
      </c>
      <c r="B980" s="2">
        <v>46202</v>
      </c>
      <c r="C980" t="s">
        <v>20</v>
      </c>
      <c r="D980" t="s">
        <v>21</v>
      </c>
      <c r="E980" t="s">
        <v>22</v>
      </c>
      <c r="F980" t="s">
        <v>40</v>
      </c>
      <c r="G980" t="s">
        <v>31</v>
      </c>
      <c r="H980" t="s">
        <v>25</v>
      </c>
      <c r="I980">
        <v>2</v>
      </c>
      <c r="J980" s="5">
        <v>14099</v>
      </c>
      <c r="K980" s="5">
        <v>28198</v>
      </c>
      <c r="L980" s="5">
        <v>0</v>
      </c>
      <c r="M980" s="12">
        <v>0</v>
      </c>
      <c r="N980" s="5">
        <f t="shared" si="30"/>
        <v>28198</v>
      </c>
      <c r="O980" s="5">
        <v>17845.14</v>
      </c>
      <c r="P980" s="5">
        <f t="shared" si="31"/>
        <v>10352.86</v>
      </c>
      <c r="Q980" t="s">
        <v>241</v>
      </c>
      <c r="R980">
        <v>2026</v>
      </c>
      <c r="S980">
        <v>6</v>
      </c>
    </row>
    <row r="981" spans="1:19" x14ac:dyDescent="0.3">
      <c r="A981" s="19" t="s">
        <v>1039</v>
      </c>
      <c r="B981" s="20">
        <v>46203</v>
      </c>
      <c r="C981" s="19" t="s">
        <v>46</v>
      </c>
      <c r="D981" s="19" t="s">
        <v>21</v>
      </c>
      <c r="E981" s="19" t="s">
        <v>42</v>
      </c>
      <c r="F981" s="19" t="s">
        <v>40</v>
      </c>
      <c r="G981" s="19" t="s">
        <v>24</v>
      </c>
      <c r="H981" s="19" t="s">
        <v>240</v>
      </c>
      <c r="I981" s="19">
        <v>2</v>
      </c>
      <c r="J981" s="21">
        <v>11082</v>
      </c>
      <c r="K981" s="21">
        <v>22164</v>
      </c>
      <c r="L981" s="21">
        <v>2216.4</v>
      </c>
      <c r="M981" s="15">
        <v>0.1</v>
      </c>
      <c r="N981" s="21">
        <f t="shared" si="30"/>
        <v>19947.599999999999</v>
      </c>
      <c r="O981" s="21">
        <v>10822.36</v>
      </c>
      <c r="P981" s="21">
        <f t="shared" si="31"/>
        <v>9125.239999999998</v>
      </c>
      <c r="Q981" s="19" t="s">
        <v>241</v>
      </c>
      <c r="R981" s="19">
        <v>2026</v>
      </c>
      <c r="S981" s="19">
        <v>6</v>
      </c>
    </row>
    <row r="982" spans="1:19" x14ac:dyDescent="0.3">
      <c r="A982" t="s">
        <v>1040</v>
      </c>
      <c r="B982" s="2">
        <v>46204</v>
      </c>
      <c r="C982" t="s">
        <v>48</v>
      </c>
      <c r="D982" t="s">
        <v>34</v>
      </c>
      <c r="E982" t="s">
        <v>44</v>
      </c>
      <c r="F982" t="s">
        <v>35</v>
      </c>
      <c r="G982" t="s">
        <v>31</v>
      </c>
      <c r="H982" t="s">
        <v>25</v>
      </c>
      <c r="I982">
        <v>4</v>
      </c>
      <c r="J982" s="5">
        <v>23096</v>
      </c>
      <c r="K982" s="5">
        <v>92384</v>
      </c>
      <c r="L982" s="5">
        <v>0</v>
      </c>
      <c r="M982" s="12">
        <v>0</v>
      </c>
      <c r="N982" s="5">
        <f t="shared" si="30"/>
        <v>92384</v>
      </c>
      <c r="O982" s="5">
        <v>57062.61</v>
      </c>
      <c r="P982" s="5">
        <f t="shared" si="31"/>
        <v>35321.39</v>
      </c>
      <c r="Q982" t="s">
        <v>272</v>
      </c>
      <c r="R982">
        <v>2026</v>
      </c>
      <c r="S982">
        <v>7</v>
      </c>
    </row>
    <row r="983" spans="1:19" x14ac:dyDescent="0.3">
      <c r="A983" s="19" t="s">
        <v>1041</v>
      </c>
      <c r="B983" s="20">
        <v>46205</v>
      </c>
      <c r="C983" s="19" t="s">
        <v>50</v>
      </c>
      <c r="D983" s="19" t="s">
        <v>34</v>
      </c>
      <c r="E983" s="19" t="s">
        <v>22</v>
      </c>
      <c r="F983" s="19" t="s">
        <v>37</v>
      </c>
      <c r="G983" s="19" t="s">
        <v>31</v>
      </c>
      <c r="H983" s="19" t="s">
        <v>25</v>
      </c>
      <c r="I983" s="19">
        <v>1</v>
      </c>
      <c r="J983" s="21">
        <v>18534</v>
      </c>
      <c r="K983" s="21">
        <v>18534</v>
      </c>
      <c r="L983" s="21">
        <v>926.7</v>
      </c>
      <c r="M983" s="15">
        <v>0.05</v>
      </c>
      <c r="N983" s="21">
        <f t="shared" si="30"/>
        <v>17607.3</v>
      </c>
      <c r="O983" s="21">
        <v>9351.48</v>
      </c>
      <c r="P983" s="21">
        <f t="shared" si="31"/>
        <v>8255.82</v>
      </c>
      <c r="Q983" s="19" t="s">
        <v>272</v>
      </c>
      <c r="R983" s="19">
        <v>2026</v>
      </c>
      <c r="S983" s="19">
        <v>7</v>
      </c>
    </row>
    <row r="984" spans="1:19" x14ac:dyDescent="0.3">
      <c r="A984" t="s">
        <v>1042</v>
      </c>
      <c r="B984" s="2">
        <v>46205</v>
      </c>
      <c r="C984" t="s">
        <v>46</v>
      </c>
      <c r="D984" t="s">
        <v>21</v>
      </c>
      <c r="E984" t="s">
        <v>22</v>
      </c>
      <c r="F984" t="s">
        <v>40</v>
      </c>
      <c r="G984" t="s">
        <v>31</v>
      </c>
      <c r="H984" t="s">
        <v>240</v>
      </c>
      <c r="I984">
        <v>1</v>
      </c>
      <c r="J984" s="5">
        <v>12215</v>
      </c>
      <c r="K984" s="5">
        <v>12215</v>
      </c>
      <c r="L984" s="5">
        <v>1221.5</v>
      </c>
      <c r="M984" s="12">
        <v>0.1</v>
      </c>
      <c r="N984" s="5">
        <f t="shared" si="30"/>
        <v>10993.5</v>
      </c>
      <c r="O984" s="5">
        <v>8157.32</v>
      </c>
      <c r="P984" s="5">
        <f t="shared" si="31"/>
        <v>2836.1800000000003</v>
      </c>
      <c r="Q984" t="s">
        <v>272</v>
      </c>
      <c r="R984">
        <v>2026</v>
      </c>
      <c r="S984">
        <v>7</v>
      </c>
    </row>
    <row r="985" spans="1:19" x14ac:dyDescent="0.3">
      <c r="A985" s="19" t="s">
        <v>1043</v>
      </c>
      <c r="B985" s="20">
        <v>46206</v>
      </c>
      <c r="C985" s="19" t="s">
        <v>75</v>
      </c>
      <c r="D985" s="19" t="s">
        <v>34</v>
      </c>
      <c r="E985" s="19" t="s">
        <v>56</v>
      </c>
      <c r="F985" s="19" t="s">
        <v>37</v>
      </c>
      <c r="G985" s="19" t="s">
        <v>24</v>
      </c>
      <c r="H985" s="19" t="s">
        <v>25</v>
      </c>
      <c r="I985" s="19">
        <v>1</v>
      </c>
      <c r="J985" s="21">
        <v>37851</v>
      </c>
      <c r="K985" s="21">
        <v>37851</v>
      </c>
      <c r="L985" s="21">
        <v>0</v>
      </c>
      <c r="M985" s="15">
        <v>0</v>
      </c>
      <c r="N985" s="21">
        <f t="shared" si="30"/>
        <v>37851</v>
      </c>
      <c r="O985" s="21">
        <v>24681.65</v>
      </c>
      <c r="P985" s="21">
        <f t="shared" si="31"/>
        <v>13169.349999999999</v>
      </c>
      <c r="Q985" s="19" t="s">
        <v>272</v>
      </c>
      <c r="R985" s="19">
        <v>2026</v>
      </c>
      <c r="S985" s="19">
        <v>7</v>
      </c>
    </row>
    <row r="986" spans="1:19" x14ac:dyDescent="0.3">
      <c r="A986" t="s">
        <v>1044</v>
      </c>
      <c r="B986" s="2">
        <v>46209</v>
      </c>
      <c r="C986" t="s">
        <v>20</v>
      </c>
      <c r="D986" t="s">
        <v>21</v>
      </c>
      <c r="E986" t="s">
        <v>42</v>
      </c>
      <c r="F986" t="s">
        <v>40</v>
      </c>
      <c r="G986" t="s">
        <v>31</v>
      </c>
      <c r="H986" t="s">
        <v>25</v>
      </c>
      <c r="I986">
        <v>3</v>
      </c>
      <c r="J986" s="5">
        <v>15695</v>
      </c>
      <c r="K986" s="5">
        <v>47085</v>
      </c>
      <c r="L986" s="5">
        <v>0</v>
      </c>
      <c r="M986" s="12">
        <v>0</v>
      </c>
      <c r="N986" s="5">
        <f t="shared" si="30"/>
        <v>47085</v>
      </c>
      <c r="O986" s="5">
        <v>23665.86</v>
      </c>
      <c r="P986" s="5">
        <f t="shared" si="31"/>
        <v>23419.14</v>
      </c>
      <c r="Q986" t="s">
        <v>272</v>
      </c>
      <c r="R986">
        <v>2026</v>
      </c>
      <c r="S986">
        <v>7</v>
      </c>
    </row>
    <row r="987" spans="1:19" x14ac:dyDescent="0.3">
      <c r="A987" s="19" t="s">
        <v>1045</v>
      </c>
      <c r="B987" s="20">
        <v>46210</v>
      </c>
      <c r="C987" s="19" t="s">
        <v>46</v>
      </c>
      <c r="D987" s="19" t="s">
        <v>21</v>
      </c>
      <c r="E987" s="19" t="s">
        <v>22</v>
      </c>
      <c r="F987" s="19" t="s">
        <v>35</v>
      </c>
      <c r="G987" s="19" t="s">
        <v>24</v>
      </c>
      <c r="H987" s="19" t="s">
        <v>240</v>
      </c>
      <c r="I987" s="19">
        <v>2</v>
      </c>
      <c r="J987" s="21">
        <v>11222</v>
      </c>
      <c r="K987" s="21">
        <v>22444</v>
      </c>
      <c r="L987" s="21">
        <v>1122.2</v>
      </c>
      <c r="M987" s="15">
        <v>0.05</v>
      </c>
      <c r="N987" s="21">
        <f t="shared" si="30"/>
        <v>21321.8</v>
      </c>
      <c r="O987" s="21">
        <v>14029.65</v>
      </c>
      <c r="P987" s="21">
        <f t="shared" si="31"/>
        <v>7292.15</v>
      </c>
      <c r="Q987" s="19" t="s">
        <v>272</v>
      </c>
      <c r="R987" s="19">
        <v>2026</v>
      </c>
      <c r="S987" s="19">
        <v>7</v>
      </c>
    </row>
    <row r="988" spans="1:19" x14ac:dyDescent="0.3">
      <c r="A988" t="s">
        <v>1046</v>
      </c>
      <c r="B988" s="2">
        <v>46210</v>
      </c>
      <c r="C988" t="s">
        <v>82</v>
      </c>
      <c r="D988" t="s">
        <v>21</v>
      </c>
      <c r="E988" t="s">
        <v>44</v>
      </c>
      <c r="F988" t="s">
        <v>23</v>
      </c>
      <c r="G988" t="s">
        <v>31</v>
      </c>
      <c r="H988" t="s">
        <v>240</v>
      </c>
      <c r="I988">
        <v>1</v>
      </c>
      <c r="J988" s="5">
        <v>42837</v>
      </c>
      <c r="K988" s="5">
        <v>42837</v>
      </c>
      <c r="L988" s="5">
        <v>6425.55</v>
      </c>
      <c r="M988" s="12">
        <v>0.15</v>
      </c>
      <c r="N988" s="5">
        <f t="shared" si="30"/>
        <v>36411.449999999997</v>
      </c>
      <c r="O988" s="5">
        <v>24860.02</v>
      </c>
      <c r="P988" s="5">
        <f t="shared" si="31"/>
        <v>11551.429999999997</v>
      </c>
      <c r="Q988" t="s">
        <v>272</v>
      </c>
      <c r="R988">
        <v>2026</v>
      </c>
      <c r="S988">
        <v>7</v>
      </c>
    </row>
    <row r="989" spans="1:19" x14ac:dyDescent="0.3">
      <c r="A989" s="19" t="s">
        <v>1047</v>
      </c>
      <c r="B989" s="20">
        <v>46211</v>
      </c>
      <c r="C989" s="19" t="s">
        <v>33</v>
      </c>
      <c r="D989" s="19" t="s">
        <v>34</v>
      </c>
      <c r="E989" s="19" t="s">
        <v>44</v>
      </c>
      <c r="F989" s="19" t="s">
        <v>35</v>
      </c>
      <c r="G989" s="19" t="s">
        <v>31</v>
      </c>
      <c r="H989" s="19" t="s">
        <v>240</v>
      </c>
      <c r="I989" s="19">
        <v>4</v>
      </c>
      <c r="J989" s="21">
        <v>40126</v>
      </c>
      <c r="K989" s="21">
        <v>160504</v>
      </c>
      <c r="L989" s="21">
        <v>16050.4</v>
      </c>
      <c r="M989" s="15">
        <v>0.1</v>
      </c>
      <c r="N989" s="21">
        <f t="shared" si="30"/>
        <v>144453.6</v>
      </c>
      <c r="O989" s="21">
        <v>102823.13</v>
      </c>
      <c r="P989" s="21">
        <f t="shared" si="31"/>
        <v>41630.47</v>
      </c>
      <c r="Q989" s="19" t="s">
        <v>272</v>
      </c>
      <c r="R989" s="19">
        <v>2026</v>
      </c>
      <c r="S989" s="19">
        <v>7</v>
      </c>
    </row>
    <row r="990" spans="1:19" x14ac:dyDescent="0.3">
      <c r="A990" t="s">
        <v>1048</v>
      </c>
      <c r="B990" s="2">
        <v>46211</v>
      </c>
      <c r="C990" t="s">
        <v>46</v>
      </c>
      <c r="D990" t="s">
        <v>21</v>
      </c>
      <c r="E990" t="s">
        <v>22</v>
      </c>
      <c r="F990" t="s">
        <v>40</v>
      </c>
      <c r="G990" t="s">
        <v>24</v>
      </c>
      <c r="H990" t="s">
        <v>240</v>
      </c>
      <c r="I990">
        <v>1</v>
      </c>
      <c r="J990" s="5">
        <v>11502</v>
      </c>
      <c r="K990" s="5">
        <v>11502</v>
      </c>
      <c r="L990" s="5">
        <v>1725.3</v>
      </c>
      <c r="M990" s="12">
        <v>0.15</v>
      </c>
      <c r="N990" s="5">
        <f t="shared" si="30"/>
        <v>9776.7000000000007</v>
      </c>
      <c r="O990" s="5">
        <v>5706.33</v>
      </c>
      <c r="P990" s="5">
        <f t="shared" si="31"/>
        <v>4070.3700000000008</v>
      </c>
      <c r="Q990" t="s">
        <v>272</v>
      </c>
      <c r="R990">
        <v>2026</v>
      </c>
      <c r="S990">
        <v>7</v>
      </c>
    </row>
    <row r="991" spans="1:19" x14ac:dyDescent="0.3">
      <c r="A991" s="19" t="s">
        <v>1049</v>
      </c>
      <c r="B991" s="20">
        <v>46212</v>
      </c>
      <c r="C991" s="19" t="s">
        <v>48</v>
      </c>
      <c r="D991" s="19" t="s">
        <v>34</v>
      </c>
      <c r="E991" s="19" t="s">
        <v>22</v>
      </c>
      <c r="F991" s="19" t="s">
        <v>30</v>
      </c>
      <c r="G991" s="19" t="s">
        <v>31</v>
      </c>
      <c r="H991" s="19" t="s">
        <v>25</v>
      </c>
      <c r="I991" s="19">
        <v>2</v>
      </c>
      <c r="J991" s="21">
        <v>26392</v>
      </c>
      <c r="K991" s="21">
        <v>52784</v>
      </c>
      <c r="L991" s="21">
        <v>0</v>
      </c>
      <c r="M991" s="15">
        <v>0</v>
      </c>
      <c r="N991" s="21">
        <f t="shared" si="30"/>
        <v>52784</v>
      </c>
      <c r="O991" s="21">
        <v>34677.56</v>
      </c>
      <c r="P991" s="21">
        <f t="shared" si="31"/>
        <v>18106.440000000002</v>
      </c>
      <c r="Q991" s="19" t="s">
        <v>272</v>
      </c>
      <c r="R991" s="19">
        <v>2026</v>
      </c>
      <c r="S991" s="19">
        <v>7</v>
      </c>
    </row>
    <row r="992" spans="1:19" x14ac:dyDescent="0.3">
      <c r="A992" t="s">
        <v>1050</v>
      </c>
      <c r="B992" s="2">
        <v>46212</v>
      </c>
      <c r="C992" t="s">
        <v>82</v>
      </c>
      <c r="D992" t="s">
        <v>21</v>
      </c>
      <c r="E992" t="s">
        <v>22</v>
      </c>
      <c r="F992" t="s">
        <v>35</v>
      </c>
      <c r="G992" t="s">
        <v>24</v>
      </c>
      <c r="H992" t="s">
        <v>240</v>
      </c>
      <c r="I992">
        <v>1</v>
      </c>
      <c r="J992" s="5">
        <v>46286</v>
      </c>
      <c r="K992" s="5">
        <v>46286</v>
      </c>
      <c r="L992" s="5">
        <v>6942.9</v>
      </c>
      <c r="M992" s="12">
        <v>0.15</v>
      </c>
      <c r="N992" s="5">
        <f t="shared" si="30"/>
        <v>39343.1</v>
      </c>
      <c r="O992" s="5">
        <v>30546.53</v>
      </c>
      <c r="P992" s="5">
        <f t="shared" si="31"/>
        <v>8796.57</v>
      </c>
      <c r="Q992" t="s">
        <v>272</v>
      </c>
      <c r="R992">
        <v>2026</v>
      </c>
      <c r="S992">
        <v>7</v>
      </c>
    </row>
    <row r="993" spans="1:19" x14ac:dyDescent="0.3">
      <c r="A993" s="19" t="s">
        <v>1051</v>
      </c>
      <c r="B993" s="20">
        <v>46212</v>
      </c>
      <c r="C993" s="19" t="s">
        <v>75</v>
      </c>
      <c r="D993" s="19" t="s">
        <v>34</v>
      </c>
      <c r="E993" s="19" t="s">
        <v>56</v>
      </c>
      <c r="F993" s="19" t="s">
        <v>37</v>
      </c>
      <c r="G993" s="19" t="s">
        <v>24</v>
      </c>
      <c r="H993" s="19" t="s">
        <v>240</v>
      </c>
      <c r="I993" s="19">
        <v>3</v>
      </c>
      <c r="J993" s="21">
        <v>40171</v>
      </c>
      <c r="K993" s="21">
        <v>120513</v>
      </c>
      <c r="L993" s="21">
        <v>18076.95</v>
      </c>
      <c r="M993" s="15">
        <v>0.15</v>
      </c>
      <c r="N993" s="21">
        <f t="shared" si="30"/>
        <v>102436.05</v>
      </c>
      <c r="O993" s="21">
        <v>68981.63</v>
      </c>
      <c r="P993" s="21">
        <f t="shared" si="31"/>
        <v>33454.42</v>
      </c>
      <c r="Q993" s="19" t="s">
        <v>272</v>
      </c>
      <c r="R993" s="19">
        <v>2026</v>
      </c>
      <c r="S993" s="19">
        <v>7</v>
      </c>
    </row>
    <row r="994" spans="1:19" x14ac:dyDescent="0.3">
      <c r="A994" t="s">
        <v>1052</v>
      </c>
      <c r="B994" s="2">
        <v>46212</v>
      </c>
      <c r="C994" t="s">
        <v>20</v>
      </c>
      <c r="D994" t="s">
        <v>21</v>
      </c>
      <c r="E994" t="s">
        <v>42</v>
      </c>
      <c r="F994" t="s">
        <v>40</v>
      </c>
      <c r="G994" t="s">
        <v>24</v>
      </c>
      <c r="H994" t="s">
        <v>25</v>
      </c>
      <c r="I994">
        <v>1</v>
      </c>
      <c r="J994" s="5">
        <v>14377</v>
      </c>
      <c r="K994" s="5">
        <v>14377</v>
      </c>
      <c r="L994" s="5">
        <v>0</v>
      </c>
      <c r="M994" s="12">
        <v>0</v>
      </c>
      <c r="N994" s="5">
        <f t="shared" si="30"/>
        <v>14377</v>
      </c>
      <c r="O994" s="5">
        <v>8539.09</v>
      </c>
      <c r="P994" s="5">
        <f t="shared" si="31"/>
        <v>5837.91</v>
      </c>
      <c r="Q994" t="s">
        <v>272</v>
      </c>
      <c r="R994">
        <v>2026</v>
      </c>
      <c r="S994">
        <v>7</v>
      </c>
    </row>
    <row r="995" spans="1:19" x14ac:dyDescent="0.3">
      <c r="A995" s="19" t="s">
        <v>1053</v>
      </c>
      <c r="B995" s="20">
        <v>46213</v>
      </c>
      <c r="C995" s="19" t="s">
        <v>82</v>
      </c>
      <c r="D995" s="19" t="s">
        <v>21</v>
      </c>
      <c r="E995" s="19" t="s">
        <v>44</v>
      </c>
      <c r="F995" s="19" t="s">
        <v>40</v>
      </c>
      <c r="G995" s="19" t="s">
        <v>31</v>
      </c>
      <c r="H995" s="19" t="s">
        <v>25</v>
      </c>
      <c r="I995" s="19">
        <v>1</v>
      </c>
      <c r="J995" s="21">
        <v>41561</v>
      </c>
      <c r="K995" s="21">
        <v>41561</v>
      </c>
      <c r="L995" s="21">
        <v>0</v>
      </c>
      <c r="M995" s="15">
        <v>0</v>
      </c>
      <c r="N995" s="21">
        <f t="shared" si="30"/>
        <v>41561</v>
      </c>
      <c r="O995" s="21">
        <v>22141</v>
      </c>
      <c r="P995" s="21">
        <f t="shared" si="31"/>
        <v>19420</v>
      </c>
      <c r="Q995" s="19" t="s">
        <v>272</v>
      </c>
      <c r="R995" s="19">
        <v>2026</v>
      </c>
      <c r="S995" s="19">
        <v>7</v>
      </c>
    </row>
    <row r="996" spans="1:19" x14ac:dyDescent="0.3">
      <c r="A996" t="s">
        <v>1054</v>
      </c>
      <c r="B996" s="2">
        <v>46214</v>
      </c>
      <c r="C996" t="s">
        <v>64</v>
      </c>
      <c r="D996" t="s">
        <v>29</v>
      </c>
      <c r="E996" t="s">
        <v>56</v>
      </c>
      <c r="F996" t="s">
        <v>35</v>
      </c>
      <c r="G996" t="s">
        <v>31</v>
      </c>
      <c r="H996" t="s">
        <v>240</v>
      </c>
      <c r="I996">
        <v>3</v>
      </c>
      <c r="J996" s="5">
        <v>29007</v>
      </c>
      <c r="K996" s="5">
        <v>87021</v>
      </c>
      <c r="L996" s="5">
        <v>4351.05</v>
      </c>
      <c r="M996" s="12">
        <v>0.05</v>
      </c>
      <c r="N996" s="5">
        <f t="shared" si="30"/>
        <v>82669.95</v>
      </c>
      <c r="O996" s="5">
        <v>48317.56</v>
      </c>
      <c r="P996" s="5">
        <f t="shared" si="31"/>
        <v>34352.39</v>
      </c>
      <c r="Q996" t="s">
        <v>272</v>
      </c>
      <c r="R996">
        <v>2026</v>
      </c>
      <c r="S996">
        <v>7</v>
      </c>
    </row>
    <row r="997" spans="1:19" x14ac:dyDescent="0.3">
      <c r="A997" s="19" t="s">
        <v>1055</v>
      </c>
      <c r="B997" s="20">
        <v>46216</v>
      </c>
      <c r="C997" s="19" t="s">
        <v>46</v>
      </c>
      <c r="D997" s="19" t="s">
        <v>21</v>
      </c>
      <c r="E997" s="19" t="s">
        <v>42</v>
      </c>
      <c r="F997" s="19" t="s">
        <v>35</v>
      </c>
      <c r="G997" s="19" t="s">
        <v>24</v>
      </c>
      <c r="H997" s="19" t="s">
        <v>25</v>
      </c>
      <c r="I997" s="19">
        <v>1</v>
      </c>
      <c r="J997" s="21">
        <v>12610</v>
      </c>
      <c r="K997" s="21">
        <v>12610</v>
      </c>
      <c r="L997" s="21">
        <v>1261</v>
      </c>
      <c r="M997" s="15">
        <v>0.1</v>
      </c>
      <c r="N997" s="21">
        <f t="shared" si="30"/>
        <v>11349</v>
      </c>
      <c r="O997" s="21">
        <v>7318.51</v>
      </c>
      <c r="P997" s="21">
        <f t="shared" si="31"/>
        <v>4030.49</v>
      </c>
      <c r="Q997" s="19" t="s">
        <v>272</v>
      </c>
      <c r="R997" s="19">
        <v>2026</v>
      </c>
      <c r="S997" s="19">
        <v>7</v>
      </c>
    </row>
    <row r="998" spans="1:19" x14ac:dyDescent="0.3">
      <c r="A998" t="s">
        <v>1056</v>
      </c>
      <c r="B998" s="2">
        <v>46216</v>
      </c>
      <c r="C998" t="s">
        <v>50</v>
      </c>
      <c r="D998" t="s">
        <v>34</v>
      </c>
      <c r="E998" t="s">
        <v>44</v>
      </c>
      <c r="F998" t="s">
        <v>40</v>
      </c>
      <c r="G998" t="s">
        <v>24</v>
      </c>
      <c r="H998" t="s">
        <v>240</v>
      </c>
      <c r="I998">
        <v>1</v>
      </c>
      <c r="J998" s="5">
        <v>18079</v>
      </c>
      <c r="K998" s="5">
        <v>18079</v>
      </c>
      <c r="L998" s="5">
        <v>3615.8</v>
      </c>
      <c r="M998" s="12">
        <v>0.2</v>
      </c>
      <c r="N998" s="5">
        <f t="shared" si="30"/>
        <v>14463.2</v>
      </c>
      <c r="O998" s="5">
        <v>11709.77</v>
      </c>
      <c r="P998" s="5">
        <f t="shared" si="31"/>
        <v>2753.4300000000003</v>
      </c>
      <c r="Q998" t="s">
        <v>272</v>
      </c>
      <c r="R998">
        <v>2026</v>
      </c>
      <c r="S998">
        <v>7</v>
      </c>
    </row>
    <row r="999" spans="1:19" x14ac:dyDescent="0.3">
      <c r="A999" s="19" t="s">
        <v>1057</v>
      </c>
      <c r="B999" s="20">
        <v>46217</v>
      </c>
      <c r="C999" s="19" t="s">
        <v>71</v>
      </c>
      <c r="D999" s="19" t="s">
        <v>34</v>
      </c>
      <c r="E999" s="19" t="s">
        <v>44</v>
      </c>
      <c r="F999" s="19" t="s">
        <v>23</v>
      </c>
      <c r="G999" s="19" t="s">
        <v>31</v>
      </c>
      <c r="H999" s="19" t="s">
        <v>240</v>
      </c>
      <c r="I999" s="19">
        <v>2</v>
      </c>
      <c r="J999" s="21">
        <v>50623</v>
      </c>
      <c r="K999" s="21">
        <v>101246</v>
      </c>
      <c r="L999" s="21">
        <v>15186.9</v>
      </c>
      <c r="M999" s="15">
        <v>0.15</v>
      </c>
      <c r="N999" s="21">
        <f t="shared" si="30"/>
        <v>86059.1</v>
      </c>
      <c r="O999" s="21">
        <v>51845.73</v>
      </c>
      <c r="P999" s="21">
        <f t="shared" si="31"/>
        <v>34213.370000000003</v>
      </c>
      <c r="Q999" s="19" t="s">
        <v>272</v>
      </c>
      <c r="R999" s="19">
        <v>2026</v>
      </c>
      <c r="S999" s="19">
        <v>7</v>
      </c>
    </row>
    <row r="1000" spans="1:19" x14ac:dyDescent="0.3">
      <c r="A1000" t="s">
        <v>1058</v>
      </c>
      <c r="B1000" s="2">
        <v>46219</v>
      </c>
      <c r="C1000" t="s">
        <v>82</v>
      </c>
      <c r="D1000" t="s">
        <v>21</v>
      </c>
      <c r="E1000" t="s">
        <v>22</v>
      </c>
      <c r="F1000" t="s">
        <v>35</v>
      </c>
      <c r="G1000" t="s">
        <v>31</v>
      </c>
      <c r="H1000" t="s">
        <v>25</v>
      </c>
      <c r="I1000">
        <v>3</v>
      </c>
      <c r="J1000" s="5">
        <v>43644</v>
      </c>
      <c r="K1000" s="5">
        <v>130932</v>
      </c>
      <c r="L1000" s="5">
        <v>0</v>
      </c>
      <c r="M1000" s="12">
        <v>0</v>
      </c>
      <c r="N1000" s="5">
        <f t="shared" si="30"/>
        <v>130932</v>
      </c>
      <c r="O1000" s="5">
        <v>67410.17</v>
      </c>
      <c r="P1000" s="5">
        <f t="shared" si="31"/>
        <v>63521.83</v>
      </c>
      <c r="Q1000" t="s">
        <v>272</v>
      </c>
      <c r="R1000">
        <v>2026</v>
      </c>
      <c r="S1000">
        <v>7</v>
      </c>
    </row>
    <row r="1001" spans="1:19" x14ac:dyDescent="0.3">
      <c r="A1001" s="19" t="s">
        <v>1059</v>
      </c>
      <c r="B1001" s="20">
        <v>46220</v>
      </c>
      <c r="C1001" s="19" t="s">
        <v>20</v>
      </c>
      <c r="D1001" s="19" t="s">
        <v>21</v>
      </c>
      <c r="E1001" s="19" t="s">
        <v>56</v>
      </c>
      <c r="F1001" s="19" t="s">
        <v>40</v>
      </c>
      <c r="G1001" s="19" t="s">
        <v>24</v>
      </c>
      <c r="H1001" s="19" t="s">
        <v>240</v>
      </c>
      <c r="I1001" s="19">
        <v>2</v>
      </c>
      <c r="J1001" s="21">
        <v>14154</v>
      </c>
      <c r="K1001" s="21">
        <v>28308</v>
      </c>
      <c r="L1001" s="21">
        <v>5661.6</v>
      </c>
      <c r="M1001" s="15">
        <v>0.2</v>
      </c>
      <c r="N1001" s="21">
        <f t="shared" si="30"/>
        <v>22646.400000000001</v>
      </c>
      <c r="O1001" s="21">
        <v>14623.31</v>
      </c>
      <c r="P1001" s="21">
        <f t="shared" si="31"/>
        <v>8023.090000000002</v>
      </c>
      <c r="Q1001" s="19" t="s">
        <v>272</v>
      </c>
      <c r="R1001" s="19">
        <v>2026</v>
      </c>
      <c r="S1001" s="19">
        <v>7</v>
      </c>
    </row>
    <row r="1002" spans="1:19" x14ac:dyDescent="0.3">
      <c r="A1002" t="s">
        <v>1060</v>
      </c>
      <c r="B1002" s="2">
        <v>46220</v>
      </c>
      <c r="C1002" t="s">
        <v>82</v>
      </c>
      <c r="D1002" t="s">
        <v>21</v>
      </c>
      <c r="E1002" t="s">
        <v>56</v>
      </c>
      <c r="F1002" t="s">
        <v>40</v>
      </c>
      <c r="G1002" t="s">
        <v>31</v>
      </c>
      <c r="H1002" t="s">
        <v>240</v>
      </c>
      <c r="I1002">
        <v>1</v>
      </c>
      <c r="J1002" s="5">
        <v>45297</v>
      </c>
      <c r="K1002" s="5">
        <v>45297</v>
      </c>
      <c r="L1002" s="5">
        <v>9059.4</v>
      </c>
      <c r="M1002" s="12">
        <v>0.2</v>
      </c>
      <c r="N1002" s="5">
        <f t="shared" si="30"/>
        <v>36237.599999999999</v>
      </c>
      <c r="O1002" s="5">
        <v>30754.62</v>
      </c>
      <c r="P1002" s="5">
        <f t="shared" si="31"/>
        <v>5482.98</v>
      </c>
      <c r="Q1002" t="s">
        <v>272</v>
      </c>
      <c r="R1002">
        <v>2026</v>
      </c>
      <c r="S1002">
        <v>7</v>
      </c>
    </row>
    <row r="1003" spans="1:19" x14ac:dyDescent="0.3">
      <c r="A1003" s="19" t="s">
        <v>1061</v>
      </c>
      <c r="B1003" s="20">
        <v>46220</v>
      </c>
      <c r="C1003" s="19" t="s">
        <v>33</v>
      </c>
      <c r="D1003" s="19" t="s">
        <v>34</v>
      </c>
      <c r="E1003" s="19" t="s">
        <v>42</v>
      </c>
      <c r="F1003" s="19" t="s">
        <v>37</v>
      </c>
      <c r="G1003" s="19" t="s">
        <v>31</v>
      </c>
      <c r="H1003" s="19" t="s">
        <v>240</v>
      </c>
      <c r="I1003" s="19">
        <v>3</v>
      </c>
      <c r="J1003" s="21">
        <v>43969</v>
      </c>
      <c r="K1003" s="21">
        <v>131907</v>
      </c>
      <c r="L1003" s="21">
        <v>26381.4</v>
      </c>
      <c r="M1003" s="15">
        <v>0.2</v>
      </c>
      <c r="N1003" s="21">
        <f t="shared" si="30"/>
        <v>105525.6</v>
      </c>
      <c r="O1003" s="21">
        <v>69699.06</v>
      </c>
      <c r="P1003" s="21">
        <f t="shared" si="31"/>
        <v>35826.540000000008</v>
      </c>
      <c r="Q1003" s="19" t="s">
        <v>272</v>
      </c>
      <c r="R1003" s="19">
        <v>2026</v>
      </c>
      <c r="S1003" s="19">
        <v>7</v>
      </c>
    </row>
    <row r="1004" spans="1:19" x14ac:dyDescent="0.3">
      <c r="A1004" t="s">
        <v>1062</v>
      </c>
      <c r="B1004" s="2">
        <v>46221</v>
      </c>
      <c r="C1004" t="s">
        <v>46</v>
      </c>
      <c r="D1004" t="s">
        <v>21</v>
      </c>
      <c r="E1004" t="s">
        <v>22</v>
      </c>
      <c r="F1004" t="s">
        <v>35</v>
      </c>
      <c r="G1004" t="s">
        <v>24</v>
      </c>
      <c r="H1004" t="s">
        <v>240</v>
      </c>
      <c r="I1004">
        <v>1</v>
      </c>
      <c r="J1004" s="5">
        <v>11542</v>
      </c>
      <c r="K1004" s="5">
        <v>11542</v>
      </c>
      <c r="L1004" s="5">
        <v>1154.2</v>
      </c>
      <c r="M1004" s="12">
        <v>0.1</v>
      </c>
      <c r="N1004" s="5">
        <f t="shared" si="30"/>
        <v>10387.799999999999</v>
      </c>
      <c r="O1004" s="5">
        <v>7632.16</v>
      </c>
      <c r="P1004" s="5">
        <f t="shared" si="31"/>
        <v>2755.6399999999994</v>
      </c>
      <c r="Q1004" t="s">
        <v>272</v>
      </c>
      <c r="R1004">
        <v>2026</v>
      </c>
      <c r="S1004">
        <v>7</v>
      </c>
    </row>
    <row r="1005" spans="1:19" x14ac:dyDescent="0.3">
      <c r="A1005" s="19" t="s">
        <v>1063</v>
      </c>
      <c r="B1005" s="20">
        <v>46225</v>
      </c>
      <c r="C1005" s="19" t="s">
        <v>71</v>
      </c>
      <c r="D1005" s="19" t="s">
        <v>34</v>
      </c>
      <c r="E1005" s="19" t="s">
        <v>56</v>
      </c>
      <c r="F1005" s="19" t="s">
        <v>40</v>
      </c>
      <c r="G1005" s="19" t="s">
        <v>24</v>
      </c>
      <c r="H1005" s="19" t="s">
        <v>25</v>
      </c>
      <c r="I1005" s="19">
        <v>3</v>
      </c>
      <c r="J1005" s="21">
        <v>51515</v>
      </c>
      <c r="K1005" s="21">
        <v>154545</v>
      </c>
      <c r="L1005" s="21">
        <v>0</v>
      </c>
      <c r="M1005" s="15">
        <v>0</v>
      </c>
      <c r="N1005" s="21">
        <f t="shared" si="30"/>
        <v>154545</v>
      </c>
      <c r="O1005" s="21">
        <v>95628.22</v>
      </c>
      <c r="P1005" s="21">
        <f t="shared" si="31"/>
        <v>58916.78</v>
      </c>
      <c r="Q1005" s="19" t="s">
        <v>272</v>
      </c>
      <c r="R1005" s="19">
        <v>2026</v>
      </c>
      <c r="S1005" s="19">
        <v>7</v>
      </c>
    </row>
    <row r="1006" spans="1:19" x14ac:dyDescent="0.3">
      <c r="A1006" t="s">
        <v>1064</v>
      </c>
      <c r="B1006" s="2">
        <v>46225</v>
      </c>
      <c r="C1006" t="s">
        <v>82</v>
      </c>
      <c r="D1006" t="s">
        <v>21</v>
      </c>
      <c r="E1006" t="s">
        <v>42</v>
      </c>
      <c r="F1006" t="s">
        <v>40</v>
      </c>
      <c r="G1006" t="s">
        <v>24</v>
      </c>
      <c r="H1006" t="s">
        <v>240</v>
      </c>
      <c r="I1006">
        <v>2</v>
      </c>
      <c r="J1006" s="5">
        <v>41463</v>
      </c>
      <c r="K1006" s="5">
        <v>82926</v>
      </c>
      <c r="L1006" s="5">
        <v>8292.6</v>
      </c>
      <c r="M1006" s="12">
        <v>0.1</v>
      </c>
      <c r="N1006" s="5">
        <f t="shared" si="30"/>
        <v>74633.399999999994</v>
      </c>
      <c r="O1006" s="5">
        <v>55410.26</v>
      </c>
      <c r="P1006" s="5">
        <f t="shared" si="31"/>
        <v>19223.139999999992</v>
      </c>
      <c r="Q1006" t="s">
        <v>272</v>
      </c>
      <c r="R1006">
        <v>2026</v>
      </c>
      <c r="S1006">
        <v>7</v>
      </c>
    </row>
    <row r="1007" spans="1:19" x14ac:dyDescent="0.3">
      <c r="A1007" s="19" t="s">
        <v>1065</v>
      </c>
      <c r="B1007" s="20">
        <v>46225</v>
      </c>
      <c r="C1007" s="19" t="s">
        <v>64</v>
      </c>
      <c r="D1007" s="19" t="s">
        <v>29</v>
      </c>
      <c r="E1007" s="19" t="s">
        <v>44</v>
      </c>
      <c r="F1007" s="19" t="s">
        <v>35</v>
      </c>
      <c r="G1007" s="19" t="s">
        <v>31</v>
      </c>
      <c r="H1007" s="19" t="s">
        <v>25</v>
      </c>
      <c r="I1007" s="19">
        <v>3</v>
      </c>
      <c r="J1007" s="21">
        <v>28340</v>
      </c>
      <c r="K1007" s="21">
        <v>85020</v>
      </c>
      <c r="L1007" s="21">
        <v>0</v>
      </c>
      <c r="M1007" s="15">
        <v>0</v>
      </c>
      <c r="N1007" s="21">
        <f t="shared" si="30"/>
        <v>85020</v>
      </c>
      <c r="O1007" s="21">
        <v>53366.78</v>
      </c>
      <c r="P1007" s="21">
        <f t="shared" si="31"/>
        <v>31653.22</v>
      </c>
      <c r="Q1007" s="19" t="s">
        <v>272</v>
      </c>
      <c r="R1007" s="19">
        <v>2026</v>
      </c>
      <c r="S1007" s="19">
        <v>7</v>
      </c>
    </row>
    <row r="1008" spans="1:19" x14ac:dyDescent="0.3">
      <c r="A1008" t="s">
        <v>1066</v>
      </c>
      <c r="B1008" s="2">
        <v>46226</v>
      </c>
      <c r="C1008" t="s">
        <v>33</v>
      </c>
      <c r="D1008" t="s">
        <v>34</v>
      </c>
      <c r="E1008" t="s">
        <v>22</v>
      </c>
      <c r="F1008" t="s">
        <v>23</v>
      </c>
      <c r="G1008" t="s">
        <v>31</v>
      </c>
      <c r="H1008" t="s">
        <v>240</v>
      </c>
      <c r="I1008">
        <v>2</v>
      </c>
      <c r="J1008" s="5">
        <v>41620</v>
      </c>
      <c r="K1008" s="5">
        <v>83240</v>
      </c>
      <c r="L1008" s="5">
        <v>12486</v>
      </c>
      <c r="M1008" s="12">
        <v>0.15</v>
      </c>
      <c r="N1008" s="5">
        <f t="shared" si="30"/>
        <v>70754</v>
      </c>
      <c r="O1008" s="5">
        <v>44865.46</v>
      </c>
      <c r="P1008" s="5">
        <f t="shared" si="31"/>
        <v>25888.54</v>
      </c>
      <c r="Q1008" t="s">
        <v>272</v>
      </c>
      <c r="R1008">
        <v>2026</v>
      </c>
      <c r="S1008">
        <v>7</v>
      </c>
    </row>
    <row r="1009" spans="1:19" x14ac:dyDescent="0.3">
      <c r="A1009" s="19" t="s">
        <v>1067</v>
      </c>
      <c r="B1009" s="20">
        <v>46226</v>
      </c>
      <c r="C1009" s="19" t="s">
        <v>82</v>
      </c>
      <c r="D1009" s="19" t="s">
        <v>21</v>
      </c>
      <c r="E1009" s="19" t="s">
        <v>22</v>
      </c>
      <c r="F1009" s="19" t="s">
        <v>35</v>
      </c>
      <c r="G1009" s="19" t="s">
        <v>24</v>
      </c>
      <c r="H1009" s="19" t="s">
        <v>240</v>
      </c>
      <c r="I1009" s="19">
        <v>2</v>
      </c>
      <c r="J1009" s="21">
        <v>47218</v>
      </c>
      <c r="K1009" s="21">
        <v>94436</v>
      </c>
      <c r="L1009" s="21">
        <v>9443.6</v>
      </c>
      <c r="M1009" s="15">
        <v>0.1</v>
      </c>
      <c r="N1009" s="21">
        <f t="shared" si="30"/>
        <v>84992.4</v>
      </c>
      <c r="O1009" s="21">
        <v>63516.78</v>
      </c>
      <c r="P1009" s="21">
        <f t="shared" si="31"/>
        <v>21475.619999999995</v>
      </c>
      <c r="Q1009" s="19" t="s">
        <v>272</v>
      </c>
      <c r="R1009" s="19">
        <v>2026</v>
      </c>
      <c r="S1009" s="19">
        <v>7</v>
      </c>
    </row>
    <row r="1010" spans="1:19" x14ac:dyDescent="0.3">
      <c r="A1010" t="s">
        <v>1068</v>
      </c>
      <c r="B1010" s="2">
        <v>46227</v>
      </c>
      <c r="C1010" t="s">
        <v>71</v>
      </c>
      <c r="D1010" t="s">
        <v>34</v>
      </c>
      <c r="E1010" t="s">
        <v>42</v>
      </c>
      <c r="F1010" t="s">
        <v>35</v>
      </c>
      <c r="G1010" t="s">
        <v>24</v>
      </c>
      <c r="H1010" t="s">
        <v>240</v>
      </c>
      <c r="I1010">
        <v>1</v>
      </c>
      <c r="J1010" s="5">
        <v>50847</v>
      </c>
      <c r="K1010" s="5">
        <v>50847</v>
      </c>
      <c r="L1010" s="5">
        <v>2542.35</v>
      </c>
      <c r="M1010" s="12">
        <v>0.05</v>
      </c>
      <c r="N1010" s="5">
        <f t="shared" si="30"/>
        <v>48304.65</v>
      </c>
      <c r="O1010" s="5">
        <v>24864.15</v>
      </c>
      <c r="P1010" s="5">
        <f t="shared" si="31"/>
        <v>23440.5</v>
      </c>
      <c r="Q1010" t="s">
        <v>272</v>
      </c>
      <c r="R1010">
        <v>2026</v>
      </c>
      <c r="S1010">
        <v>7</v>
      </c>
    </row>
    <row r="1011" spans="1:19" x14ac:dyDescent="0.3">
      <c r="A1011" s="19" t="s">
        <v>1069</v>
      </c>
      <c r="B1011" s="20">
        <v>46227</v>
      </c>
      <c r="C1011" s="19" t="s">
        <v>46</v>
      </c>
      <c r="D1011" s="19" t="s">
        <v>21</v>
      </c>
      <c r="E1011" s="19" t="s">
        <v>22</v>
      </c>
      <c r="F1011" s="19" t="s">
        <v>35</v>
      </c>
      <c r="G1011" s="19" t="s">
        <v>31</v>
      </c>
      <c r="H1011" s="19" t="s">
        <v>25</v>
      </c>
      <c r="I1011" s="19">
        <v>1</v>
      </c>
      <c r="J1011" s="21">
        <v>11374</v>
      </c>
      <c r="K1011" s="21">
        <v>11374</v>
      </c>
      <c r="L1011" s="21">
        <v>0</v>
      </c>
      <c r="M1011" s="15">
        <v>0</v>
      </c>
      <c r="N1011" s="21">
        <f t="shared" si="30"/>
        <v>11374</v>
      </c>
      <c r="O1011" s="21">
        <v>7288.33</v>
      </c>
      <c r="P1011" s="21">
        <f t="shared" si="31"/>
        <v>4085.67</v>
      </c>
      <c r="Q1011" s="19" t="s">
        <v>272</v>
      </c>
      <c r="R1011" s="19">
        <v>2026</v>
      </c>
      <c r="S1011" s="19">
        <v>7</v>
      </c>
    </row>
    <row r="1012" spans="1:19" x14ac:dyDescent="0.3">
      <c r="A1012" t="s">
        <v>1070</v>
      </c>
      <c r="B1012" s="2">
        <v>46227</v>
      </c>
      <c r="C1012" t="s">
        <v>71</v>
      </c>
      <c r="D1012" t="s">
        <v>34</v>
      </c>
      <c r="E1012" t="s">
        <v>56</v>
      </c>
      <c r="F1012" t="s">
        <v>40</v>
      </c>
      <c r="G1012" t="s">
        <v>31</v>
      </c>
      <c r="H1012" t="s">
        <v>25</v>
      </c>
      <c r="I1012">
        <v>2</v>
      </c>
      <c r="J1012" s="5">
        <v>48689</v>
      </c>
      <c r="K1012" s="5">
        <v>97378</v>
      </c>
      <c r="L1012" s="5">
        <v>0</v>
      </c>
      <c r="M1012" s="12">
        <v>0</v>
      </c>
      <c r="N1012" s="5">
        <f t="shared" si="30"/>
        <v>97378</v>
      </c>
      <c r="O1012" s="5">
        <v>57281.4</v>
      </c>
      <c r="P1012" s="5">
        <f t="shared" si="31"/>
        <v>40096.6</v>
      </c>
      <c r="Q1012" t="s">
        <v>272</v>
      </c>
      <c r="R1012">
        <v>2026</v>
      </c>
      <c r="S1012">
        <v>7</v>
      </c>
    </row>
    <row r="1013" spans="1:19" x14ac:dyDescent="0.3">
      <c r="A1013" s="19" t="s">
        <v>1071</v>
      </c>
      <c r="B1013" s="20">
        <v>46228</v>
      </c>
      <c r="C1013" s="19" t="s">
        <v>33</v>
      </c>
      <c r="D1013" s="19" t="s">
        <v>34</v>
      </c>
      <c r="E1013" s="19" t="s">
        <v>42</v>
      </c>
      <c r="F1013" s="19" t="s">
        <v>23</v>
      </c>
      <c r="G1013" s="19" t="s">
        <v>24</v>
      </c>
      <c r="H1013" s="19" t="s">
        <v>240</v>
      </c>
      <c r="I1013" s="19">
        <v>1</v>
      </c>
      <c r="J1013" s="21">
        <v>43631</v>
      </c>
      <c r="K1013" s="21">
        <v>43631</v>
      </c>
      <c r="L1013" s="21">
        <v>6544.65</v>
      </c>
      <c r="M1013" s="15">
        <v>0.15</v>
      </c>
      <c r="N1013" s="21">
        <f t="shared" si="30"/>
        <v>37086.35</v>
      </c>
      <c r="O1013" s="21">
        <v>24493.26</v>
      </c>
      <c r="P1013" s="21">
        <f t="shared" si="31"/>
        <v>12593.09</v>
      </c>
      <c r="Q1013" s="19" t="s">
        <v>272</v>
      </c>
      <c r="R1013" s="19">
        <v>2026</v>
      </c>
      <c r="S1013" s="19">
        <v>7</v>
      </c>
    </row>
    <row r="1014" spans="1:19" x14ac:dyDescent="0.3">
      <c r="A1014" t="s">
        <v>1072</v>
      </c>
      <c r="B1014" s="2">
        <v>46228</v>
      </c>
      <c r="C1014" t="s">
        <v>64</v>
      </c>
      <c r="D1014" t="s">
        <v>29</v>
      </c>
      <c r="E1014" t="s">
        <v>44</v>
      </c>
      <c r="F1014" t="s">
        <v>40</v>
      </c>
      <c r="G1014" t="s">
        <v>24</v>
      </c>
      <c r="H1014" t="s">
        <v>240</v>
      </c>
      <c r="I1014">
        <v>1</v>
      </c>
      <c r="J1014" s="5">
        <v>30144</v>
      </c>
      <c r="K1014" s="5">
        <v>30144</v>
      </c>
      <c r="L1014" s="5">
        <v>6028.8</v>
      </c>
      <c r="M1014" s="12">
        <v>0.2</v>
      </c>
      <c r="N1014" s="5">
        <f t="shared" si="30"/>
        <v>24115.200000000001</v>
      </c>
      <c r="O1014" s="5">
        <v>16694.09</v>
      </c>
      <c r="P1014" s="5">
        <f t="shared" si="31"/>
        <v>7421.1100000000006</v>
      </c>
      <c r="Q1014" t="s">
        <v>272</v>
      </c>
      <c r="R1014">
        <v>2026</v>
      </c>
      <c r="S1014">
        <v>7</v>
      </c>
    </row>
    <row r="1015" spans="1:19" x14ac:dyDescent="0.3">
      <c r="A1015" s="19" t="s">
        <v>1073</v>
      </c>
      <c r="B1015" s="20">
        <v>46230</v>
      </c>
      <c r="C1015" s="19" t="s">
        <v>28</v>
      </c>
      <c r="D1015" s="19" t="s">
        <v>29</v>
      </c>
      <c r="E1015" s="19" t="s">
        <v>22</v>
      </c>
      <c r="F1015" s="19" t="s">
        <v>23</v>
      </c>
      <c r="G1015" s="19" t="s">
        <v>24</v>
      </c>
      <c r="H1015" s="19" t="s">
        <v>240</v>
      </c>
      <c r="I1015" s="19">
        <v>1</v>
      </c>
      <c r="J1015" s="21">
        <v>63975</v>
      </c>
      <c r="K1015" s="21">
        <v>63975</v>
      </c>
      <c r="L1015" s="21">
        <v>6397.5</v>
      </c>
      <c r="M1015" s="15">
        <v>0.1</v>
      </c>
      <c r="N1015" s="21">
        <f t="shared" si="30"/>
        <v>57577.5</v>
      </c>
      <c r="O1015" s="21">
        <v>43091</v>
      </c>
      <c r="P1015" s="21">
        <f t="shared" si="31"/>
        <v>14486.5</v>
      </c>
      <c r="Q1015" s="19" t="s">
        <v>272</v>
      </c>
      <c r="R1015" s="19">
        <v>2026</v>
      </c>
      <c r="S1015" s="19">
        <v>7</v>
      </c>
    </row>
    <row r="1016" spans="1:19" x14ac:dyDescent="0.3">
      <c r="A1016" t="s">
        <v>1074</v>
      </c>
      <c r="B1016" s="2">
        <v>46230</v>
      </c>
      <c r="C1016" t="s">
        <v>50</v>
      </c>
      <c r="D1016" t="s">
        <v>34</v>
      </c>
      <c r="E1016" t="s">
        <v>44</v>
      </c>
      <c r="F1016" t="s">
        <v>40</v>
      </c>
      <c r="G1016" t="s">
        <v>24</v>
      </c>
      <c r="H1016" t="s">
        <v>25</v>
      </c>
      <c r="I1016">
        <v>2</v>
      </c>
      <c r="J1016" s="5">
        <v>18929</v>
      </c>
      <c r="K1016" s="5">
        <v>37858</v>
      </c>
      <c r="L1016" s="5">
        <v>1892.9</v>
      </c>
      <c r="M1016" s="12">
        <v>0.05</v>
      </c>
      <c r="N1016" s="5">
        <f t="shared" si="30"/>
        <v>35965.1</v>
      </c>
      <c r="O1016" s="5">
        <v>23480.6</v>
      </c>
      <c r="P1016" s="5">
        <f t="shared" si="31"/>
        <v>12484.5</v>
      </c>
      <c r="Q1016" t="s">
        <v>272</v>
      </c>
      <c r="R1016">
        <v>2026</v>
      </c>
      <c r="S1016">
        <v>7</v>
      </c>
    </row>
    <row r="1017" spans="1:19" x14ac:dyDescent="0.3">
      <c r="A1017" s="19" t="s">
        <v>1075</v>
      </c>
      <c r="B1017" s="20">
        <v>46230</v>
      </c>
      <c r="C1017" s="19" t="s">
        <v>71</v>
      </c>
      <c r="D1017" s="19" t="s">
        <v>34</v>
      </c>
      <c r="E1017" s="19" t="s">
        <v>42</v>
      </c>
      <c r="F1017" s="19" t="s">
        <v>30</v>
      </c>
      <c r="G1017" s="19" t="s">
        <v>31</v>
      </c>
      <c r="H1017" s="19" t="s">
        <v>25</v>
      </c>
      <c r="I1017" s="19">
        <v>1</v>
      </c>
      <c r="J1017" s="21">
        <v>46271</v>
      </c>
      <c r="K1017" s="21">
        <v>46271</v>
      </c>
      <c r="L1017" s="21">
        <v>0</v>
      </c>
      <c r="M1017" s="15">
        <v>0</v>
      </c>
      <c r="N1017" s="21">
        <f t="shared" si="30"/>
        <v>46271</v>
      </c>
      <c r="O1017" s="21">
        <v>26522.02</v>
      </c>
      <c r="P1017" s="21">
        <f t="shared" si="31"/>
        <v>19748.98</v>
      </c>
      <c r="Q1017" s="19" t="s">
        <v>272</v>
      </c>
      <c r="R1017" s="19">
        <v>2026</v>
      </c>
      <c r="S1017" s="19">
        <v>7</v>
      </c>
    </row>
    <row r="1018" spans="1:19" x14ac:dyDescent="0.3">
      <c r="A1018" t="s">
        <v>1076</v>
      </c>
      <c r="B1018" s="2">
        <v>46231</v>
      </c>
      <c r="C1018" t="s">
        <v>28</v>
      </c>
      <c r="D1018" t="s">
        <v>29</v>
      </c>
      <c r="E1018" t="s">
        <v>42</v>
      </c>
      <c r="F1018" t="s">
        <v>30</v>
      </c>
      <c r="G1018" t="s">
        <v>31</v>
      </c>
      <c r="H1018" t="s">
        <v>240</v>
      </c>
      <c r="I1018">
        <v>1</v>
      </c>
      <c r="J1018" s="5">
        <v>62220</v>
      </c>
      <c r="K1018" s="5">
        <v>62220</v>
      </c>
      <c r="L1018" s="5">
        <v>6222</v>
      </c>
      <c r="M1018" s="12">
        <v>0.1</v>
      </c>
      <c r="N1018" s="5">
        <f t="shared" si="30"/>
        <v>55998</v>
      </c>
      <c r="O1018" s="5">
        <v>40722.559999999998</v>
      </c>
      <c r="P1018" s="5">
        <f t="shared" si="31"/>
        <v>15275.440000000002</v>
      </c>
      <c r="Q1018" t="s">
        <v>272</v>
      </c>
      <c r="R1018">
        <v>2026</v>
      </c>
      <c r="S1018">
        <v>7</v>
      </c>
    </row>
    <row r="1019" spans="1:19" x14ac:dyDescent="0.3">
      <c r="A1019" s="19" t="s">
        <v>1077</v>
      </c>
      <c r="B1019" s="20">
        <v>46235</v>
      </c>
      <c r="C1019" s="19" t="s">
        <v>33</v>
      </c>
      <c r="D1019" s="19" t="s">
        <v>34</v>
      </c>
      <c r="E1019" s="19" t="s">
        <v>56</v>
      </c>
      <c r="F1019" s="19" t="s">
        <v>40</v>
      </c>
      <c r="G1019" s="19" t="s">
        <v>24</v>
      </c>
      <c r="H1019" s="19" t="s">
        <v>25</v>
      </c>
      <c r="I1019" s="19">
        <v>1</v>
      </c>
      <c r="J1019" s="21">
        <v>43659</v>
      </c>
      <c r="K1019" s="21">
        <v>43659</v>
      </c>
      <c r="L1019" s="21">
        <v>0</v>
      </c>
      <c r="M1019" s="15">
        <v>0</v>
      </c>
      <c r="N1019" s="21">
        <f t="shared" si="30"/>
        <v>43659</v>
      </c>
      <c r="O1019" s="21">
        <v>29322.46</v>
      </c>
      <c r="P1019" s="21">
        <f t="shared" si="31"/>
        <v>14336.54</v>
      </c>
      <c r="Q1019" s="19" t="s">
        <v>300</v>
      </c>
      <c r="R1019" s="19">
        <v>2026</v>
      </c>
      <c r="S1019" s="19">
        <v>8</v>
      </c>
    </row>
    <row r="1020" spans="1:19" x14ac:dyDescent="0.3">
      <c r="A1020" t="s">
        <v>1078</v>
      </c>
      <c r="B1020" s="2">
        <v>46237</v>
      </c>
      <c r="C1020" t="s">
        <v>75</v>
      </c>
      <c r="D1020" t="s">
        <v>34</v>
      </c>
      <c r="E1020" t="s">
        <v>22</v>
      </c>
      <c r="F1020" t="s">
        <v>40</v>
      </c>
      <c r="G1020" t="s">
        <v>31</v>
      </c>
      <c r="H1020" t="s">
        <v>25</v>
      </c>
      <c r="I1020">
        <v>3</v>
      </c>
      <c r="J1020" s="5">
        <v>40980</v>
      </c>
      <c r="K1020" s="5">
        <v>122940</v>
      </c>
      <c r="L1020" s="5">
        <v>0</v>
      </c>
      <c r="M1020" s="12">
        <v>0</v>
      </c>
      <c r="N1020" s="5">
        <f t="shared" si="30"/>
        <v>122940</v>
      </c>
      <c r="O1020" s="5">
        <v>68132.7</v>
      </c>
      <c r="P1020" s="5">
        <f t="shared" si="31"/>
        <v>54807.3</v>
      </c>
      <c r="Q1020" t="s">
        <v>300</v>
      </c>
      <c r="R1020">
        <v>2026</v>
      </c>
      <c r="S1020">
        <v>8</v>
      </c>
    </row>
    <row r="1021" spans="1:19" x14ac:dyDescent="0.3">
      <c r="A1021" s="19" t="s">
        <v>1079</v>
      </c>
      <c r="B1021" s="20">
        <v>46238</v>
      </c>
      <c r="C1021" s="19" t="s">
        <v>28</v>
      </c>
      <c r="D1021" s="19" t="s">
        <v>29</v>
      </c>
      <c r="E1021" s="19" t="s">
        <v>42</v>
      </c>
      <c r="F1021" s="19" t="s">
        <v>40</v>
      </c>
      <c r="G1021" s="19" t="s">
        <v>24</v>
      </c>
      <c r="H1021" s="19" t="s">
        <v>25</v>
      </c>
      <c r="I1021" s="19">
        <v>2</v>
      </c>
      <c r="J1021" s="21">
        <v>64451</v>
      </c>
      <c r="K1021" s="21">
        <v>128902</v>
      </c>
      <c r="L1021" s="21">
        <v>0</v>
      </c>
      <c r="M1021" s="15">
        <v>0</v>
      </c>
      <c r="N1021" s="21">
        <f t="shared" si="30"/>
        <v>128902</v>
      </c>
      <c r="O1021" s="21">
        <v>74320</v>
      </c>
      <c r="P1021" s="21">
        <f t="shared" si="31"/>
        <v>54582</v>
      </c>
      <c r="Q1021" s="19" t="s">
        <v>300</v>
      </c>
      <c r="R1021" s="19">
        <v>2026</v>
      </c>
      <c r="S1021" s="19">
        <v>8</v>
      </c>
    </row>
    <row r="1022" spans="1:19" x14ac:dyDescent="0.3">
      <c r="A1022" t="s">
        <v>1080</v>
      </c>
      <c r="B1022" s="2">
        <v>46238</v>
      </c>
      <c r="C1022" t="s">
        <v>48</v>
      </c>
      <c r="D1022" t="s">
        <v>34</v>
      </c>
      <c r="E1022" t="s">
        <v>22</v>
      </c>
      <c r="F1022" t="s">
        <v>37</v>
      </c>
      <c r="G1022" t="s">
        <v>31</v>
      </c>
      <c r="H1022" t="s">
        <v>25</v>
      </c>
      <c r="I1022">
        <v>1</v>
      </c>
      <c r="J1022" s="5">
        <v>25875</v>
      </c>
      <c r="K1022" s="5">
        <v>25875</v>
      </c>
      <c r="L1022" s="5">
        <v>0</v>
      </c>
      <c r="M1022" s="12">
        <v>0</v>
      </c>
      <c r="N1022" s="5">
        <f t="shared" si="30"/>
        <v>25875</v>
      </c>
      <c r="O1022" s="5">
        <v>17162.48</v>
      </c>
      <c r="P1022" s="5">
        <f t="shared" si="31"/>
        <v>8712.52</v>
      </c>
      <c r="Q1022" t="s">
        <v>300</v>
      </c>
      <c r="R1022">
        <v>2026</v>
      </c>
      <c r="S1022">
        <v>8</v>
      </c>
    </row>
    <row r="1023" spans="1:19" x14ac:dyDescent="0.3">
      <c r="A1023" s="19" t="s">
        <v>1081</v>
      </c>
      <c r="B1023" s="20">
        <v>46239</v>
      </c>
      <c r="C1023" s="19" t="s">
        <v>28</v>
      </c>
      <c r="D1023" s="19" t="s">
        <v>29</v>
      </c>
      <c r="E1023" s="19" t="s">
        <v>22</v>
      </c>
      <c r="F1023" s="19" t="s">
        <v>23</v>
      </c>
      <c r="G1023" s="19" t="s">
        <v>31</v>
      </c>
      <c r="H1023" s="19" t="s">
        <v>25</v>
      </c>
      <c r="I1023" s="19">
        <v>1</v>
      </c>
      <c r="J1023" s="21">
        <v>59887</v>
      </c>
      <c r="K1023" s="21">
        <v>59887</v>
      </c>
      <c r="L1023" s="21">
        <v>0</v>
      </c>
      <c r="M1023" s="15">
        <v>0</v>
      </c>
      <c r="N1023" s="21">
        <f t="shared" si="30"/>
        <v>59887</v>
      </c>
      <c r="O1023" s="21">
        <v>30256.94</v>
      </c>
      <c r="P1023" s="21">
        <f t="shared" si="31"/>
        <v>29630.06</v>
      </c>
      <c r="Q1023" s="19" t="s">
        <v>300</v>
      </c>
      <c r="R1023" s="19">
        <v>2026</v>
      </c>
      <c r="S1023" s="19">
        <v>8</v>
      </c>
    </row>
    <row r="1024" spans="1:19" x14ac:dyDescent="0.3">
      <c r="A1024" t="s">
        <v>1082</v>
      </c>
      <c r="B1024" s="2">
        <v>46239</v>
      </c>
      <c r="C1024" t="s">
        <v>82</v>
      </c>
      <c r="D1024" t="s">
        <v>21</v>
      </c>
      <c r="E1024" t="s">
        <v>44</v>
      </c>
      <c r="F1024" t="s">
        <v>35</v>
      </c>
      <c r="G1024" t="s">
        <v>31</v>
      </c>
      <c r="H1024" t="s">
        <v>25</v>
      </c>
      <c r="I1024">
        <v>4</v>
      </c>
      <c r="J1024" s="5">
        <v>43791</v>
      </c>
      <c r="K1024" s="5">
        <v>175164</v>
      </c>
      <c r="L1024" s="5">
        <v>0</v>
      </c>
      <c r="M1024" s="12">
        <v>0</v>
      </c>
      <c r="N1024" s="5">
        <f t="shared" si="30"/>
        <v>175164</v>
      </c>
      <c r="O1024" s="5">
        <v>110889.89</v>
      </c>
      <c r="P1024" s="5">
        <f t="shared" si="31"/>
        <v>64274.11</v>
      </c>
      <c r="Q1024" t="s">
        <v>300</v>
      </c>
      <c r="R1024">
        <v>2026</v>
      </c>
      <c r="S1024">
        <v>8</v>
      </c>
    </row>
    <row r="1025" spans="1:19" x14ac:dyDescent="0.3">
      <c r="A1025" s="19" t="s">
        <v>1083</v>
      </c>
      <c r="B1025" s="20">
        <v>46240</v>
      </c>
      <c r="C1025" s="19" t="s">
        <v>28</v>
      </c>
      <c r="D1025" s="19" t="s">
        <v>29</v>
      </c>
      <c r="E1025" s="19" t="s">
        <v>22</v>
      </c>
      <c r="F1025" s="19" t="s">
        <v>30</v>
      </c>
      <c r="G1025" s="19" t="s">
        <v>24</v>
      </c>
      <c r="H1025" s="19" t="s">
        <v>25</v>
      </c>
      <c r="I1025" s="19">
        <v>1</v>
      </c>
      <c r="J1025" s="21">
        <v>70176</v>
      </c>
      <c r="K1025" s="21">
        <v>70176</v>
      </c>
      <c r="L1025" s="21">
        <v>3508.8</v>
      </c>
      <c r="M1025" s="15">
        <v>0.05</v>
      </c>
      <c r="N1025" s="21">
        <f t="shared" si="30"/>
        <v>66667.199999999997</v>
      </c>
      <c r="O1025" s="21">
        <v>45505.62</v>
      </c>
      <c r="P1025" s="21">
        <f t="shared" si="31"/>
        <v>21161.579999999994</v>
      </c>
      <c r="Q1025" s="19" t="s">
        <v>300</v>
      </c>
      <c r="R1025" s="19">
        <v>2026</v>
      </c>
      <c r="S1025" s="19">
        <v>8</v>
      </c>
    </row>
    <row r="1026" spans="1:19" x14ac:dyDescent="0.3">
      <c r="A1026" t="s">
        <v>1084</v>
      </c>
      <c r="B1026" s="2">
        <v>46242</v>
      </c>
      <c r="C1026" t="s">
        <v>46</v>
      </c>
      <c r="D1026" t="s">
        <v>21</v>
      </c>
      <c r="E1026" t="s">
        <v>42</v>
      </c>
      <c r="F1026" t="s">
        <v>40</v>
      </c>
      <c r="G1026" t="s">
        <v>31</v>
      </c>
      <c r="H1026" t="s">
        <v>25</v>
      </c>
      <c r="I1026">
        <v>1</v>
      </c>
      <c r="J1026" s="5">
        <v>11417</v>
      </c>
      <c r="K1026" s="5">
        <v>11417</v>
      </c>
      <c r="L1026" s="5">
        <v>0</v>
      </c>
      <c r="M1026" s="12">
        <v>0</v>
      </c>
      <c r="N1026" s="5">
        <f t="shared" si="30"/>
        <v>11417</v>
      </c>
      <c r="O1026" s="5">
        <v>5876.49</v>
      </c>
      <c r="P1026" s="5">
        <f t="shared" si="31"/>
        <v>5540.51</v>
      </c>
      <c r="Q1026" t="s">
        <v>300</v>
      </c>
      <c r="R1026">
        <v>2026</v>
      </c>
      <c r="S1026">
        <v>8</v>
      </c>
    </row>
    <row r="1027" spans="1:19" x14ac:dyDescent="0.3">
      <c r="A1027" s="19" t="s">
        <v>1085</v>
      </c>
      <c r="B1027" s="20">
        <v>46243</v>
      </c>
      <c r="C1027" s="19" t="s">
        <v>33</v>
      </c>
      <c r="D1027" s="19" t="s">
        <v>34</v>
      </c>
      <c r="E1027" s="19" t="s">
        <v>42</v>
      </c>
      <c r="F1027" s="19" t="s">
        <v>23</v>
      </c>
      <c r="G1027" s="19" t="s">
        <v>24</v>
      </c>
      <c r="H1027" s="19" t="s">
        <v>25</v>
      </c>
      <c r="I1027" s="19">
        <v>5</v>
      </c>
      <c r="J1027" s="21">
        <v>42657</v>
      </c>
      <c r="K1027" s="21">
        <v>213285</v>
      </c>
      <c r="L1027" s="21">
        <v>0</v>
      </c>
      <c r="M1027" s="15">
        <v>0</v>
      </c>
      <c r="N1027" s="21">
        <f t="shared" ref="N1027:N1090" si="32">K1027-L1027</f>
        <v>213285</v>
      </c>
      <c r="O1027" s="21">
        <v>116836.8</v>
      </c>
      <c r="P1027" s="21">
        <f t="shared" si="31"/>
        <v>96448.2</v>
      </c>
      <c r="Q1027" s="19" t="s">
        <v>300</v>
      </c>
      <c r="R1027" s="19">
        <v>2026</v>
      </c>
      <c r="S1027" s="19">
        <v>8</v>
      </c>
    </row>
    <row r="1028" spans="1:19" x14ac:dyDescent="0.3">
      <c r="A1028" t="s">
        <v>1086</v>
      </c>
      <c r="B1028" s="2">
        <v>46243</v>
      </c>
      <c r="C1028" t="s">
        <v>82</v>
      </c>
      <c r="D1028" t="s">
        <v>21</v>
      </c>
      <c r="E1028" t="s">
        <v>22</v>
      </c>
      <c r="F1028" t="s">
        <v>40</v>
      </c>
      <c r="G1028" t="s">
        <v>24</v>
      </c>
      <c r="H1028" t="s">
        <v>25</v>
      </c>
      <c r="I1028">
        <v>1</v>
      </c>
      <c r="J1028" s="5">
        <v>44728</v>
      </c>
      <c r="K1028" s="5">
        <v>44728</v>
      </c>
      <c r="L1028" s="5">
        <v>0</v>
      </c>
      <c r="M1028" s="12">
        <v>0</v>
      </c>
      <c r="N1028" s="5">
        <f t="shared" si="32"/>
        <v>44728</v>
      </c>
      <c r="O1028" s="5">
        <v>23763.49</v>
      </c>
      <c r="P1028" s="5">
        <f t="shared" ref="P1028:P1091" si="33">N1028-O1028</f>
        <v>20964.509999999998</v>
      </c>
      <c r="Q1028" t="s">
        <v>300</v>
      </c>
      <c r="R1028">
        <v>2026</v>
      </c>
      <c r="S1028">
        <v>8</v>
      </c>
    </row>
    <row r="1029" spans="1:19" x14ac:dyDescent="0.3">
      <c r="A1029" s="19" t="s">
        <v>1087</v>
      </c>
      <c r="B1029" s="20">
        <v>46243</v>
      </c>
      <c r="C1029" s="19" t="s">
        <v>28</v>
      </c>
      <c r="D1029" s="19" t="s">
        <v>29</v>
      </c>
      <c r="E1029" s="19" t="s">
        <v>22</v>
      </c>
      <c r="F1029" s="19" t="s">
        <v>40</v>
      </c>
      <c r="G1029" s="19" t="s">
        <v>31</v>
      </c>
      <c r="H1029" s="19" t="s">
        <v>25</v>
      </c>
      <c r="I1029" s="19">
        <v>1</v>
      </c>
      <c r="J1029" s="21">
        <v>65512</v>
      </c>
      <c r="K1029" s="21">
        <v>65512</v>
      </c>
      <c r="L1029" s="21">
        <v>0</v>
      </c>
      <c r="M1029" s="15">
        <v>0</v>
      </c>
      <c r="N1029" s="21">
        <f t="shared" si="32"/>
        <v>65512</v>
      </c>
      <c r="O1029" s="21">
        <v>40365.300000000003</v>
      </c>
      <c r="P1029" s="21">
        <f t="shared" si="33"/>
        <v>25146.699999999997</v>
      </c>
      <c r="Q1029" s="19" t="s">
        <v>300</v>
      </c>
      <c r="R1029" s="19">
        <v>2026</v>
      </c>
      <c r="S1029" s="19">
        <v>8</v>
      </c>
    </row>
    <row r="1030" spans="1:19" x14ac:dyDescent="0.3">
      <c r="A1030" t="s">
        <v>1088</v>
      </c>
      <c r="B1030" s="2">
        <v>46245</v>
      </c>
      <c r="C1030" t="s">
        <v>50</v>
      </c>
      <c r="D1030" t="s">
        <v>34</v>
      </c>
      <c r="E1030" t="s">
        <v>44</v>
      </c>
      <c r="F1030" t="s">
        <v>40</v>
      </c>
      <c r="G1030" t="s">
        <v>31</v>
      </c>
      <c r="H1030" t="s">
        <v>25</v>
      </c>
      <c r="I1030">
        <v>1</v>
      </c>
      <c r="J1030" s="5">
        <v>17825</v>
      </c>
      <c r="K1030" s="5">
        <v>17825</v>
      </c>
      <c r="L1030" s="5">
        <v>0</v>
      </c>
      <c r="M1030" s="12">
        <v>0</v>
      </c>
      <c r="N1030" s="5">
        <f t="shared" si="32"/>
        <v>17825</v>
      </c>
      <c r="O1030" s="5">
        <v>9478.59</v>
      </c>
      <c r="P1030" s="5">
        <f t="shared" si="33"/>
        <v>8346.41</v>
      </c>
      <c r="Q1030" t="s">
        <v>300</v>
      </c>
      <c r="R1030">
        <v>2026</v>
      </c>
      <c r="S1030">
        <v>8</v>
      </c>
    </row>
    <row r="1031" spans="1:19" x14ac:dyDescent="0.3">
      <c r="A1031" s="19" t="s">
        <v>1089</v>
      </c>
      <c r="B1031" s="20">
        <v>46246</v>
      </c>
      <c r="C1031" s="19" t="s">
        <v>64</v>
      </c>
      <c r="D1031" s="19" t="s">
        <v>29</v>
      </c>
      <c r="E1031" s="19" t="s">
        <v>56</v>
      </c>
      <c r="F1031" s="19" t="s">
        <v>40</v>
      </c>
      <c r="G1031" s="19" t="s">
        <v>24</v>
      </c>
      <c r="H1031" s="19" t="s">
        <v>25</v>
      </c>
      <c r="I1031" s="19">
        <v>1</v>
      </c>
      <c r="J1031" s="21">
        <v>29451</v>
      </c>
      <c r="K1031" s="21">
        <v>29451</v>
      </c>
      <c r="L1031" s="21">
        <v>2945.1</v>
      </c>
      <c r="M1031" s="15">
        <v>0.1</v>
      </c>
      <c r="N1031" s="21">
        <f t="shared" si="32"/>
        <v>26505.9</v>
      </c>
      <c r="O1031" s="21">
        <v>14545.9</v>
      </c>
      <c r="P1031" s="21">
        <f t="shared" si="33"/>
        <v>11960.000000000002</v>
      </c>
      <c r="Q1031" s="19" t="s">
        <v>300</v>
      </c>
      <c r="R1031" s="19">
        <v>2026</v>
      </c>
      <c r="S1031" s="19">
        <v>8</v>
      </c>
    </row>
    <row r="1032" spans="1:19" x14ac:dyDescent="0.3">
      <c r="A1032" t="s">
        <v>1090</v>
      </c>
      <c r="B1032" s="2">
        <v>46246</v>
      </c>
      <c r="C1032" t="s">
        <v>82</v>
      </c>
      <c r="D1032" t="s">
        <v>21</v>
      </c>
      <c r="E1032" t="s">
        <v>22</v>
      </c>
      <c r="F1032" t="s">
        <v>37</v>
      </c>
      <c r="G1032" t="s">
        <v>31</v>
      </c>
      <c r="H1032" t="s">
        <v>25</v>
      </c>
      <c r="I1032">
        <v>3</v>
      </c>
      <c r="J1032" s="5">
        <v>47039</v>
      </c>
      <c r="K1032" s="5">
        <v>141117</v>
      </c>
      <c r="L1032" s="5">
        <v>0</v>
      </c>
      <c r="M1032" s="12">
        <v>0</v>
      </c>
      <c r="N1032" s="5">
        <f t="shared" si="32"/>
        <v>141117</v>
      </c>
      <c r="O1032" s="5">
        <v>74848.62</v>
      </c>
      <c r="P1032" s="5">
        <f t="shared" si="33"/>
        <v>66268.38</v>
      </c>
      <c r="Q1032" t="s">
        <v>300</v>
      </c>
      <c r="R1032">
        <v>2026</v>
      </c>
      <c r="S1032">
        <v>8</v>
      </c>
    </row>
    <row r="1033" spans="1:19" x14ac:dyDescent="0.3">
      <c r="A1033" s="19" t="s">
        <v>1091</v>
      </c>
      <c r="B1033" s="20">
        <v>46246</v>
      </c>
      <c r="C1033" s="19" t="s">
        <v>82</v>
      </c>
      <c r="D1033" s="19" t="s">
        <v>21</v>
      </c>
      <c r="E1033" s="19" t="s">
        <v>22</v>
      </c>
      <c r="F1033" s="19" t="s">
        <v>35</v>
      </c>
      <c r="G1033" s="19" t="s">
        <v>24</v>
      </c>
      <c r="H1033" s="19" t="s">
        <v>25</v>
      </c>
      <c r="I1033" s="19">
        <v>1</v>
      </c>
      <c r="J1033" s="21">
        <v>46086</v>
      </c>
      <c r="K1033" s="21">
        <v>46086</v>
      </c>
      <c r="L1033" s="21">
        <v>0</v>
      </c>
      <c r="M1033" s="15">
        <v>0</v>
      </c>
      <c r="N1033" s="21">
        <f t="shared" si="32"/>
        <v>46086</v>
      </c>
      <c r="O1033" s="21">
        <v>27294.83</v>
      </c>
      <c r="P1033" s="21">
        <f t="shared" si="33"/>
        <v>18791.169999999998</v>
      </c>
      <c r="Q1033" s="19" t="s">
        <v>300</v>
      </c>
      <c r="R1033" s="19">
        <v>2026</v>
      </c>
      <c r="S1033" s="19">
        <v>8</v>
      </c>
    </row>
    <row r="1034" spans="1:19" x14ac:dyDescent="0.3">
      <c r="A1034" t="s">
        <v>1092</v>
      </c>
      <c r="B1034" s="2">
        <v>46246</v>
      </c>
      <c r="C1034" t="s">
        <v>82</v>
      </c>
      <c r="D1034" t="s">
        <v>21</v>
      </c>
      <c r="E1034" t="s">
        <v>44</v>
      </c>
      <c r="F1034" t="s">
        <v>23</v>
      </c>
      <c r="G1034" t="s">
        <v>24</v>
      </c>
      <c r="H1034" t="s">
        <v>25</v>
      </c>
      <c r="I1034">
        <v>2</v>
      </c>
      <c r="J1034" s="5">
        <v>42554</v>
      </c>
      <c r="K1034" s="5">
        <v>85108</v>
      </c>
      <c r="L1034" s="5">
        <v>0</v>
      </c>
      <c r="M1034" s="12">
        <v>0</v>
      </c>
      <c r="N1034" s="5">
        <f t="shared" si="32"/>
        <v>85108</v>
      </c>
      <c r="O1034" s="5">
        <v>43903.02</v>
      </c>
      <c r="P1034" s="5">
        <f t="shared" si="33"/>
        <v>41204.980000000003</v>
      </c>
      <c r="Q1034" t="s">
        <v>300</v>
      </c>
      <c r="R1034">
        <v>2026</v>
      </c>
      <c r="S1034">
        <v>8</v>
      </c>
    </row>
    <row r="1035" spans="1:19" x14ac:dyDescent="0.3">
      <c r="A1035" s="19" t="s">
        <v>1093</v>
      </c>
      <c r="B1035" s="20">
        <v>46247</v>
      </c>
      <c r="C1035" s="19" t="s">
        <v>20</v>
      </c>
      <c r="D1035" s="19" t="s">
        <v>21</v>
      </c>
      <c r="E1035" s="19" t="s">
        <v>22</v>
      </c>
      <c r="F1035" s="19" t="s">
        <v>40</v>
      </c>
      <c r="G1035" s="19" t="s">
        <v>31</v>
      </c>
      <c r="H1035" s="19" t="s">
        <v>25</v>
      </c>
      <c r="I1035" s="19">
        <v>2</v>
      </c>
      <c r="J1035" s="21">
        <v>15224</v>
      </c>
      <c r="K1035" s="21">
        <v>30448</v>
      </c>
      <c r="L1035" s="21">
        <v>0</v>
      </c>
      <c r="M1035" s="15">
        <v>0</v>
      </c>
      <c r="N1035" s="21">
        <f t="shared" si="32"/>
        <v>30448</v>
      </c>
      <c r="O1035" s="21">
        <v>18552.61</v>
      </c>
      <c r="P1035" s="21">
        <f t="shared" si="33"/>
        <v>11895.39</v>
      </c>
      <c r="Q1035" s="19" t="s">
        <v>300</v>
      </c>
      <c r="R1035" s="19">
        <v>2026</v>
      </c>
      <c r="S1035" s="19">
        <v>8</v>
      </c>
    </row>
    <row r="1036" spans="1:19" x14ac:dyDescent="0.3">
      <c r="A1036" t="s">
        <v>1094</v>
      </c>
      <c r="B1036" s="2">
        <v>46247</v>
      </c>
      <c r="C1036" t="s">
        <v>28</v>
      </c>
      <c r="D1036" t="s">
        <v>29</v>
      </c>
      <c r="E1036" t="s">
        <v>42</v>
      </c>
      <c r="F1036" t="s">
        <v>23</v>
      </c>
      <c r="G1036" t="s">
        <v>31</v>
      </c>
      <c r="H1036" t="s">
        <v>25</v>
      </c>
      <c r="I1036">
        <v>2</v>
      </c>
      <c r="J1036" s="5">
        <v>66876</v>
      </c>
      <c r="K1036" s="5">
        <v>133752</v>
      </c>
      <c r="L1036" s="5">
        <v>13375.2</v>
      </c>
      <c r="M1036" s="12">
        <v>0.1</v>
      </c>
      <c r="N1036" s="5">
        <f t="shared" si="32"/>
        <v>120376.8</v>
      </c>
      <c r="O1036" s="5">
        <v>90274.57</v>
      </c>
      <c r="P1036" s="5">
        <f t="shared" si="33"/>
        <v>30102.229999999996</v>
      </c>
      <c r="Q1036" t="s">
        <v>300</v>
      </c>
      <c r="R1036">
        <v>2026</v>
      </c>
      <c r="S1036">
        <v>8</v>
      </c>
    </row>
    <row r="1037" spans="1:19" x14ac:dyDescent="0.3">
      <c r="A1037" s="19" t="s">
        <v>1095</v>
      </c>
      <c r="B1037" s="20">
        <v>46248</v>
      </c>
      <c r="C1037" s="19" t="s">
        <v>50</v>
      </c>
      <c r="D1037" s="19" t="s">
        <v>34</v>
      </c>
      <c r="E1037" s="19" t="s">
        <v>42</v>
      </c>
      <c r="F1037" s="19" t="s">
        <v>40</v>
      </c>
      <c r="G1037" s="19" t="s">
        <v>24</v>
      </c>
      <c r="H1037" s="19" t="s">
        <v>25</v>
      </c>
      <c r="I1037" s="19">
        <v>1</v>
      </c>
      <c r="J1037" s="21">
        <v>16600</v>
      </c>
      <c r="K1037" s="21">
        <v>16600</v>
      </c>
      <c r="L1037" s="21">
        <v>0</v>
      </c>
      <c r="M1037" s="15">
        <v>0</v>
      </c>
      <c r="N1037" s="21">
        <f t="shared" si="32"/>
        <v>16600</v>
      </c>
      <c r="O1037" s="21">
        <v>10664.82</v>
      </c>
      <c r="P1037" s="21">
        <f t="shared" si="33"/>
        <v>5935.18</v>
      </c>
      <c r="Q1037" s="19" t="s">
        <v>300</v>
      </c>
      <c r="R1037" s="19">
        <v>2026</v>
      </c>
      <c r="S1037" s="19">
        <v>8</v>
      </c>
    </row>
    <row r="1038" spans="1:19" x14ac:dyDescent="0.3">
      <c r="A1038" t="s">
        <v>1096</v>
      </c>
      <c r="B1038" s="2">
        <v>46248</v>
      </c>
      <c r="C1038" t="s">
        <v>20</v>
      </c>
      <c r="D1038" t="s">
        <v>21</v>
      </c>
      <c r="E1038" t="s">
        <v>22</v>
      </c>
      <c r="F1038" t="s">
        <v>35</v>
      </c>
      <c r="G1038" t="s">
        <v>24</v>
      </c>
      <c r="H1038" t="s">
        <v>25</v>
      </c>
      <c r="I1038">
        <v>1</v>
      </c>
      <c r="J1038" s="5">
        <v>16102</v>
      </c>
      <c r="K1038" s="5">
        <v>16102</v>
      </c>
      <c r="L1038" s="5">
        <v>0</v>
      </c>
      <c r="M1038" s="12">
        <v>0</v>
      </c>
      <c r="N1038" s="5">
        <f t="shared" si="32"/>
        <v>16102</v>
      </c>
      <c r="O1038" s="5">
        <v>8012.85</v>
      </c>
      <c r="P1038" s="5">
        <f t="shared" si="33"/>
        <v>8089.15</v>
      </c>
      <c r="Q1038" t="s">
        <v>300</v>
      </c>
      <c r="R1038">
        <v>2026</v>
      </c>
      <c r="S1038">
        <v>8</v>
      </c>
    </row>
    <row r="1039" spans="1:19" x14ac:dyDescent="0.3">
      <c r="A1039" s="19" t="s">
        <v>1097</v>
      </c>
      <c r="B1039" s="20">
        <v>46248</v>
      </c>
      <c r="C1039" s="19" t="s">
        <v>50</v>
      </c>
      <c r="D1039" s="19" t="s">
        <v>34</v>
      </c>
      <c r="E1039" s="19" t="s">
        <v>22</v>
      </c>
      <c r="F1039" s="19" t="s">
        <v>35</v>
      </c>
      <c r="G1039" s="19" t="s">
        <v>24</v>
      </c>
      <c r="H1039" s="19" t="s">
        <v>25</v>
      </c>
      <c r="I1039" s="19">
        <v>1</v>
      </c>
      <c r="J1039" s="21">
        <v>18916</v>
      </c>
      <c r="K1039" s="21">
        <v>18916</v>
      </c>
      <c r="L1039" s="21">
        <v>0</v>
      </c>
      <c r="M1039" s="15">
        <v>0</v>
      </c>
      <c r="N1039" s="21">
        <f t="shared" si="32"/>
        <v>18916</v>
      </c>
      <c r="O1039" s="21">
        <v>12528.15</v>
      </c>
      <c r="P1039" s="21">
        <f t="shared" si="33"/>
        <v>6387.85</v>
      </c>
      <c r="Q1039" s="19" t="s">
        <v>300</v>
      </c>
      <c r="R1039" s="19">
        <v>2026</v>
      </c>
      <c r="S1039" s="19">
        <v>8</v>
      </c>
    </row>
    <row r="1040" spans="1:19" x14ac:dyDescent="0.3">
      <c r="A1040" t="s">
        <v>1098</v>
      </c>
      <c r="B1040" s="2">
        <v>46249</v>
      </c>
      <c r="C1040" t="s">
        <v>33</v>
      </c>
      <c r="D1040" t="s">
        <v>34</v>
      </c>
      <c r="E1040" t="s">
        <v>44</v>
      </c>
      <c r="F1040" t="s">
        <v>37</v>
      </c>
      <c r="G1040" t="s">
        <v>24</v>
      </c>
      <c r="H1040" t="s">
        <v>25</v>
      </c>
      <c r="I1040">
        <v>1</v>
      </c>
      <c r="J1040" s="5">
        <v>44166</v>
      </c>
      <c r="K1040" s="5">
        <v>44166</v>
      </c>
      <c r="L1040" s="5">
        <v>4416.6000000000004</v>
      </c>
      <c r="M1040" s="12">
        <v>0.1</v>
      </c>
      <c r="N1040" s="5">
        <f t="shared" si="32"/>
        <v>39749.4</v>
      </c>
      <c r="O1040" s="5">
        <v>25836.23</v>
      </c>
      <c r="P1040" s="5">
        <f t="shared" si="33"/>
        <v>13913.170000000002</v>
      </c>
      <c r="Q1040" t="s">
        <v>300</v>
      </c>
      <c r="R1040">
        <v>2026</v>
      </c>
      <c r="S1040">
        <v>8</v>
      </c>
    </row>
    <row r="1041" spans="1:19" x14ac:dyDescent="0.3">
      <c r="A1041" s="19" t="s">
        <v>1099</v>
      </c>
      <c r="B1041" s="20">
        <v>46249</v>
      </c>
      <c r="C1041" s="19" t="s">
        <v>48</v>
      </c>
      <c r="D1041" s="19" t="s">
        <v>34</v>
      </c>
      <c r="E1041" s="19" t="s">
        <v>42</v>
      </c>
      <c r="F1041" s="19" t="s">
        <v>37</v>
      </c>
      <c r="G1041" s="19" t="s">
        <v>31</v>
      </c>
      <c r="H1041" s="19" t="s">
        <v>25</v>
      </c>
      <c r="I1041" s="19">
        <v>1</v>
      </c>
      <c r="J1041" s="21">
        <v>26220</v>
      </c>
      <c r="K1041" s="21">
        <v>26220</v>
      </c>
      <c r="L1041" s="21">
        <v>0</v>
      </c>
      <c r="M1041" s="15">
        <v>0</v>
      </c>
      <c r="N1041" s="21">
        <f t="shared" si="32"/>
        <v>26220</v>
      </c>
      <c r="O1041" s="21">
        <v>13927.96</v>
      </c>
      <c r="P1041" s="21">
        <f t="shared" si="33"/>
        <v>12292.04</v>
      </c>
      <c r="Q1041" s="19" t="s">
        <v>300</v>
      </c>
      <c r="R1041" s="19">
        <v>2026</v>
      </c>
      <c r="S1041" s="19">
        <v>8</v>
      </c>
    </row>
    <row r="1042" spans="1:19" x14ac:dyDescent="0.3">
      <c r="A1042" t="s">
        <v>1100</v>
      </c>
      <c r="B1042" s="2">
        <v>46249</v>
      </c>
      <c r="C1042" t="s">
        <v>46</v>
      </c>
      <c r="D1042" t="s">
        <v>21</v>
      </c>
      <c r="E1042" t="s">
        <v>44</v>
      </c>
      <c r="F1042" t="s">
        <v>40</v>
      </c>
      <c r="G1042" t="s">
        <v>24</v>
      </c>
      <c r="H1042" t="s">
        <v>25</v>
      </c>
      <c r="I1042">
        <v>1</v>
      </c>
      <c r="J1042" s="5">
        <v>11291</v>
      </c>
      <c r="K1042" s="5">
        <v>11291</v>
      </c>
      <c r="L1042" s="5">
        <v>0</v>
      </c>
      <c r="M1042" s="12">
        <v>0</v>
      </c>
      <c r="N1042" s="5">
        <f t="shared" si="32"/>
        <v>11291</v>
      </c>
      <c r="O1042" s="5">
        <v>6444.43</v>
      </c>
      <c r="P1042" s="5">
        <f t="shared" si="33"/>
        <v>4846.57</v>
      </c>
      <c r="Q1042" t="s">
        <v>300</v>
      </c>
      <c r="R1042">
        <v>2026</v>
      </c>
      <c r="S1042">
        <v>8</v>
      </c>
    </row>
    <row r="1043" spans="1:19" x14ac:dyDescent="0.3">
      <c r="A1043" s="19" t="s">
        <v>1101</v>
      </c>
      <c r="B1043" s="20">
        <v>46249</v>
      </c>
      <c r="C1043" s="19" t="s">
        <v>46</v>
      </c>
      <c r="D1043" s="19" t="s">
        <v>21</v>
      </c>
      <c r="E1043" s="19" t="s">
        <v>42</v>
      </c>
      <c r="F1043" s="19" t="s">
        <v>35</v>
      </c>
      <c r="G1043" s="19" t="s">
        <v>31</v>
      </c>
      <c r="H1043" s="19" t="s">
        <v>25</v>
      </c>
      <c r="I1043" s="19">
        <v>2</v>
      </c>
      <c r="J1043" s="21">
        <v>11355</v>
      </c>
      <c r="K1043" s="21">
        <v>22710</v>
      </c>
      <c r="L1043" s="21">
        <v>0</v>
      </c>
      <c r="M1043" s="15">
        <v>0</v>
      </c>
      <c r="N1043" s="21">
        <f t="shared" si="32"/>
        <v>22710</v>
      </c>
      <c r="O1043" s="21">
        <v>14356.33</v>
      </c>
      <c r="P1043" s="21">
        <f t="shared" si="33"/>
        <v>8353.67</v>
      </c>
      <c r="Q1043" s="19" t="s">
        <v>300</v>
      </c>
      <c r="R1043" s="19">
        <v>2026</v>
      </c>
      <c r="S1043" s="19">
        <v>8</v>
      </c>
    </row>
    <row r="1044" spans="1:19" x14ac:dyDescent="0.3">
      <c r="A1044" t="s">
        <v>1102</v>
      </c>
      <c r="B1044" s="2">
        <v>46249</v>
      </c>
      <c r="C1044" t="s">
        <v>64</v>
      </c>
      <c r="D1044" t="s">
        <v>29</v>
      </c>
      <c r="E1044" t="s">
        <v>42</v>
      </c>
      <c r="F1044" t="s">
        <v>40</v>
      </c>
      <c r="G1044" t="s">
        <v>24</v>
      </c>
      <c r="H1044" t="s">
        <v>25</v>
      </c>
      <c r="I1044">
        <v>2</v>
      </c>
      <c r="J1044" s="5">
        <v>31652</v>
      </c>
      <c r="K1044" s="5">
        <v>63304</v>
      </c>
      <c r="L1044" s="5">
        <v>0</v>
      </c>
      <c r="M1044" s="12">
        <v>0</v>
      </c>
      <c r="N1044" s="5">
        <f t="shared" si="32"/>
        <v>63304</v>
      </c>
      <c r="O1044" s="5">
        <v>37796.97</v>
      </c>
      <c r="P1044" s="5">
        <f t="shared" si="33"/>
        <v>25507.03</v>
      </c>
      <c r="Q1044" t="s">
        <v>300</v>
      </c>
      <c r="R1044">
        <v>2026</v>
      </c>
      <c r="S1044">
        <v>8</v>
      </c>
    </row>
    <row r="1045" spans="1:19" x14ac:dyDescent="0.3">
      <c r="A1045" s="19" t="s">
        <v>1103</v>
      </c>
      <c r="B1045" s="20">
        <v>46249</v>
      </c>
      <c r="C1045" s="19" t="s">
        <v>20</v>
      </c>
      <c r="D1045" s="19" t="s">
        <v>21</v>
      </c>
      <c r="E1045" s="19" t="s">
        <v>22</v>
      </c>
      <c r="F1045" s="19" t="s">
        <v>30</v>
      </c>
      <c r="G1045" s="19" t="s">
        <v>24</v>
      </c>
      <c r="H1045" s="19" t="s">
        <v>25</v>
      </c>
      <c r="I1045" s="19">
        <v>1</v>
      </c>
      <c r="J1045" s="21">
        <v>14282</v>
      </c>
      <c r="K1045" s="21">
        <v>14282</v>
      </c>
      <c r="L1045" s="21">
        <v>0</v>
      </c>
      <c r="M1045" s="15">
        <v>0</v>
      </c>
      <c r="N1045" s="21">
        <f t="shared" si="32"/>
        <v>14282</v>
      </c>
      <c r="O1045" s="21">
        <v>9290.92</v>
      </c>
      <c r="P1045" s="21">
        <f t="shared" si="33"/>
        <v>4991.08</v>
      </c>
      <c r="Q1045" s="19" t="s">
        <v>300</v>
      </c>
      <c r="R1045" s="19">
        <v>2026</v>
      </c>
      <c r="S1045" s="19">
        <v>8</v>
      </c>
    </row>
    <row r="1046" spans="1:19" x14ac:dyDescent="0.3">
      <c r="A1046" t="s">
        <v>1104</v>
      </c>
      <c r="B1046" s="2">
        <v>46250</v>
      </c>
      <c r="C1046" t="s">
        <v>28</v>
      </c>
      <c r="D1046" t="s">
        <v>29</v>
      </c>
      <c r="E1046" t="s">
        <v>44</v>
      </c>
      <c r="F1046" t="s">
        <v>37</v>
      </c>
      <c r="G1046" t="s">
        <v>24</v>
      </c>
      <c r="H1046" t="s">
        <v>25</v>
      </c>
      <c r="I1046">
        <v>2</v>
      </c>
      <c r="J1046" s="5">
        <v>64832</v>
      </c>
      <c r="K1046" s="5">
        <v>129664</v>
      </c>
      <c r="L1046" s="5">
        <v>0</v>
      </c>
      <c r="M1046" s="12">
        <v>0</v>
      </c>
      <c r="N1046" s="5">
        <f t="shared" si="32"/>
        <v>129664</v>
      </c>
      <c r="O1046" s="5">
        <v>85779.51</v>
      </c>
      <c r="P1046" s="5">
        <f t="shared" si="33"/>
        <v>43884.490000000005</v>
      </c>
      <c r="Q1046" t="s">
        <v>300</v>
      </c>
      <c r="R1046">
        <v>2026</v>
      </c>
      <c r="S1046">
        <v>8</v>
      </c>
    </row>
    <row r="1047" spans="1:19" x14ac:dyDescent="0.3">
      <c r="A1047" s="19" t="s">
        <v>1105</v>
      </c>
      <c r="B1047" s="20">
        <v>46251</v>
      </c>
      <c r="C1047" s="19" t="s">
        <v>82</v>
      </c>
      <c r="D1047" s="19" t="s">
        <v>21</v>
      </c>
      <c r="E1047" s="19" t="s">
        <v>22</v>
      </c>
      <c r="F1047" s="19" t="s">
        <v>23</v>
      </c>
      <c r="G1047" s="19" t="s">
        <v>31</v>
      </c>
      <c r="H1047" s="19" t="s">
        <v>25</v>
      </c>
      <c r="I1047" s="19">
        <v>1</v>
      </c>
      <c r="J1047" s="21">
        <v>44183</v>
      </c>
      <c r="K1047" s="21">
        <v>44183</v>
      </c>
      <c r="L1047" s="21">
        <v>0</v>
      </c>
      <c r="M1047" s="15">
        <v>0</v>
      </c>
      <c r="N1047" s="21">
        <f t="shared" si="32"/>
        <v>44183</v>
      </c>
      <c r="O1047" s="21">
        <v>24273.81</v>
      </c>
      <c r="P1047" s="21">
        <f t="shared" si="33"/>
        <v>19909.189999999999</v>
      </c>
      <c r="Q1047" s="19" t="s">
        <v>300</v>
      </c>
      <c r="R1047" s="19">
        <v>2026</v>
      </c>
      <c r="S1047" s="19">
        <v>8</v>
      </c>
    </row>
    <row r="1048" spans="1:19" x14ac:dyDescent="0.3">
      <c r="A1048" t="s">
        <v>1106</v>
      </c>
      <c r="B1048" s="2">
        <v>46252</v>
      </c>
      <c r="C1048" t="s">
        <v>71</v>
      </c>
      <c r="D1048" t="s">
        <v>34</v>
      </c>
      <c r="E1048" t="s">
        <v>22</v>
      </c>
      <c r="F1048" t="s">
        <v>37</v>
      </c>
      <c r="G1048" t="s">
        <v>31</v>
      </c>
      <c r="H1048" t="s">
        <v>25</v>
      </c>
      <c r="I1048">
        <v>1</v>
      </c>
      <c r="J1048" s="5">
        <v>49125</v>
      </c>
      <c r="K1048" s="5">
        <v>49125</v>
      </c>
      <c r="L1048" s="5">
        <v>0</v>
      </c>
      <c r="M1048" s="12">
        <v>0</v>
      </c>
      <c r="N1048" s="5">
        <f t="shared" si="32"/>
        <v>49125</v>
      </c>
      <c r="O1048" s="5">
        <v>27234.240000000002</v>
      </c>
      <c r="P1048" s="5">
        <f t="shared" si="33"/>
        <v>21890.76</v>
      </c>
      <c r="Q1048" t="s">
        <v>300</v>
      </c>
      <c r="R1048">
        <v>2026</v>
      </c>
      <c r="S1048">
        <v>8</v>
      </c>
    </row>
    <row r="1049" spans="1:19" x14ac:dyDescent="0.3">
      <c r="A1049" s="19" t="s">
        <v>1107</v>
      </c>
      <c r="B1049" s="20">
        <v>46253</v>
      </c>
      <c r="C1049" s="19" t="s">
        <v>28</v>
      </c>
      <c r="D1049" s="19" t="s">
        <v>29</v>
      </c>
      <c r="E1049" s="19" t="s">
        <v>44</v>
      </c>
      <c r="F1049" s="19" t="s">
        <v>40</v>
      </c>
      <c r="G1049" s="19" t="s">
        <v>31</v>
      </c>
      <c r="H1049" s="19" t="s">
        <v>25</v>
      </c>
      <c r="I1049" s="19">
        <v>1</v>
      </c>
      <c r="J1049" s="21">
        <v>68042</v>
      </c>
      <c r="K1049" s="21">
        <v>68042</v>
      </c>
      <c r="L1049" s="21">
        <v>0</v>
      </c>
      <c r="M1049" s="15">
        <v>0</v>
      </c>
      <c r="N1049" s="21">
        <f t="shared" si="32"/>
        <v>68042</v>
      </c>
      <c r="O1049" s="21">
        <v>42870.080000000002</v>
      </c>
      <c r="P1049" s="21">
        <f t="shared" si="33"/>
        <v>25171.919999999998</v>
      </c>
      <c r="Q1049" s="19" t="s">
        <v>300</v>
      </c>
      <c r="R1049" s="19">
        <v>2026</v>
      </c>
      <c r="S1049" s="19">
        <v>8</v>
      </c>
    </row>
    <row r="1050" spans="1:19" x14ac:dyDescent="0.3">
      <c r="A1050" t="s">
        <v>1108</v>
      </c>
      <c r="B1050" s="2">
        <v>46255</v>
      </c>
      <c r="C1050" t="s">
        <v>20</v>
      </c>
      <c r="D1050" t="s">
        <v>21</v>
      </c>
      <c r="E1050" t="s">
        <v>22</v>
      </c>
      <c r="F1050" t="s">
        <v>30</v>
      </c>
      <c r="G1050" t="s">
        <v>31</v>
      </c>
      <c r="H1050" t="s">
        <v>25</v>
      </c>
      <c r="I1050">
        <v>1</v>
      </c>
      <c r="J1050" s="5">
        <v>15797</v>
      </c>
      <c r="K1050" s="5">
        <v>15797</v>
      </c>
      <c r="L1050" s="5">
        <v>0</v>
      </c>
      <c r="M1050" s="12">
        <v>0</v>
      </c>
      <c r="N1050" s="5">
        <f t="shared" si="32"/>
        <v>15797</v>
      </c>
      <c r="O1050" s="5">
        <v>9726.1</v>
      </c>
      <c r="P1050" s="5">
        <f t="shared" si="33"/>
        <v>6070.9</v>
      </c>
      <c r="Q1050" t="s">
        <v>300</v>
      </c>
      <c r="R1050">
        <v>2026</v>
      </c>
      <c r="S1050">
        <v>8</v>
      </c>
    </row>
    <row r="1051" spans="1:19" x14ac:dyDescent="0.3">
      <c r="A1051" s="19" t="s">
        <v>1109</v>
      </c>
      <c r="B1051" s="20">
        <v>46258</v>
      </c>
      <c r="C1051" s="19" t="s">
        <v>71</v>
      </c>
      <c r="D1051" s="19" t="s">
        <v>34</v>
      </c>
      <c r="E1051" s="19" t="s">
        <v>22</v>
      </c>
      <c r="F1051" s="19" t="s">
        <v>30</v>
      </c>
      <c r="G1051" s="19" t="s">
        <v>31</v>
      </c>
      <c r="H1051" s="19" t="s">
        <v>25</v>
      </c>
      <c r="I1051" s="19">
        <v>3</v>
      </c>
      <c r="J1051" s="21">
        <v>46819</v>
      </c>
      <c r="K1051" s="21">
        <v>140457</v>
      </c>
      <c r="L1051" s="21">
        <v>0</v>
      </c>
      <c r="M1051" s="15">
        <v>0</v>
      </c>
      <c r="N1051" s="21">
        <f t="shared" si="32"/>
        <v>140457</v>
      </c>
      <c r="O1051" s="21">
        <v>68861.41</v>
      </c>
      <c r="P1051" s="21">
        <f t="shared" si="33"/>
        <v>71595.59</v>
      </c>
      <c r="Q1051" s="19" t="s">
        <v>300</v>
      </c>
      <c r="R1051" s="19">
        <v>2026</v>
      </c>
      <c r="S1051" s="19">
        <v>8</v>
      </c>
    </row>
    <row r="1052" spans="1:19" x14ac:dyDescent="0.3">
      <c r="A1052" t="s">
        <v>1110</v>
      </c>
      <c r="B1052" s="2">
        <v>46259</v>
      </c>
      <c r="C1052" t="s">
        <v>48</v>
      </c>
      <c r="D1052" t="s">
        <v>34</v>
      </c>
      <c r="E1052" t="s">
        <v>42</v>
      </c>
      <c r="F1052" t="s">
        <v>40</v>
      </c>
      <c r="G1052" t="s">
        <v>31</v>
      </c>
      <c r="H1052" t="s">
        <v>25</v>
      </c>
      <c r="I1052">
        <v>1</v>
      </c>
      <c r="J1052" s="5">
        <v>26934</v>
      </c>
      <c r="K1052" s="5">
        <v>26934</v>
      </c>
      <c r="L1052" s="5">
        <v>0</v>
      </c>
      <c r="M1052" s="12">
        <v>0</v>
      </c>
      <c r="N1052" s="5">
        <f t="shared" si="32"/>
        <v>26934</v>
      </c>
      <c r="O1052" s="5">
        <v>16983.759999999998</v>
      </c>
      <c r="P1052" s="5">
        <f t="shared" si="33"/>
        <v>9950.2400000000016</v>
      </c>
      <c r="Q1052" t="s">
        <v>300</v>
      </c>
      <c r="R1052">
        <v>2026</v>
      </c>
      <c r="S1052">
        <v>8</v>
      </c>
    </row>
    <row r="1053" spans="1:19" x14ac:dyDescent="0.3">
      <c r="A1053" s="19" t="s">
        <v>1111</v>
      </c>
      <c r="B1053" s="20">
        <v>46260</v>
      </c>
      <c r="C1053" s="19" t="s">
        <v>20</v>
      </c>
      <c r="D1053" s="19" t="s">
        <v>21</v>
      </c>
      <c r="E1053" s="19" t="s">
        <v>56</v>
      </c>
      <c r="F1053" s="19" t="s">
        <v>40</v>
      </c>
      <c r="G1053" s="19" t="s">
        <v>31</v>
      </c>
      <c r="H1053" s="19" t="s">
        <v>25</v>
      </c>
      <c r="I1053" s="19">
        <v>2</v>
      </c>
      <c r="J1053" s="21">
        <v>15156</v>
      </c>
      <c r="K1053" s="21">
        <v>30312</v>
      </c>
      <c r="L1053" s="21">
        <v>0</v>
      </c>
      <c r="M1053" s="15">
        <v>0</v>
      </c>
      <c r="N1053" s="21">
        <f t="shared" si="32"/>
        <v>30312</v>
      </c>
      <c r="O1053" s="21">
        <v>20019.53</v>
      </c>
      <c r="P1053" s="21">
        <f t="shared" si="33"/>
        <v>10292.470000000001</v>
      </c>
      <c r="Q1053" s="19" t="s">
        <v>300</v>
      </c>
      <c r="R1053" s="19">
        <v>2026</v>
      </c>
      <c r="S1053" s="19">
        <v>8</v>
      </c>
    </row>
    <row r="1054" spans="1:19" x14ac:dyDescent="0.3">
      <c r="A1054" t="s">
        <v>1112</v>
      </c>
      <c r="B1054" s="2">
        <v>46261</v>
      </c>
      <c r="C1054" t="s">
        <v>20</v>
      </c>
      <c r="D1054" t="s">
        <v>21</v>
      </c>
      <c r="E1054" t="s">
        <v>42</v>
      </c>
      <c r="F1054" t="s">
        <v>30</v>
      </c>
      <c r="G1054" t="s">
        <v>24</v>
      </c>
      <c r="H1054" t="s">
        <v>25</v>
      </c>
      <c r="I1054">
        <v>1</v>
      </c>
      <c r="J1054" s="5">
        <v>14243</v>
      </c>
      <c r="K1054" s="5">
        <v>14243</v>
      </c>
      <c r="L1054" s="5">
        <v>0</v>
      </c>
      <c r="M1054" s="12">
        <v>0</v>
      </c>
      <c r="N1054" s="5">
        <f t="shared" si="32"/>
        <v>14243</v>
      </c>
      <c r="O1054" s="5">
        <v>7011.62</v>
      </c>
      <c r="P1054" s="5">
        <f t="shared" si="33"/>
        <v>7231.38</v>
      </c>
      <c r="Q1054" t="s">
        <v>300</v>
      </c>
      <c r="R1054">
        <v>2026</v>
      </c>
      <c r="S1054">
        <v>8</v>
      </c>
    </row>
    <row r="1055" spans="1:19" x14ac:dyDescent="0.3">
      <c r="A1055" s="19" t="s">
        <v>1113</v>
      </c>
      <c r="B1055" s="20">
        <v>46262</v>
      </c>
      <c r="C1055" s="19" t="s">
        <v>82</v>
      </c>
      <c r="D1055" s="19" t="s">
        <v>21</v>
      </c>
      <c r="E1055" s="19" t="s">
        <v>42</v>
      </c>
      <c r="F1055" s="19" t="s">
        <v>35</v>
      </c>
      <c r="G1055" s="19" t="s">
        <v>31</v>
      </c>
      <c r="H1055" s="19" t="s">
        <v>25</v>
      </c>
      <c r="I1055" s="19">
        <v>2</v>
      </c>
      <c r="J1055" s="21">
        <v>45573</v>
      </c>
      <c r="K1055" s="21">
        <v>91146</v>
      </c>
      <c r="L1055" s="21">
        <v>4557.3</v>
      </c>
      <c r="M1055" s="15">
        <v>0.05</v>
      </c>
      <c r="N1055" s="21">
        <f t="shared" si="32"/>
        <v>86588.7</v>
      </c>
      <c r="O1055" s="21">
        <v>46983.05</v>
      </c>
      <c r="P1055" s="21">
        <f t="shared" si="33"/>
        <v>39605.649999999994</v>
      </c>
      <c r="Q1055" s="19" t="s">
        <v>300</v>
      </c>
      <c r="R1055" s="19">
        <v>2026</v>
      </c>
      <c r="S1055" s="19">
        <v>8</v>
      </c>
    </row>
    <row r="1056" spans="1:19" x14ac:dyDescent="0.3">
      <c r="A1056" t="s">
        <v>1114</v>
      </c>
      <c r="B1056" s="2">
        <v>46263</v>
      </c>
      <c r="C1056" t="s">
        <v>50</v>
      </c>
      <c r="D1056" t="s">
        <v>34</v>
      </c>
      <c r="E1056" t="s">
        <v>22</v>
      </c>
      <c r="F1056" t="s">
        <v>40</v>
      </c>
      <c r="G1056" t="s">
        <v>24</v>
      </c>
      <c r="H1056" t="s">
        <v>25</v>
      </c>
      <c r="I1056">
        <v>1</v>
      </c>
      <c r="J1056" s="5">
        <v>16642</v>
      </c>
      <c r="K1056" s="5">
        <v>16642</v>
      </c>
      <c r="L1056" s="5">
        <v>0</v>
      </c>
      <c r="M1056" s="12">
        <v>0</v>
      </c>
      <c r="N1056" s="5">
        <f t="shared" si="32"/>
        <v>16642</v>
      </c>
      <c r="O1056" s="5">
        <v>8910.61</v>
      </c>
      <c r="P1056" s="5">
        <f t="shared" si="33"/>
        <v>7731.3899999999994</v>
      </c>
      <c r="Q1056" t="s">
        <v>300</v>
      </c>
      <c r="R1056">
        <v>2026</v>
      </c>
      <c r="S1056">
        <v>8</v>
      </c>
    </row>
    <row r="1057" spans="1:19" x14ac:dyDescent="0.3">
      <c r="A1057" s="19" t="s">
        <v>1115</v>
      </c>
      <c r="B1057" s="20">
        <v>46263</v>
      </c>
      <c r="C1057" s="19" t="s">
        <v>50</v>
      </c>
      <c r="D1057" s="19" t="s">
        <v>34</v>
      </c>
      <c r="E1057" s="19" t="s">
        <v>56</v>
      </c>
      <c r="F1057" s="19" t="s">
        <v>40</v>
      </c>
      <c r="G1057" s="19" t="s">
        <v>24</v>
      </c>
      <c r="H1057" s="19" t="s">
        <v>25</v>
      </c>
      <c r="I1057" s="19">
        <v>1</v>
      </c>
      <c r="J1057" s="21">
        <v>17594</v>
      </c>
      <c r="K1057" s="21">
        <v>17594</v>
      </c>
      <c r="L1057" s="21">
        <v>0</v>
      </c>
      <c r="M1057" s="15">
        <v>0</v>
      </c>
      <c r="N1057" s="21">
        <f t="shared" si="32"/>
        <v>17594</v>
      </c>
      <c r="O1057" s="21">
        <v>11332.99</v>
      </c>
      <c r="P1057" s="21">
        <f t="shared" si="33"/>
        <v>6261.01</v>
      </c>
      <c r="Q1057" s="19" t="s">
        <v>300</v>
      </c>
      <c r="R1057" s="19">
        <v>2026</v>
      </c>
      <c r="S1057" s="19">
        <v>8</v>
      </c>
    </row>
    <row r="1058" spans="1:19" x14ac:dyDescent="0.3">
      <c r="A1058" t="s">
        <v>1116</v>
      </c>
      <c r="B1058" s="2">
        <v>46264</v>
      </c>
      <c r="C1058" t="s">
        <v>20</v>
      </c>
      <c r="D1058" t="s">
        <v>21</v>
      </c>
      <c r="E1058" t="s">
        <v>44</v>
      </c>
      <c r="F1058" t="s">
        <v>40</v>
      </c>
      <c r="G1058" t="s">
        <v>24</v>
      </c>
      <c r="H1058" t="s">
        <v>25</v>
      </c>
      <c r="I1058">
        <v>2</v>
      </c>
      <c r="J1058" s="5">
        <v>16091</v>
      </c>
      <c r="K1058" s="5">
        <v>32182</v>
      </c>
      <c r="L1058" s="5">
        <v>0</v>
      </c>
      <c r="M1058" s="12">
        <v>0</v>
      </c>
      <c r="N1058" s="5">
        <f t="shared" si="32"/>
        <v>32182</v>
      </c>
      <c r="O1058" s="5">
        <v>17582.25</v>
      </c>
      <c r="P1058" s="5">
        <f t="shared" si="33"/>
        <v>14599.75</v>
      </c>
      <c r="Q1058" t="s">
        <v>300</v>
      </c>
      <c r="R1058">
        <v>2026</v>
      </c>
      <c r="S1058">
        <v>8</v>
      </c>
    </row>
    <row r="1059" spans="1:19" x14ac:dyDescent="0.3">
      <c r="A1059" s="19" t="s">
        <v>1117</v>
      </c>
      <c r="B1059" s="20">
        <v>46264</v>
      </c>
      <c r="C1059" s="19" t="s">
        <v>33</v>
      </c>
      <c r="D1059" s="19" t="s">
        <v>34</v>
      </c>
      <c r="E1059" s="19" t="s">
        <v>42</v>
      </c>
      <c r="F1059" s="19" t="s">
        <v>35</v>
      </c>
      <c r="G1059" s="19" t="s">
        <v>24</v>
      </c>
      <c r="H1059" s="19" t="s">
        <v>25</v>
      </c>
      <c r="I1059" s="19">
        <v>1</v>
      </c>
      <c r="J1059" s="21">
        <v>42645</v>
      </c>
      <c r="K1059" s="21">
        <v>42645</v>
      </c>
      <c r="L1059" s="21">
        <v>4264.5</v>
      </c>
      <c r="M1059" s="15">
        <v>0.1</v>
      </c>
      <c r="N1059" s="21">
        <f t="shared" si="32"/>
        <v>38380.5</v>
      </c>
      <c r="O1059" s="21">
        <v>27694.85</v>
      </c>
      <c r="P1059" s="21">
        <f t="shared" si="33"/>
        <v>10685.650000000001</v>
      </c>
      <c r="Q1059" s="19" t="s">
        <v>300</v>
      </c>
      <c r="R1059" s="19">
        <v>2026</v>
      </c>
      <c r="S1059" s="19">
        <v>8</v>
      </c>
    </row>
    <row r="1060" spans="1:19" x14ac:dyDescent="0.3">
      <c r="A1060" t="s">
        <v>1118</v>
      </c>
      <c r="B1060" s="2">
        <v>46266</v>
      </c>
      <c r="C1060" t="s">
        <v>33</v>
      </c>
      <c r="D1060" t="s">
        <v>34</v>
      </c>
      <c r="E1060" t="s">
        <v>56</v>
      </c>
      <c r="F1060" t="s">
        <v>40</v>
      </c>
      <c r="G1060" t="s">
        <v>24</v>
      </c>
      <c r="H1060" t="s">
        <v>25</v>
      </c>
      <c r="I1060">
        <v>3</v>
      </c>
      <c r="J1060" s="5">
        <v>43298</v>
      </c>
      <c r="K1060" s="5">
        <v>129894</v>
      </c>
      <c r="L1060" s="5">
        <v>19484.099999999999</v>
      </c>
      <c r="M1060" s="12">
        <v>0.15</v>
      </c>
      <c r="N1060" s="5">
        <f t="shared" si="32"/>
        <v>110409.9</v>
      </c>
      <c r="O1060" s="5">
        <v>62731.63</v>
      </c>
      <c r="P1060" s="5">
        <f t="shared" si="33"/>
        <v>47678.27</v>
      </c>
      <c r="Q1060" t="s">
        <v>334</v>
      </c>
      <c r="R1060">
        <v>2026</v>
      </c>
      <c r="S1060">
        <v>9</v>
      </c>
    </row>
    <row r="1061" spans="1:19" x14ac:dyDescent="0.3">
      <c r="A1061" s="19" t="s">
        <v>1119</v>
      </c>
      <c r="B1061" s="20">
        <v>46267</v>
      </c>
      <c r="C1061" s="19" t="s">
        <v>20</v>
      </c>
      <c r="D1061" s="19" t="s">
        <v>21</v>
      </c>
      <c r="E1061" s="19" t="s">
        <v>44</v>
      </c>
      <c r="F1061" s="19" t="s">
        <v>40</v>
      </c>
      <c r="G1061" s="19" t="s">
        <v>24</v>
      </c>
      <c r="H1061" s="19" t="s">
        <v>25</v>
      </c>
      <c r="I1061" s="19">
        <v>2</v>
      </c>
      <c r="J1061" s="21">
        <v>15318</v>
      </c>
      <c r="K1061" s="21">
        <v>30636</v>
      </c>
      <c r="L1061" s="21">
        <v>0</v>
      </c>
      <c r="M1061" s="15">
        <v>0</v>
      </c>
      <c r="N1061" s="21">
        <f t="shared" si="32"/>
        <v>30636</v>
      </c>
      <c r="O1061" s="21">
        <v>17846.18</v>
      </c>
      <c r="P1061" s="21">
        <f t="shared" si="33"/>
        <v>12789.82</v>
      </c>
      <c r="Q1061" s="19" t="s">
        <v>334</v>
      </c>
      <c r="R1061" s="19">
        <v>2026</v>
      </c>
      <c r="S1061" s="19">
        <v>9</v>
      </c>
    </row>
    <row r="1062" spans="1:19" x14ac:dyDescent="0.3">
      <c r="A1062" t="s">
        <v>1120</v>
      </c>
      <c r="B1062" s="2">
        <v>46267</v>
      </c>
      <c r="C1062" t="s">
        <v>50</v>
      </c>
      <c r="D1062" t="s">
        <v>34</v>
      </c>
      <c r="E1062" t="s">
        <v>56</v>
      </c>
      <c r="F1062" t="s">
        <v>35</v>
      </c>
      <c r="G1062" t="s">
        <v>31</v>
      </c>
      <c r="H1062" t="s">
        <v>25</v>
      </c>
      <c r="I1062">
        <v>2</v>
      </c>
      <c r="J1062" s="5">
        <v>16853</v>
      </c>
      <c r="K1062" s="5">
        <v>33706</v>
      </c>
      <c r="L1062" s="5">
        <v>3370.6</v>
      </c>
      <c r="M1062" s="12">
        <v>0.1</v>
      </c>
      <c r="N1062" s="5">
        <f t="shared" si="32"/>
        <v>30335.4</v>
      </c>
      <c r="O1062" s="5">
        <v>20874.439999999999</v>
      </c>
      <c r="P1062" s="5">
        <f t="shared" si="33"/>
        <v>9460.9600000000028</v>
      </c>
      <c r="Q1062" t="s">
        <v>334</v>
      </c>
      <c r="R1062">
        <v>2026</v>
      </c>
      <c r="S1062">
        <v>9</v>
      </c>
    </row>
    <row r="1063" spans="1:19" x14ac:dyDescent="0.3">
      <c r="A1063" s="19" t="s">
        <v>1121</v>
      </c>
      <c r="B1063" s="20">
        <v>46269</v>
      </c>
      <c r="C1063" s="19" t="s">
        <v>75</v>
      </c>
      <c r="D1063" s="19" t="s">
        <v>34</v>
      </c>
      <c r="E1063" s="19" t="s">
        <v>44</v>
      </c>
      <c r="F1063" s="19" t="s">
        <v>40</v>
      </c>
      <c r="G1063" s="19" t="s">
        <v>31</v>
      </c>
      <c r="H1063" s="19" t="s">
        <v>25</v>
      </c>
      <c r="I1063" s="19">
        <v>3</v>
      </c>
      <c r="J1063" s="21">
        <v>40748</v>
      </c>
      <c r="K1063" s="21">
        <v>122244</v>
      </c>
      <c r="L1063" s="21">
        <v>0</v>
      </c>
      <c r="M1063" s="15">
        <v>0</v>
      </c>
      <c r="N1063" s="21">
        <f t="shared" si="32"/>
        <v>122244</v>
      </c>
      <c r="O1063" s="21">
        <v>73283.55</v>
      </c>
      <c r="P1063" s="21">
        <f t="shared" si="33"/>
        <v>48960.45</v>
      </c>
      <c r="Q1063" s="19" t="s">
        <v>334</v>
      </c>
      <c r="R1063" s="19">
        <v>2026</v>
      </c>
      <c r="S1063" s="19">
        <v>9</v>
      </c>
    </row>
    <row r="1064" spans="1:19" x14ac:dyDescent="0.3">
      <c r="A1064" t="s">
        <v>1122</v>
      </c>
      <c r="B1064" s="2">
        <v>46272</v>
      </c>
      <c r="C1064" t="s">
        <v>28</v>
      </c>
      <c r="D1064" t="s">
        <v>29</v>
      </c>
      <c r="E1064" t="s">
        <v>44</v>
      </c>
      <c r="F1064" t="s">
        <v>40</v>
      </c>
      <c r="G1064" t="s">
        <v>24</v>
      </c>
      <c r="H1064" t="s">
        <v>25</v>
      </c>
      <c r="I1064">
        <v>1</v>
      </c>
      <c r="J1064" s="5">
        <v>63094</v>
      </c>
      <c r="K1064" s="5">
        <v>63094</v>
      </c>
      <c r="L1064" s="5">
        <v>0</v>
      </c>
      <c r="M1064" s="12">
        <v>0</v>
      </c>
      <c r="N1064" s="5">
        <f t="shared" si="32"/>
        <v>63094</v>
      </c>
      <c r="O1064" s="5">
        <v>32004.46</v>
      </c>
      <c r="P1064" s="5">
        <f t="shared" si="33"/>
        <v>31089.54</v>
      </c>
      <c r="Q1064" t="s">
        <v>334</v>
      </c>
      <c r="R1064">
        <v>2026</v>
      </c>
      <c r="S1064">
        <v>9</v>
      </c>
    </row>
    <row r="1065" spans="1:19" x14ac:dyDescent="0.3">
      <c r="A1065" s="19" t="s">
        <v>1123</v>
      </c>
      <c r="B1065" s="20">
        <v>46272</v>
      </c>
      <c r="C1065" s="19" t="s">
        <v>75</v>
      </c>
      <c r="D1065" s="19" t="s">
        <v>34</v>
      </c>
      <c r="E1065" s="19" t="s">
        <v>42</v>
      </c>
      <c r="F1065" s="19" t="s">
        <v>23</v>
      </c>
      <c r="G1065" s="19" t="s">
        <v>31</v>
      </c>
      <c r="H1065" s="19" t="s">
        <v>25</v>
      </c>
      <c r="I1065" s="19">
        <v>1</v>
      </c>
      <c r="J1065" s="21">
        <v>35901</v>
      </c>
      <c r="K1065" s="21">
        <v>35901</v>
      </c>
      <c r="L1065" s="21">
        <v>0</v>
      </c>
      <c r="M1065" s="15">
        <v>0</v>
      </c>
      <c r="N1065" s="21">
        <f t="shared" si="32"/>
        <v>35901</v>
      </c>
      <c r="O1065" s="21">
        <v>20711.560000000001</v>
      </c>
      <c r="P1065" s="21">
        <f t="shared" si="33"/>
        <v>15189.439999999999</v>
      </c>
      <c r="Q1065" s="19" t="s">
        <v>334</v>
      </c>
      <c r="R1065" s="19">
        <v>2026</v>
      </c>
      <c r="S1065" s="19">
        <v>9</v>
      </c>
    </row>
    <row r="1066" spans="1:19" x14ac:dyDescent="0.3">
      <c r="A1066" t="s">
        <v>1124</v>
      </c>
      <c r="B1066" s="2">
        <v>46272</v>
      </c>
      <c r="C1066" t="s">
        <v>48</v>
      </c>
      <c r="D1066" t="s">
        <v>34</v>
      </c>
      <c r="E1066" t="s">
        <v>22</v>
      </c>
      <c r="F1066" t="s">
        <v>40</v>
      </c>
      <c r="G1066" t="s">
        <v>31</v>
      </c>
      <c r="H1066" t="s">
        <v>25</v>
      </c>
      <c r="I1066">
        <v>4</v>
      </c>
      <c r="J1066" s="5">
        <v>24893</v>
      </c>
      <c r="K1066" s="5">
        <v>99572</v>
      </c>
      <c r="L1066" s="5">
        <v>0</v>
      </c>
      <c r="M1066" s="12">
        <v>0</v>
      </c>
      <c r="N1066" s="5">
        <f t="shared" si="32"/>
        <v>99572</v>
      </c>
      <c r="O1066" s="5">
        <v>62465.22</v>
      </c>
      <c r="P1066" s="5">
        <f t="shared" si="33"/>
        <v>37106.78</v>
      </c>
      <c r="Q1066" t="s">
        <v>334</v>
      </c>
      <c r="R1066">
        <v>2026</v>
      </c>
      <c r="S1066">
        <v>9</v>
      </c>
    </row>
    <row r="1067" spans="1:19" x14ac:dyDescent="0.3">
      <c r="A1067" s="19" t="s">
        <v>1125</v>
      </c>
      <c r="B1067" s="20">
        <v>46273</v>
      </c>
      <c r="C1067" s="19" t="s">
        <v>33</v>
      </c>
      <c r="D1067" s="19" t="s">
        <v>34</v>
      </c>
      <c r="E1067" s="19" t="s">
        <v>44</v>
      </c>
      <c r="F1067" s="19" t="s">
        <v>40</v>
      </c>
      <c r="G1067" s="19" t="s">
        <v>24</v>
      </c>
      <c r="H1067" s="19" t="s">
        <v>25</v>
      </c>
      <c r="I1067" s="19">
        <v>2</v>
      </c>
      <c r="J1067" s="21">
        <v>41969</v>
      </c>
      <c r="K1067" s="21">
        <v>83938</v>
      </c>
      <c r="L1067" s="21">
        <v>0</v>
      </c>
      <c r="M1067" s="15">
        <v>0</v>
      </c>
      <c r="N1067" s="21">
        <f t="shared" si="32"/>
        <v>83938</v>
      </c>
      <c r="O1067" s="21">
        <v>40681.17</v>
      </c>
      <c r="P1067" s="21">
        <f t="shared" si="33"/>
        <v>43256.83</v>
      </c>
      <c r="Q1067" s="19" t="s">
        <v>334</v>
      </c>
      <c r="R1067" s="19">
        <v>2026</v>
      </c>
      <c r="S1067" s="19">
        <v>9</v>
      </c>
    </row>
    <row r="1068" spans="1:19" x14ac:dyDescent="0.3">
      <c r="A1068" t="s">
        <v>1126</v>
      </c>
      <c r="B1068" s="2">
        <v>46273</v>
      </c>
      <c r="C1068" t="s">
        <v>48</v>
      </c>
      <c r="D1068" t="s">
        <v>34</v>
      </c>
      <c r="E1068" t="s">
        <v>42</v>
      </c>
      <c r="F1068" t="s">
        <v>35</v>
      </c>
      <c r="G1068" t="s">
        <v>31</v>
      </c>
      <c r="H1068" t="s">
        <v>25</v>
      </c>
      <c r="I1068">
        <v>4</v>
      </c>
      <c r="J1068" s="5">
        <v>25711</v>
      </c>
      <c r="K1068" s="5">
        <v>102844</v>
      </c>
      <c r="L1068" s="5">
        <v>0</v>
      </c>
      <c r="M1068" s="12">
        <v>0</v>
      </c>
      <c r="N1068" s="5">
        <f t="shared" si="32"/>
        <v>102844</v>
      </c>
      <c r="O1068" s="5">
        <v>55439.12</v>
      </c>
      <c r="P1068" s="5">
        <f t="shared" si="33"/>
        <v>47404.88</v>
      </c>
      <c r="Q1068" t="s">
        <v>334</v>
      </c>
      <c r="R1068">
        <v>2026</v>
      </c>
      <c r="S1068">
        <v>9</v>
      </c>
    </row>
    <row r="1069" spans="1:19" x14ac:dyDescent="0.3">
      <c r="A1069" s="19" t="s">
        <v>1127</v>
      </c>
      <c r="B1069" s="20">
        <v>46274</v>
      </c>
      <c r="C1069" s="19" t="s">
        <v>48</v>
      </c>
      <c r="D1069" s="19" t="s">
        <v>34</v>
      </c>
      <c r="E1069" s="19" t="s">
        <v>22</v>
      </c>
      <c r="F1069" s="19" t="s">
        <v>23</v>
      </c>
      <c r="G1069" s="19" t="s">
        <v>31</v>
      </c>
      <c r="H1069" s="19" t="s">
        <v>25</v>
      </c>
      <c r="I1069" s="19">
        <v>2</v>
      </c>
      <c r="J1069" s="21">
        <v>24925</v>
      </c>
      <c r="K1069" s="21">
        <v>49850</v>
      </c>
      <c r="L1069" s="21">
        <v>4985</v>
      </c>
      <c r="M1069" s="15">
        <v>0.1</v>
      </c>
      <c r="N1069" s="21">
        <f t="shared" si="32"/>
        <v>44865</v>
      </c>
      <c r="O1069" s="21">
        <v>28154.28</v>
      </c>
      <c r="P1069" s="21">
        <f t="shared" si="33"/>
        <v>16710.72</v>
      </c>
      <c r="Q1069" s="19" t="s">
        <v>334</v>
      </c>
      <c r="R1069" s="19">
        <v>2026</v>
      </c>
      <c r="S1069" s="19">
        <v>9</v>
      </c>
    </row>
    <row r="1070" spans="1:19" x14ac:dyDescent="0.3">
      <c r="A1070" t="s">
        <v>1128</v>
      </c>
      <c r="B1070" s="2">
        <v>46274</v>
      </c>
      <c r="C1070" t="s">
        <v>20</v>
      </c>
      <c r="D1070" t="s">
        <v>21</v>
      </c>
      <c r="E1070" t="s">
        <v>44</v>
      </c>
      <c r="F1070" t="s">
        <v>37</v>
      </c>
      <c r="G1070" t="s">
        <v>31</v>
      </c>
      <c r="H1070" t="s">
        <v>25</v>
      </c>
      <c r="I1070">
        <v>2</v>
      </c>
      <c r="J1070" s="5">
        <v>14414</v>
      </c>
      <c r="K1070" s="5">
        <v>28828</v>
      </c>
      <c r="L1070" s="5">
        <v>0</v>
      </c>
      <c r="M1070" s="12">
        <v>0</v>
      </c>
      <c r="N1070" s="5">
        <f t="shared" si="32"/>
        <v>28828</v>
      </c>
      <c r="O1070" s="5">
        <v>14405.57</v>
      </c>
      <c r="P1070" s="5">
        <f t="shared" si="33"/>
        <v>14422.43</v>
      </c>
      <c r="Q1070" t="s">
        <v>334</v>
      </c>
      <c r="R1070">
        <v>2026</v>
      </c>
      <c r="S1070">
        <v>9</v>
      </c>
    </row>
    <row r="1071" spans="1:19" x14ac:dyDescent="0.3">
      <c r="A1071" s="19" t="s">
        <v>1129</v>
      </c>
      <c r="B1071" s="20">
        <v>46275</v>
      </c>
      <c r="C1071" s="19" t="s">
        <v>71</v>
      </c>
      <c r="D1071" s="19" t="s">
        <v>34</v>
      </c>
      <c r="E1071" s="19" t="s">
        <v>42</v>
      </c>
      <c r="F1071" s="19" t="s">
        <v>40</v>
      </c>
      <c r="G1071" s="19" t="s">
        <v>24</v>
      </c>
      <c r="H1071" s="19" t="s">
        <v>25</v>
      </c>
      <c r="I1071" s="19">
        <v>1</v>
      </c>
      <c r="J1071" s="21">
        <v>47218</v>
      </c>
      <c r="K1071" s="21">
        <v>47218</v>
      </c>
      <c r="L1071" s="21">
        <v>0</v>
      </c>
      <c r="M1071" s="15">
        <v>0</v>
      </c>
      <c r="N1071" s="21">
        <f t="shared" si="32"/>
        <v>47218</v>
      </c>
      <c r="O1071" s="21">
        <v>26701.85</v>
      </c>
      <c r="P1071" s="21">
        <f t="shared" si="33"/>
        <v>20516.150000000001</v>
      </c>
      <c r="Q1071" s="19" t="s">
        <v>334</v>
      </c>
      <c r="R1071" s="19">
        <v>2026</v>
      </c>
      <c r="S1071" s="19">
        <v>9</v>
      </c>
    </row>
    <row r="1072" spans="1:19" x14ac:dyDescent="0.3">
      <c r="A1072" t="s">
        <v>1130</v>
      </c>
      <c r="B1072" s="2">
        <v>46275</v>
      </c>
      <c r="C1072" t="s">
        <v>64</v>
      </c>
      <c r="D1072" t="s">
        <v>29</v>
      </c>
      <c r="E1072" t="s">
        <v>42</v>
      </c>
      <c r="F1072" t="s">
        <v>30</v>
      </c>
      <c r="G1072" t="s">
        <v>31</v>
      </c>
      <c r="H1072" t="s">
        <v>25</v>
      </c>
      <c r="I1072">
        <v>2</v>
      </c>
      <c r="J1072" s="5">
        <v>30531</v>
      </c>
      <c r="K1072" s="5">
        <v>61062</v>
      </c>
      <c r="L1072" s="5">
        <v>0</v>
      </c>
      <c r="M1072" s="12">
        <v>0</v>
      </c>
      <c r="N1072" s="5">
        <f t="shared" si="32"/>
        <v>61062</v>
      </c>
      <c r="O1072" s="5">
        <v>32817.67</v>
      </c>
      <c r="P1072" s="5">
        <f t="shared" si="33"/>
        <v>28244.33</v>
      </c>
      <c r="Q1072" t="s">
        <v>334</v>
      </c>
      <c r="R1072">
        <v>2026</v>
      </c>
      <c r="S1072">
        <v>9</v>
      </c>
    </row>
    <row r="1073" spans="1:19" x14ac:dyDescent="0.3">
      <c r="A1073" s="19" t="s">
        <v>1131</v>
      </c>
      <c r="B1073" s="20">
        <v>46275</v>
      </c>
      <c r="C1073" s="19" t="s">
        <v>75</v>
      </c>
      <c r="D1073" s="19" t="s">
        <v>34</v>
      </c>
      <c r="E1073" s="19" t="s">
        <v>42</v>
      </c>
      <c r="F1073" s="19" t="s">
        <v>35</v>
      </c>
      <c r="G1073" s="19" t="s">
        <v>31</v>
      </c>
      <c r="H1073" s="19" t="s">
        <v>25</v>
      </c>
      <c r="I1073" s="19">
        <v>3</v>
      </c>
      <c r="J1073" s="21">
        <v>36671</v>
      </c>
      <c r="K1073" s="21">
        <v>110013</v>
      </c>
      <c r="L1073" s="21">
        <v>0</v>
      </c>
      <c r="M1073" s="15">
        <v>0</v>
      </c>
      <c r="N1073" s="21">
        <f t="shared" si="32"/>
        <v>110013</v>
      </c>
      <c r="O1073" s="21">
        <v>53909.54</v>
      </c>
      <c r="P1073" s="21">
        <f t="shared" si="33"/>
        <v>56103.46</v>
      </c>
      <c r="Q1073" s="19" t="s">
        <v>334</v>
      </c>
      <c r="R1073" s="19">
        <v>2026</v>
      </c>
      <c r="S1073" s="19">
        <v>9</v>
      </c>
    </row>
    <row r="1074" spans="1:19" x14ac:dyDescent="0.3">
      <c r="A1074" t="s">
        <v>1132</v>
      </c>
      <c r="B1074" s="2">
        <v>46276</v>
      </c>
      <c r="C1074" t="s">
        <v>20</v>
      </c>
      <c r="D1074" t="s">
        <v>21</v>
      </c>
      <c r="E1074" t="s">
        <v>56</v>
      </c>
      <c r="F1074" t="s">
        <v>40</v>
      </c>
      <c r="G1074" t="s">
        <v>31</v>
      </c>
      <c r="H1074" t="s">
        <v>25</v>
      </c>
      <c r="I1074">
        <v>1</v>
      </c>
      <c r="J1074" s="5">
        <v>15927</v>
      </c>
      <c r="K1074" s="5">
        <v>15927</v>
      </c>
      <c r="L1074" s="5">
        <v>0</v>
      </c>
      <c r="M1074" s="12">
        <v>0</v>
      </c>
      <c r="N1074" s="5">
        <f t="shared" si="32"/>
        <v>15927</v>
      </c>
      <c r="O1074" s="5">
        <v>8991.9699999999993</v>
      </c>
      <c r="P1074" s="5">
        <f t="shared" si="33"/>
        <v>6935.0300000000007</v>
      </c>
      <c r="Q1074" t="s">
        <v>334</v>
      </c>
      <c r="R1074">
        <v>2026</v>
      </c>
      <c r="S1074">
        <v>9</v>
      </c>
    </row>
    <row r="1075" spans="1:19" x14ac:dyDescent="0.3">
      <c r="A1075" s="19" t="s">
        <v>1133</v>
      </c>
      <c r="B1075" s="20">
        <v>46277</v>
      </c>
      <c r="C1075" s="19" t="s">
        <v>82</v>
      </c>
      <c r="D1075" s="19" t="s">
        <v>21</v>
      </c>
      <c r="E1075" s="19" t="s">
        <v>44</v>
      </c>
      <c r="F1075" s="19" t="s">
        <v>37</v>
      </c>
      <c r="G1075" s="19" t="s">
        <v>24</v>
      </c>
      <c r="H1075" s="19" t="s">
        <v>25</v>
      </c>
      <c r="I1075" s="19">
        <v>2</v>
      </c>
      <c r="J1075" s="21">
        <v>46530</v>
      </c>
      <c r="K1075" s="21">
        <v>93060</v>
      </c>
      <c r="L1075" s="21">
        <v>0</v>
      </c>
      <c r="M1075" s="15">
        <v>0</v>
      </c>
      <c r="N1075" s="21">
        <f t="shared" si="32"/>
        <v>93060</v>
      </c>
      <c r="O1075" s="21">
        <v>50934.97</v>
      </c>
      <c r="P1075" s="21">
        <f t="shared" si="33"/>
        <v>42125.03</v>
      </c>
      <c r="Q1075" s="19" t="s">
        <v>334</v>
      </c>
      <c r="R1075" s="19">
        <v>2026</v>
      </c>
      <c r="S1075" s="19">
        <v>9</v>
      </c>
    </row>
    <row r="1076" spans="1:19" x14ac:dyDescent="0.3">
      <c r="A1076" t="s">
        <v>1134</v>
      </c>
      <c r="B1076" s="2">
        <v>46279</v>
      </c>
      <c r="C1076" t="s">
        <v>33</v>
      </c>
      <c r="D1076" t="s">
        <v>34</v>
      </c>
      <c r="E1076" t="s">
        <v>42</v>
      </c>
      <c r="F1076" t="s">
        <v>37</v>
      </c>
      <c r="G1076" t="s">
        <v>24</v>
      </c>
      <c r="H1076" t="s">
        <v>25</v>
      </c>
      <c r="I1076">
        <v>2</v>
      </c>
      <c r="J1076" s="5">
        <v>42844</v>
      </c>
      <c r="K1076" s="5">
        <v>85688</v>
      </c>
      <c r="L1076" s="5">
        <v>0</v>
      </c>
      <c r="M1076" s="12">
        <v>0</v>
      </c>
      <c r="N1076" s="5">
        <f t="shared" si="32"/>
        <v>85688</v>
      </c>
      <c r="O1076" s="5">
        <v>45825.78</v>
      </c>
      <c r="P1076" s="5">
        <f t="shared" si="33"/>
        <v>39862.22</v>
      </c>
      <c r="Q1076" t="s">
        <v>334</v>
      </c>
      <c r="R1076">
        <v>2026</v>
      </c>
      <c r="S1076">
        <v>9</v>
      </c>
    </row>
    <row r="1077" spans="1:19" x14ac:dyDescent="0.3">
      <c r="A1077" s="19" t="s">
        <v>1135</v>
      </c>
      <c r="B1077" s="20">
        <v>46279</v>
      </c>
      <c r="C1077" s="19" t="s">
        <v>71</v>
      </c>
      <c r="D1077" s="19" t="s">
        <v>34</v>
      </c>
      <c r="E1077" s="19" t="s">
        <v>22</v>
      </c>
      <c r="F1077" s="19" t="s">
        <v>40</v>
      </c>
      <c r="G1077" s="19" t="s">
        <v>31</v>
      </c>
      <c r="H1077" s="19" t="s">
        <v>25</v>
      </c>
      <c r="I1077" s="19">
        <v>2</v>
      </c>
      <c r="J1077" s="21">
        <v>48347</v>
      </c>
      <c r="K1077" s="21">
        <v>96694</v>
      </c>
      <c r="L1077" s="21">
        <v>14504.1</v>
      </c>
      <c r="M1077" s="15">
        <v>0.15</v>
      </c>
      <c r="N1077" s="21">
        <f t="shared" si="32"/>
        <v>82189.899999999994</v>
      </c>
      <c r="O1077" s="21">
        <v>61205.1</v>
      </c>
      <c r="P1077" s="21">
        <f t="shared" si="33"/>
        <v>20984.799999999996</v>
      </c>
      <c r="Q1077" s="19" t="s">
        <v>334</v>
      </c>
      <c r="R1077" s="19">
        <v>2026</v>
      </c>
      <c r="S1077" s="19">
        <v>9</v>
      </c>
    </row>
    <row r="1078" spans="1:19" x14ac:dyDescent="0.3">
      <c r="A1078" t="s">
        <v>1136</v>
      </c>
      <c r="B1078" s="2">
        <v>46281</v>
      </c>
      <c r="C1078" t="s">
        <v>71</v>
      </c>
      <c r="D1078" t="s">
        <v>34</v>
      </c>
      <c r="E1078" t="s">
        <v>22</v>
      </c>
      <c r="F1078" t="s">
        <v>30</v>
      </c>
      <c r="G1078" t="s">
        <v>31</v>
      </c>
      <c r="H1078" t="s">
        <v>25</v>
      </c>
      <c r="I1078">
        <v>4</v>
      </c>
      <c r="J1078" s="5">
        <v>53445</v>
      </c>
      <c r="K1078" s="5">
        <v>213780</v>
      </c>
      <c r="L1078" s="5">
        <v>0</v>
      </c>
      <c r="M1078" s="12">
        <v>0</v>
      </c>
      <c r="N1078" s="5">
        <f t="shared" si="32"/>
        <v>213780</v>
      </c>
      <c r="O1078" s="5">
        <v>119732</v>
      </c>
      <c r="P1078" s="5">
        <f t="shared" si="33"/>
        <v>94048</v>
      </c>
      <c r="Q1078" t="s">
        <v>334</v>
      </c>
      <c r="R1078">
        <v>2026</v>
      </c>
      <c r="S1078">
        <v>9</v>
      </c>
    </row>
    <row r="1079" spans="1:19" x14ac:dyDescent="0.3">
      <c r="A1079" s="19" t="s">
        <v>1137</v>
      </c>
      <c r="B1079" s="20">
        <v>46281</v>
      </c>
      <c r="C1079" s="19" t="s">
        <v>50</v>
      </c>
      <c r="D1079" s="19" t="s">
        <v>34</v>
      </c>
      <c r="E1079" s="19" t="s">
        <v>42</v>
      </c>
      <c r="F1079" s="19" t="s">
        <v>23</v>
      </c>
      <c r="G1079" s="19" t="s">
        <v>24</v>
      </c>
      <c r="H1079" s="19" t="s">
        <v>25</v>
      </c>
      <c r="I1079" s="19">
        <v>1</v>
      </c>
      <c r="J1079" s="21">
        <v>17089</v>
      </c>
      <c r="K1079" s="21">
        <v>17089</v>
      </c>
      <c r="L1079" s="21">
        <v>0</v>
      </c>
      <c r="M1079" s="15">
        <v>0</v>
      </c>
      <c r="N1079" s="21">
        <f t="shared" si="32"/>
        <v>17089</v>
      </c>
      <c r="O1079" s="21">
        <v>8731.94</v>
      </c>
      <c r="P1079" s="21">
        <f t="shared" si="33"/>
        <v>8357.06</v>
      </c>
      <c r="Q1079" s="19" t="s">
        <v>334</v>
      </c>
      <c r="R1079" s="19">
        <v>2026</v>
      </c>
      <c r="S1079" s="19">
        <v>9</v>
      </c>
    </row>
    <row r="1080" spans="1:19" x14ac:dyDescent="0.3">
      <c r="A1080" t="s">
        <v>1138</v>
      </c>
      <c r="B1080" s="2">
        <v>46281</v>
      </c>
      <c r="C1080" t="s">
        <v>82</v>
      </c>
      <c r="D1080" t="s">
        <v>21</v>
      </c>
      <c r="E1080" t="s">
        <v>44</v>
      </c>
      <c r="F1080" t="s">
        <v>40</v>
      </c>
      <c r="G1080" t="s">
        <v>24</v>
      </c>
      <c r="H1080" t="s">
        <v>25</v>
      </c>
      <c r="I1080">
        <v>1</v>
      </c>
      <c r="J1080" s="5">
        <v>46263</v>
      </c>
      <c r="K1080" s="5">
        <v>46263</v>
      </c>
      <c r="L1080" s="5">
        <v>0</v>
      </c>
      <c r="M1080" s="12">
        <v>0</v>
      </c>
      <c r="N1080" s="5">
        <f t="shared" si="32"/>
        <v>46263</v>
      </c>
      <c r="O1080" s="5">
        <v>28526.51</v>
      </c>
      <c r="P1080" s="5">
        <f t="shared" si="33"/>
        <v>17736.490000000002</v>
      </c>
      <c r="Q1080" t="s">
        <v>334</v>
      </c>
      <c r="R1080">
        <v>2026</v>
      </c>
      <c r="S1080">
        <v>9</v>
      </c>
    </row>
    <row r="1081" spans="1:19" x14ac:dyDescent="0.3">
      <c r="A1081" s="19" t="s">
        <v>1139</v>
      </c>
      <c r="B1081" s="20">
        <v>46283</v>
      </c>
      <c r="C1081" s="19" t="s">
        <v>71</v>
      </c>
      <c r="D1081" s="19" t="s">
        <v>34</v>
      </c>
      <c r="E1081" s="19" t="s">
        <v>56</v>
      </c>
      <c r="F1081" s="19" t="s">
        <v>37</v>
      </c>
      <c r="G1081" s="19" t="s">
        <v>31</v>
      </c>
      <c r="H1081" s="19" t="s">
        <v>25</v>
      </c>
      <c r="I1081" s="19">
        <v>1</v>
      </c>
      <c r="J1081" s="21">
        <v>52093</v>
      </c>
      <c r="K1081" s="21">
        <v>52093</v>
      </c>
      <c r="L1081" s="21">
        <v>0</v>
      </c>
      <c r="M1081" s="15">
        <v>0</v>
      </c>
      <c r="N1081" s="21">
        <f t="shared" si="32"/>
        <v>52093</v>
      </c>
      <c r="O1081" s="21">
        <v>31650.68</v>
      </c>
      <c r="P1081" s="21">
        <f t="shared" si="33"/>
        <v>20442.32</v>
      </c>
      <c r="Q1081" s="19" t="s">
        <v>334</v>
      </c>
      <c r="R1081" s="19">
        <v>2026</v>
      </c>
      <c r="S1081" s="19">
        <v>9</v>
      </c>
    </row>
    <row r="1082" spans="1:19" x14ac:dyDescent="0.3">
      <c r="A1082" t="s">
        <v>1140</v>
      </c>
      <c r="B1082" s="2">
        <v>46284</v>
      </c>
      <c r="C1082" t="s">
        <v>75</v>
      </c>
      <c r="D1082" t="s">
        <v>34</v>
      </c>
      <c r="E1082" t="s">
        <v>44</v>
      </c>
      <c r="F1082" t="s">
        <v>37</v>
      </c>
      <c r="G1082" t="s">
        <v>31</v>
      </c>
      <c r="H1082" t="s">
        <v>25</v>
      </c>
      <c r="I1082">
        <v>3</v>
      </c>
      <c r="J1082" s="5">
        <v>40457</v>
      </c>
      <c r="K1082" s="5">
        <v>121371</v>
      </c>
      <c r="L1082" s="5">
        <v>0</v>
      </c>
      <c r="M1082" s="12">
        <v>0</v>
      </c>
      <c r="N1082" s="5">
        <f t="shared" si="32"/>
        <v>121371</v>
      </c>
      <c r="O1082" s="5">
        <v>71605.7</v>
      </c>
      <c r="P1082" s="5">
        <f t="shared" si="33"/>
        <v>49765.3</v>
      </c>
      <c r="Q1082" t="s">
        <v>334</v>
      </c>
      <c r="R1082">
        <v>2026</v>
      </c>
      <c r="S1082">
        <v>9</v>
      </c>
    </row>
    <row r="1083" spans="1:19" x14ac:dyDescent="0.3">
      <c r="A1083" s="19" t="s">
        <v>1141</v>
      </c>
      <c r="B1083" s="20">
        <v>46284</v>
      </c>
      <c r="C1083" s="19" t="s">
        <v>50</v>
      </c>
      <c r="D1083" s="19" t="s">
        <v>34</v>
      </c>
      <c r="E1083" s="19" t="s">
        <v>22</v>
      </c>
      <c r="F1083" s="19" t="s">
        <v>30</v>
      </c>
      <c r="G1083" s="19" t="s">
        <v>31</v>
      </c>
      <c r="H1083" s="19" t="s">
        <v>25</v>
      </c>
      <c r="I1083" s="19">
        <v>2</v>
      </c>
      <c r="J1083" s="21">
        <v>17758</v>
      </c>
      <c r="K1083" s="21">
        <v>35516</v>
      </c>
      <c r="L1083" s="21">
        <v>0</v>
      </c>
      <c r="M1083" s="15">
        <v>0</v>
      </c>
      <c r="N1083" s="21">
        <f t="shared" si="32"/>
        <v>35516</v>
      </c>
      <c r="O1083" s="21">
        <v>20421.349999999999</v>
      </c>
      <c r="P1083" s="21">
        <f t="shared" si="33"/>
        <v>15094.650000000001</v>
      </c>
      <c r="Q1083" s="19" t="s">
        <v>334</v>
      </c>
      <c r="R1083" s="19">
        <v>2026</v>
      </c>
      <c r="S1083" s="19">
        <v>9</v>
      </c>
    </row>
    <row r="1084" spans="1:19" x14ac:dyDescent="0.3">
      <c r="A1084" t="s">
        <v>1142</v>
      </c>
      <c r="B1084" s="2">
        <v>46284</v>
      </c>
      <c r="C1084" t="s">
        <v>64</v>
      </c>
      <c r="D1084" t="s">
        <v>29</v>
      </c>
      <c r="E1084" t="s">
        <v>22</v>
      </c>
      <c r="F1084" t="s">
        <v>23</v>
      </c>
      <c r="G1084" t="s">
        <v>24</v>
      </c>
      <c r="H1084" t="s">
        <v>25</v>
      </c>
      <c r="I1084">
        <v>2</v>
      </c>
      <c r="J1084" s="5">
        <v>28581</v>
      </c>
      <c r="K1084" s="5">
        <v>57162</v>
      </c>
      <c r="L1084" s="5">
        <v>2858.1</v>
      </c>
      <c r="M1084" s="12">
        <v>0.05</v>
      </c>
      <c r="N1084" s="5">
        <f t="shared" si="32"/>
        <v>54303.9</v>
      </c>
      <c r="O1084" s="5">
        <v>32809.22</v>
      </c>
      <c r="P1084" s="5">
        <f t="shared" si="33"/>
        <v>21494.68</v>
      </c>
      <c r="Q1084" t="s">
        <v>334</v>
      </c>
      <c r="R1084">
        <v>2026</v>
      </c>
      <c r="S1084">
        <v>9</v>
      </c>
    </row>
    <row r="1085" spans="1:19" x14ac:dyDescent="0.3">
      <c r="A1085" s="19" t="s">
        <v>1143</v>
      </c>
      <c r="B1085" s="20">
        <v>46284</v>
      </c>
      <c r="C1085" s="19" t="s">
        <v>71</v>
      </c>
      <c r="D1085" s="19" t="s">
        <v>34</v>
      </c>
      <c r="E1085" s="19" t="s">
        <v>22</v>
      </c>
      <c r="F1085" s="19" t="s">
        <v>23</v>
      </c>
      <c r="G1085" s="19" t="s">
        <v>24</v>
      </c>
      <c r="H1085" s="19" t="s">
        <v>25</v>
      </c>
      <c r="I1085" s="19">
        <v>1</v>
      </c>
      <c r="J1085" s="21">
        <v>51249</v>
      </c>
      <c r="K1085" s="21">
        <v>51249</v>
      </c>
      <c r="L1085" s="21">
        <v>0</v>
      </c>
      <c r="M1085" s="15">
        <v>0</v>
      </c>
      <c r="N1085" s="21">
        <f t="shared" si="32"/>
        <v>51249</v>
      </c>
      <c r="O1085" s="21">
        <v>29573.55</v>
      </c>
      <c r="P1085" s="21">
        <f t="shared" si="33"/>
        <v>21675.45</v>
      </c>
      <c r="Q1085" s="19" t="s">
        <v>334</v>
      </c>
      <c r="R1085" s="19">
        <v>2026</v>
      </c>
      <c r="S1085" s="19">
        <v>9</v>
      </c>
    </row>
    <row r="1086" spans="1:19" x14ac:dyDescent="0.3">
      <c r="A1086" t="s">
        <v>1144</v>
      </c>
      <c r="B1086" s="2">
        <v>46286</v>
      </c>
      <c r="C1086" t="s">
        <v>50</v>
      </c>
      <c r="D1086" t="s">
        <v>34</v>
      </c>
      <c r="E1086" t="s">
        <v>22</v>
      </c>
      <c r="F1086" t="s">
        <v>37</v>
      </c>
      <c r="G1086" t="s">
        <v>24</v>
      </c>
      <c r="H1086" t="s">
        <v>25</v>
      </c>
      <c r="I1086">
        <v>4</v>
      </c>
      <c r="J1086" s="5">
        <v>17413</v>
      </c>
      <c r="K1086" s="5">
        <v>69652</v>
      </c>
      <c r="L1086" s="5">
        <v>0</v>
      </c>
      <c r="M1086" s="12">
        <v>0</v>
      </c>
      <c r="N1086" s="5">
        <f t="shared" si="32"/>
        <v>69652</v>
      </c>
      <c r="O1086" s="5">
        <v>36551.94</v>
      </c>
      <c r="P1086" s="5">
        <f t="shared" si="33"/>
        <v>33100.06</v>
      </c>
      <c r="Q1086" t="s">
        <v>334</v>
      </c>
      <c r="R1086">
        <v>2026</v>
      </c>
      <c r="S1086">
        <v>9</v>
      </c>
    </row>
    <row r="1087" spans="1:19" x14ac:dyDescent="0.3">
      <c r="A1087" s="19" t="s">
        <v>1145</v>
      </c>
      <c r="B1087" s="20">
        <v>46286</v>
      </c>
      <c r="C1087" s="19" t="s">
        <v>46</v>
      </c>
      <c r="D1087" s="19" t="s">
        <v>21</v>
      </c>
      <c r="E1087" s="19" t="s">
        <v>56</v>
      </c>
      <c r="F1087" s="19" t="s">
        <v>40</v>
      </c>
      <c r="G1087" s="19" t="s">
        <v>24</v>
      </c>
      <c r="H1087" s="19" t="s">
        <v>25</v>
      </c>
      <c r="I1087" s="19">
        <v>3</v>
      </c>
      <c r="J1087" s="21">
        <v>12278</v>
      </c>
      <c r="K1087" s="21">
        <v>36834</v>
      </c>
      <c r="L1087" s="21">
        <v>0</v>
      </c>
      <c r="M1087" s="15">
        <v>0</v>
      </c>
      <c r="N1087" s="21">
        <f t="shared" si="32"/>
        <v>36834</v>
      </c>
      <c r="O1087" s="21">
        <v>20639.05</v>
      </c>
      <c r="P1087" s="21">
        <f t="shared" si="33"/>
        <v>16194.95</v>
      </c>
      <c r="Q1087" s="19" t="s">
        <v>334</v>
      </c>
      <c r="R1087" s="19">
        <v>2026</v>
      </c>
      <c r="S1087" s="19">
        <v>9</v>
      </c>
    </row>
    <row r="1088" spans="1:19" x14ac:dyDescent="0.3">
      <c r="A1088" t="s">
        <v>1146</v>
      </c>
      <c r="B1088" s="2">
        <v>46287</v>
      </c>
      <c r="C1088" t="s">
        <v>20</v>
      </c>
      <c r="D1088" t="s">
        <v>21</v>
      </c>
      <c r="E1088" t="s">
        <v>22</v>
      </c>
      <c r="F1088" t="s">
        <v>23</v>
      </c>
      <c r="G1088" t="s">
        <v>31</v>
      </c>
      <c r="H1088" t="s">
        <v>25</v>
      </c>
      <c r="I1088">
        <v>1</v>
      </c>
      <c r="J1088" s="5">
        <v>14574</v>
      </c>
      <c r="K1088" s="5">
        <v>14574</v>
      </c>
      <c r="L1088" s="5">
        <v>0</v>
      </c>
      <c r="M1088" s="12">
        <v>0</v>
      </c>
      <c r="N1088" s="5">
        <f t="shared" si="32"/>
        <v>14574</v>
      </c>
      <c r="O1088" s="5">
        <v>7443.79</v>
      </c>
      <c r="P1088" s="5">
        <f t="shared" si="33"/>
        <v>7130.21</v>
      </c>
      <c r="Q1088" t="s">
        <v>334</v>
      </c>
      <c r="R1088">
        <v>2026</v>
      </c>
      <c r="S1088">
        <v>9</v>
      </c>
    </row>
    <row r="1089" spans="1:19" x14ac:dyDescent="0.3">
      <c r="A1089" s="19" t="s">
        <v>1147</v>
      </c>
      <c r="B1089" s="20">
        <v>46288</v>
      </c>
      <c r="C1089" s="19" t="s">
        <v>64</v>
      </c>
      <c r="D1089" s="19" t="s">
        <v>29</v>
      </c>
      <c r="E1089" s="19" t="s">
        <v>22</v>
      </c>
      <c r="F1089" s="19" t="s">
        <v>37</v>
      </c>
      <c r="G1089" s="19" t="s">
        <v>31</v>
      </c>
      <c r="H1089" s="19" t="s">
        <v>25</v>
      </c>
      <c r="I1089" s="19">
        <v>1</v>
      </c>
      <c r="J1089" s="21">
        <v>30809</v>
      </c>
      <c r="K1089" s="21">
        <v>30809</v>
      </c>
      <c r="L1089" s="21">
        <v>3080.9</v>
      </c>
      <c r="M1089" s="15">
        <v>0.1</v>
      </c>
      <c r="N1089" s="21">
        <f t="shared" si="32"/>
        <v>27728.1</v>
      </c>
      <c r="O1089" s="21">
        <v>18994.36</v>
      </c>
      <c r="P1089" s="21">
        <f t="shared" si="33"/>
        <v>8733.739999999998</v>
      </c>
      <c r="Q1089" s="19" t="s">
        <v>334</v>
      </c>
      <c r="R1089" s="19">
        <v>2026</v>
      </c>
      <c r="S1089" s="19">
        <v>9</v>
      </c>
    </row>
    <row r="1090" spans="1:19" x14ac:dyDescent="0.3">
      <c r="A1090" t="s">
        <v>1148</v>
      </c>
      <c r="B1090" s="2">
        <v>46288</v>
      </c>
      <c r="C1090" t="s">
        <v>48</v>
      </c>
      <c r="D1090" t="s">
        <v>34</v>
      </c>
      <c r="E1090" t="s">
        <v>42</v>
      </c>
      <c r="F1090" t="s">
        <v>40</v>
      </c>
      <c r="G1090" t="s">
        <v>24</v>
      </c>
      <c r="H1090" t="s">
        <v>25</v>
      </c>
      <c r="I1090">
        <v>2</v>
      </c>
      <c r="J1090" s="5">
        <v>24727</v>
      </c>
      <c r="K1090" s="5">
        <v>49454</v>
      </c>
      <c r="L1090" s="5">
        <v>0</v>
      </c>
      <c r="M1090" s="12">
        <v>0</v>
      </c>
      <c r="N1090" s="5">
        <f t="shared" si="32"/>
        <v>49454</v>
      </c>
      <c r="O1090" s="5">
        <v>28846.98</v>
      </c>
      <c r="P1090" s="5">
        <f t="shared" si="33"/>
        <v>20607.02</v>
      </c>
      <c r="Q1090" t="s">
        <v>334</v>
      </c>
      <c r="R1090">
        <v>2026</v>
      </c>
      <c r="S1090">
        <v>9</v>
      </c>
    </row>
    <row r="1091" spans="1:19" x14ac:dyDescent="0.3">
      <c r="A1091" s="19" t="s">
        <v>1149</v>
      </c>
      <c r="B1091" s="20">
        <v>46288</v>
      </c>
      <c r="C1091" s="19" t="s">
        <v>82</v>
      </c>
      <c r="D1091" s="19" t="s">
        <v>21</v>
      </c>
      <c r="E1091" s="19" t="s">
        <v>44</v>
      </c>
      <c r="F1091" s="19" t="s">
        <v>40</v>
      </c>
      <c r="G1091" s="19" t="s">
        <v>24</v>
      </c>
      <c r="H1091" s="19" t="s">
        <v>25</v>
      </c>
      <c r="I1091" s="19">
        <v>1</v>
      </c>
      <c r="J1091" s="21">
        <v>44566</v>
      </c>
      <c r="K1091" s="21">
        <v>44566</v>
      </c>
      <c r="L1091" s="21">
        <v>0</v>
      </c>
      <c r="M1091" s="15">
        <v>0</v>
      </c>
      <c r="N1091" s="21">
        <f t="shared" ref="N1091:N1154" si="34">K1091-L1091</f>
        <v>44566</v>
      </c>
      <c r="O1091" s="21">
        <v>24787.18</v>
      </c>
      <c r="P1091" s="21">
        <f t="shared" si="33"/>
        <v>19778.82</v>
      </c>
      <c r="Q1091" s="19" t="s">
        <v>334</v>
      </c>
      <c r="R1091" s="19">
        <v>2026</v>
      </c>
      <c r="S1091" s="19">
        <v>9</v>
      </c>
    </row>
    <row r="1092" spans="1:19" x14ac:dyDescent="0.3">
      <c r="A1092" t="s">
        <v>1150</v>
      </c>
      <c r="B1092" s="2">
        <v>46289</v>
      </c>
      <c r="C1092" t="s">
        <v>48</v>
      </c>
      <c r="D1092" t="s">
        <v>34</v>
      </c>
      <c r="E1092" t="s">
        <v>22</v>
      </c>
      <c r="F1092" t="s">
        <v>37</v>
      </c>
      <c r="G1092" t="s">
        <v>31</v>
      </c>
      <c r="H1092" t="s">
        <v>25</v>
      </c>
      <c r="I1092">
        <v>1</v>
      </c>
      <c r="J1092" s="5">
        <v>26210</v>
      </c>
      <c r="K1092" s="5">
        <v>26210</v>
      </c>
      <c r="L1092" s="5">
        <v>0</v>
      </c>
      <c r="M1092" s="12">
        <v>0</v>
      </c>
      <c r="N1092" s="5">
        <f t="shared" si="34"/>
        <v>26210</v>
      </c>
      <c r="O1092" s="5">
        <v>16652.62</v>
      </c>
      <c r="P1092" s="5">
        <f t="shared" ref="P1092:P1155" si="35">N1092-O1092</f>
        <v>9557.380000000001</v>
      </c>
      <c r="Q1092" t="s">
        <v>334</v>
      </c>
      <c r="R1092">
        <v>2026</v>
      </c>
      <c r="S1092">
        <v>9</v>
      </c>
    </row>
    <row r="1093" spans="1:19" x14ac:dyDescent="0.3">
      <c r="A1093" s="19" t="s">
        <v>1151</v>
      </c>
      <c r="B1093" s="20">
        <v>46294</v>
      </c>
      <c r="C1093" s="19" t="s">
        <v>71</v>
      </c>
      <c r="D1093" s="19" t="s">
        <v>34</v>
      </c>
      <c r="E1093" s="19" t="s">
        <v>42</v>
      </c>
      <c r="F1093" s="19" t="s">
        <v>37</v>
      </c>
      <c r="G1093" s="19" t="s">
        <v>31</v>
      </c>
      <c r="H1093" s="19" t="s">
        <v>25</v>
      </c>
      <c r="I1093" s="19">
        <v>1</v>
      </c>
      <c r="J1093" s="21">
        <v>50819</v>
      </c>
      <c r="K1093" s="21">
        <v>50819</v>
      </c>
      <c r="L1093" s="21">
        <v>0</v>
      </c>
      <c r="M1093" s="15">
        <v>0</v>
      </c>
      <c r="N1093" s="21">
        <f t="shared" si="34"/>
        <v>50819</v>
      </c>
      <c r="O1093" s="21">
        <v>26769.55</v>
      </c>
      <c r="P1093" s="21">
        <f t="shared" si="35"/>
        <v>24049.45</v>
      </c>
      <c r="Q1093" s="19" t="s">
        <v>334</v>
      </c>
      <c r="R1093" s="19">
        <v>2026</v>
      </c>
      <c r="S1093" s="19">
        <v>9</v>
      </c>
    </row>
    <row r="1094" spans="1:19" x14ac:dyDescent="0.3">
      <c r="A1094" t="s">
        <v>1152</v>
      </c>
      <c r="B1094" s="2">
        <v>46294</v>
      </c>
      <c r="C1094" t="s">
        <v>50</v>
      </c>
      <c r="D1094" t="s">
        <v>34</v>
      </c>
      <c r="E1094" t="s">
        <v>42</v>
      </c>
      <c r="F1094" t="s">
        <v>40</v>
      </c>
      <c r="G1094" t="s">
        <v>31</v>
      </c>
      <c r="H1094" t="s">
        <v>25</v>
      </c>
      <c r="I1094">
        <v>5</v>
      </c>
      <c r="J1094" s="5">
        <v>17379</v>
      </c>
      <c r="K1094" s="5">
        <v>86895</v>
      </c>
      <c r="L1094" s="5">
        <v>0</v>
      </c>
      <c r="M1094" s="12">
        <v>0</v>
      </c>
      <c r="N1094" s="5">
        <f t="shared" si="34"/>
        <v>86895</v>
      </c>
      <c r="O1094" s="5">
        <v>49782.36</v>
      </c>
      <c r="P1094" s="5">
        <f t="shared" si="35"/>
        <v>37112.639999999999</v>
      </c>
      <c r="Q1094" t="s">
        <v>334</v>
      </c>
      <c r="R1094">
        <v>2026</v>
      </c>
      <c r="S1094">
        <v>9</v>
      </c>
    </row>
    <row r="1095" spans="1:19" x14ac:dyDescent="0.3">
      <c r="A1095" s="19" t="s">
        <v>1153</v>
      </c>
      <c r="B1095" s="20">
        <v>46295</v>
      </c>
      <c r="C1095" s="19" t="s">
        <v>33</v>
      </c>
      <c r="D1095" s="19" t="s">
        <v>34</v>
      </c>
      <c r="E1095" s="19" t="s">
        <v>42</v>
      </c>
      <c r="F1095" s="19" t="s">
        <v>40</v>
      </c>
      <c r="G1095" s="19" t="s">
        <v>31</v>
      </c>
      <c r="H1095" s="19" t="s">
        <v>25</v>
      </c>
      <c r="I1095" s="19">
        <v>4</v>
      </c>
      <c r="J1095" s="21">
        <v>41548</v>
      </c>
      <c r="K1095" s="21">
        <v>166192</v>
      </c>
      <c r="L1095" s="21">
        <v>0</v>
      </c>
      <c r="M1095" s="15">
        <v>0</v>
      </c>
      <c r="N1095" s="21">
        <f t="shared" si="34"/>
        <v>166192</v>
      </c>
      <c r="O1095" s="21">
        <v>88600.59</v>
      </c>
      <c r="P1095" s="21">
        <f t="shared" si="35"/>
        <v>77591.41</v>
      </c>
      <c r="Q1095" s="19" t="s">
        <v>334</v>
      </c>
      <c r="R1095" s="19">
        <v>2026</v>
      </c>
      <c r="S1095" s="19">
        <v>9</v>
      </c>
    </row>
    <row r="1096" spans="1:19" x14ac:dyDescent="0.3">
      <c r="A1096" t="s">
        <v>1154</v>
      </c>
      <c r="B1096" s="2">
        <v>46295</v>
      </c>
      <c r="C1096" t="s">
        <v>33</v>
      </c>
      <c r="D1096" t="s">
        <v>34</v>
      </c>
      <c r="E1096" t="s">
        <v>22</v>
      </c>
      <c r="F1096" t="s">
        <v>35</v>
      </c>
      <c r="G1096" t="s">
        <v>31</v>
      </c>
      <c r="H1096" t="s">
        <v>25</v>
      </c>
      <c r="I1096">
        <v>1</v>
      </c>
      <c r="J1096" s="5">
        <v>40631</v>
      </c>
      <c r="K1096" s="5">
        <v>40631</v>
      </c>
      <c r="L1096" s="5">
        <v>0</v>
      </c>
      <c r="M1096" s="12">
        <v>0</v>
      </c>
      <c r="N1096" s="5">
        <f t="shared" si="34"/>
        <v>40631</v>
      </c>
      <c r="O1096" s="5">
        <v>23951.279999999999</v>
      </c>
      <c r="P1096" s="5">
        <f t="shared" si="35"/>
        <v>16679.72</v>
      </c>
      <c r="Q1096" t="s">
        <v>334</v>
      </c>
      <c r="R1096">
        <v>2026</v>
      </c>
      <c r="S1096">
        <v>9</v>
      </c>
    </row>
    <row r="1097" spans="1:19" x14ac:dyDescent="0.3">
      <c r="A1097" s="19" t="s">
        <v>1155</v>
      </c>
      <c r="B1097" s="20">
        <v>46298</v>
      </c>
      <c r="C1097" s="19" t="s">
        <v>75</v>
      </c>
      <c r="D1097" s="19" t="s">
        <v>34</v>
      </c>
      <c r="E1097" s="19" t="s">
        <v>42</v>
      </c>
      <c r="F1097" s="19" t="s">
        <v>37</v>
      </c>
      <c r="G1097" s="19" t="s">
        <v>31</v>
      </c>
      <c r="H1097" s="19" t="s">
        <v>25</v>
      </c>
      <c r="I1097" s="19">
        <v>4</v>
      </c>
      <c r="J1097" s="21">
        <v>38079</v>
      </c>
      <c r="K1097" s="21">
        <v>152316</v>
      </c>
      <c r="L1097" s="21">
        <v>0</v>
      </c>
      <c r="M1097" s="15">
        <v>0</v>
      </c>
      <c r="N1097" s="21">
        <f t="shared" si="34"/>
        <v>152316</v>
      </c>
      <c r="O1097" s="21">
        <v>98924.83</v>
      </c>
      <c r="P1097" s="21">
        <f t="shared" si="35"/>
        <v>53391.17</v>
      </c>
      <c r="Q1097" s="19" t="s">
        <v>364</v>
      </c>
      <c r="R1097" s="19">
        <v>2026</v>
      </c>
      <c r="S1097" s="19">
        <v>10</v>
      </c>
    </row>
    <row r="1098" spans="1:19" x14ac:dyDescent="0.3">
      <c r="A1098" t="s">
        <v>1156</v>
      </c>
      <c r="B1098" s="2">
        <v>46298</v>
      </c>
      <c r="C1098" t="s">
        <v>33</v>
      </c>
      <c r="D1098" t="s">
        <v>34</v>
      </c>
      <c r="E1098" t="s">
        <v>22</v>
      </c>
      <c r="F1098" t="s">
        <v>23</v>
      </c>
      <c r="G1098" t="s">
        <v>24</v>
      </c>
      <c r="H1098" t="s">
        <v>25</v>
      </c>
      <c r="I1098">
        <v>3</v>
      </c>
      <c r="J1098" s="5">
        <v>40875</v>
      </c>
      <c r="K1098" s="5">
        <v>122625</v>
      </c>
      <c r="L1098" s="5">
        <v>0</v>
      </c>
      <c r="M1098" s="12">
        <v>0</v>
      </c>
      <c r="N1098" s="5">
        <f t="shared" si="34"/>
        <v>122625</v>
      </c>
      <c r="O1098" s="5">
        <v>59205.3</v>
      </c>
      <c r="P1098" s="5">
        <f t="shared" si="35"/>
        <v>63419.7</v>
      </c>
      <c r="Q1098" t="s">
        <v>364</v>
      </c>
      <c r="R1098">
        <v>2026</v>
      </c>
      <c r="S1098">
        <v>10</v>
      </c>
    </row>
    <row r="1099" spans="1:19" x14ac:dyDescent="0.3">
      <c r="A1099" s="19" t="s">
        <v>1157</v>
      </c>
      <c r="B1099" s="20">
        <v>46299</v>
      </c>
      <c r="C1099" s="19" t="s">
        <v>48</v>
      </c>
      <c r="D1099" s="19" t="s">
        <v>34</v>
      </c>
      <c r="E1099" s="19" t="s">
        <v>56</v>
      </c>
      <c r="F1099" s="19" t="s">
        <v>37</v>
      </c>
      <c r="G1099" s="19" t="s">
        <v>24</v>
      </c>
      <c r="H1099" s="19" t="s">
        <v>25</v>
      </c>
      <c r="I1099" s="19">
        <v>5</v>
      </c>
      <c r="J1099" s="21">
        <v>25876</v>
      </c>
      <c r="K1099" s="21">
        <v>129380</v>
      </c>
      <c r="L1099" s="21">
        <v>0</v>
      </c>
      <c r="M1099" s="15">
        <v>0</v>
      </c>
      <c r="N1099" s="21">
        <f t="shared" si="34"/>
        <v>129380</v>
      </c>
      <c r="O1099" s="21">
        <v>79937.73</v>
      </c>
      <c r="P1099" s="21">
        <f t="shared" si="35"/>
        <v>49442.270000000004</v>
      </c>
      <c r="Q1099" s="19" t="s">
        <v>364</v>
      </c>
      <c r="R1099" s="19">
        <v>2026</v>
      </c>
      <c r="S1099" s="19">
        <v>10</v>
      </c>
    </row>
    <row r="1100" spans="1:19" x14ac:dyDescent="0.3">
      <c r="A1100" t="s">
        <v>1158</v>
      </c>
      <c r="B1100" s="2">
        <v>46300</v>
      </c>
      <c r="C1100" t="s">
        <v>71</v>
      </c>
      <c r="D1100" t="s">
        <v>34</v>
      </c>
      <c r="E1100" t="s">
        <v>22</v>
      </c>
      <c r="F1100" t="s">
        <v>40</v>
      </c>
      <c r="G1100" t="s">
        <v>24</v>
      </c>
      <c r="H1100" t="s">
        <v>25</v>
      </c>
      <c r="I1100">
        <v>1</v>
      </c>
      <c r="J1100" s="5">
        <v>51938</v>
      </c>
      <c r="K1100" s="5">
        <v>51938</v>
      </c>
      <c r="L1100" s="5">
        <v>0</v>
      </c>
      <c r="M1100" s="12">
        <v>0</v>
      </c>
      <c r="N1100" s="5">
        <f t="shared" si="34"/>
        <v>51938</v>
      </c>
      <c r="O1100" s="5">
        <v>31142.12</v>
      </c>
      <c r="P1100" s="5">
        <f t="shared" si="35"/>
        <v>20795.88</v>
      </c>
      <c r="Q1100" t="s">
        <v>364</v>
      </c>
      <c r="R1100">
        <v>2026</v>
      </c>
      <c r="S1100">
        <v>10</v>
      </c>
    </row>
    <row r="1101" spans="1:19" x14ac:dyDescent="0.3">
      <c r="A1101" s="19" t="s">
        <v>1159</v>
      </c>
      <c r="B1101" s="20">
        <v>46300</v>
      </c>
      <c r="C1101" s="19" t="s">
        <v>28</v>
      </c>
      <c r="D1101" s="19" t="s">
        <v>29</v>
      </c>
      <c r="E1101" s="19" t="s">
        <v>56</v>
      </c>
      <c r="F1101" s="19" t="s">
        <v>37</v>
      </c>
      <c r="G1101" s="19" t="s">
        <v>31</v>
      </c>
      <c r="H1101" s="19" t="s">
        <v>25</v>
      </c>
      <c r="I1101" s="19">
        <v>2</v>
      </c>
      <c r="J1101" s="21">
        <v>64959</v>
      </c>
      <c r="K1101" s="21">
        <v>129918</v>
      </c>
      <c r="L1101" s="21">
        <v>0</v>
      </c>
      <c r="M1101" s="15">
        <v>0</v>
      </c>
      <c r="N1101" s="21">
        <f t="shared" si="34"/>
        <v>129918</v>
      </c>
      <c r="O1101" s="21">
        <v>65638.100000000006</v>
      </c>
      <c r="P1101" s="21">
        <f t="shared" si="35"/>
        <v>64279.899999999994</v>
      </c>
      <c r="Q1101" s="19" t="s">
        <v>364</v>
      </c>
      <c r="R1101" s="19">
        <v>2026</v>
      </c>
      <c r="S1101" s="19">
        <v>10</v>
      </c>
    </row>
    <row r="1102" spans="1:19" x14ac:dyDescent="0.3">
      <c r="A1102" t="s">
        <v>1160</v>
      </c>
      <c r="B1102" s="2">
        <v>46300</v>
      </c>
      <c r="C1102" t="s">
        <v>46</v>
      </c>
      <c r="D1102" t="s">
        <v>21</v>
      </c>
      <c r="E1102" t="s">
        <v>56</v>
      </c>
      <c r="F1102" t="s">
        <v>37</v>
      </c>
      <c r="G1102" t="s">
        <v>31</v>
      </c>
      <c r="H1102" t="s">
        <v>25</v>
      </c>
      <c r="I1102">
        <v>4</v>
      </c>
      <c r="J1102" s="5">
        <v>11853</v>
      </c>
      <c r="K1102" s="5">
        <v>47412</v>
      </c>
      <c r="L1102" s="5">
        <v>4741.2</v>
      </c>
      <c r="M1102" s="12">
        <v>0.1</v>
      </c>
      <c r="N1102" s="5">
        <f t="shared" si="34"/>
        <v>42670.8</v>
      </c>
      <c r="O1102" s="5">
        <v>31875.57</v>
      </c>
      <c r="P1102" s="5">
        <f t="shared" si="35"/>
        <v>10795.230000000003</v>
      </c>
      <c r="Q1102" t="s">
        <v>364</v>
      </c>
      <c r="R1102">
        <v>2026</v>
      </c>
      <c r="S1102">
        <v>10</v>
      </c>
    </row>
    <row r="1103" spans="1:19" x14ac:dyDescent="0.3">
      <c r="A1103" s="19" t="s">
        <v>1161</v>
      </c>
      <c r="B1103" s="20">
        <v>46301</v>
      </c>
      <c r="C1103" s="19" t="s">
        <v>75</v>
      </c>
      <c r="D1103" s="19" t="s">
        <v>34</v>
      </c>
      <c r="E1103" s="19" t="s">
        <v>56</v>
      </c>
      <c r="F1103" s="19" t="s">
        <v>37</v>
      </c>
      <c r="G1103" s="19" t="s">
        <v>24</v>
      </c>
      <c r="H1103" s="19" t="s">
        <v>25</v>
      </c>
      <c r="I1103" s="19">
        <v>4</v>
      </c>
      <c r="J1103" s="21">
        <v>39631</v>
      </c>
      <c r="K1103" s="21">
        <v>158524</v>
      </c>
      <c r="L1103" s="21">
        <v>0</v>
      </c>
      <c r="M1103" s="15">
        <v>0</v>
      </c>
      <c r="N1103" s="21">
        <f t="shared" si="34"/>
        <v>158524</v>
      </c>
      <c r="O1103" s="21">
        <v>82786.240000000005</v>
      </c>
      <c r="P1103" s="21">
        <f t="shared" si="35"/>
        <v>75737.759999999995</v>
      </c>
      <c r="Q1103" s="19" t="s">
        <v>364</v>
      </c>
      <c r="R1103" s="19">
        <v>2026</v>
      </c>
      <c r="S1103" s="19">
        <v>10</v>
      </c>
    </row>
    <row r="1104" spans="1:19" x14ac:dyDescent="0.3">
      <c r="A1104" t="s">
        <v>1162</v>
      </c>
      <c r="B1104" s="2">
        <v>46303</v>
      </c>
      <c r="C1104" t="s">
        <v>50</v>
      </c>
      <c r="D1104" t="s">
        <v>34</v>
      </c>
      <c r="E1104" t="s">
        <v>56</v>
      </c>
      <c r="F1104" t="s">
        <v>35</v>
      </c>
      <c r="G1104" t="s">
        <v>31</v>
      </c>
      <c r="H1104" t="s">
        <v>25</v>
      </c>
      <c r="I1104">
        <v>2</v>
      </c>
      <c r="J1104" s="5">
        <v>19394</v>
      </c>
      <c r="K1104" s="5">
        <v>38788</v>
      </c>
      <c r="L1104" s="5">
        <v>0</v>
      </c>
      <c r="M1104" s="12">
        <v>0</v>
      </c>
      <c r="N1104" s="5">
        <f t="shared" si="34"/>
        <v>38788</v>
      </c>
      <c r="O1104" s="5">
        <v>24488.87</v>
      </c>
      <c r="P1104" s="5">
        <f t="shared" si="35"/>
        <v>14299.130000000001</v>
      </c>
      <c r="Q1104" t="s">
        <v>364</v>
      </c>
      <c r="R1104">
        <v>2026</v>
      </c>
      <c r="S1104">
        <v>10</v>
      </c>
    </row>
    <row r="1105" spans="1:19" x14ac:dyDescent="0.3">
      <c r="A1105" s="19" t="s">
        <v>1163</v>
      </c>
      <c r="B1105" s="20">
        <v>46304</v>
      </c>
      <c r="C1105" s="19" t="s">
        <v>82</v>
      </c>
      <c r="D1105" s="19" t="s">
        <v>21</v>
      </c>
      <c r="E1105" s="19" t="s">
        <v>42</v>
      </c>
      <c r="F1105" s="19" t="s">
        <v>23</v>
      </c>
      <c r="G1105" s="19" t="s">
        <v>31</v>
      </c>
      <c r="H1105" s="19" t="s">
        <v>25</v>
      </c>
      <c r="I1105" s="19">
        <v>2</v>
      </c>
      <c r="J1105" s="21">
        <v>46171</v>
      </c>
      <c r="K1105" s="21">
        <v>92342</v>
      </c>
      <c r="L1105" s="21">
        <v>0</v>
      </c>
      <c r="M1105" s="15">
        <v>0</v>
      </c>
      <c r="N1105" s="21">
        <f t="shared" si="34"/>
        <v>92342</v>
      </c>
      <c r="O1105" s="21">
        <v>55337.26</v>
      </c>
      <c r="P1105" s="21">
        <f t="shared" si="35"/>
        <v>37004.74</v>
      </c>
      <c r="Q1105" s="19" t="s">
        <v>364</v>
      </c>
      <c r="R1105" s="19">
        <v>2026</v>
      </c>
      <c r="S1105" s="19">
        <v>10</v>
      </c>
    </row>
    <row r="1106" spans="1:19" x14ac:dyDescent="0.3">
      <c r="A1106" t="s">
        <v>1164</v>
      </c>
      <c r="B1106" s="2">
        <v>46304</v>
      </c>
      <c r="C1106" t="s">
        <v>46</v>
      </c>
      <c r="D1106" t="s">
        <v>21</v>
      </c>
      <c r="E1106" t="s">
        <v>56</v>
      </c>
      <c r="F1106" t="s">
        <v>37</v>
      </c>
      <c r="G1106" t="s">
        <v>24</v>
      </c>
      <c r="H1106" t="s">
        <v>25</v>
      </c>
      <c r="I1106">
        <v>3</v>
      </c>
      <c r="J1106" s="5">
        <v>11281</v>
      </c>
      <c r="K1106" s="5">
        <v>33843</v>
      </c>
      <c r="L1106" s="5">
        <v>0</v>
      </c>
      <c r="M1106" s="12">
        <v>0</v>
      </c>
      <c r="N1106" s="5">
        <f t="shared" si="34"/>
        <v>33843</v>
      </c>
      <c r="O1106" s="5">
        <v>16975.95</v>
      </c>
      <c r="P1106" s="5">
        <f t="shared" si="35"/>
        <v>16867.05</v>
      </c>
      <c r="Q1106" t="s">
        <v>364</v>
      </c>
      <c r="R1106">
        <v>2026</v>
      </c>
      <c r="S1106">
        <v>10</v>
      </c>
    </row>
    <row r="1107" spans="1:19" x14ac:dyDescent="0.3">
      <c r="A1107" s="19" t="s">
        <v>1165</v>
      </c>
      <c r="B1107" s="20">
        <v>46305</v>
      </c>
      <c r="C1107" s="19" t="s">
        <v>71</v>
      </c>
      <c r="D1107" s="19" t="s">
        <v>34</v>
      </c>
      <c r="E1107" s="19" t="s">
        <v>44</v>
      </c>
      <c r="F1107" s="19" t="s">
        <v>40</v>
      </c>
      <c r="G1107" s="19" t="s">
        <v>31</v>
      </c>
      <c r="H1107" s="19" t="s">
        <v>25</v>
      </c>
      <c r="I1107" s="19">
        <v>1</v>
      </c>
      <c r="J1107" s="21">
        <v>52843</v>
      </c>
      <c r="K1107" s="21">
        <v>52843</v>
      </c>
      <c r="L1107" s="21">
        <v>0</v>
      </c>
      <c r="M1107" s="15">
        <v>0</v>
      </c>
      <c r="N1107" s="21">
        <f t="shared" si="34"/>
        <v>52843</v>
      </c>
      <c r="O1107" s="21">
        <v>26168.91</v>
      </c>
      <c r="P1107" s="21">
        <f t="shared" si="35"/>
        <v>26674.09</v>
      </c>
      <c r="Q1107" s="19" t="s">
        <v>364</v>
      </c>
      <c r="R1107" s="19">
        <v>2026</v>
      </c>
      <c r="S1107" s="19">
        <v>10</v>
      </c>
    </row>
    <row r="1108" spans="1:19" x14ac:dyDescent="0.3">
      <c r="A1108" t="s">
        <v>1166</v>
      </c>
      <c r="B1108" s="2">
        <v>46306</v>
      </c>
      <c r="C1108" t="s">
        <v>46</v>
      </c>
      <c r="D1108" t="s">
        <v>21</v>
      </c>
      <c r="E1108" t="s">
        <v>56</v>
      </c>
      <c r="F1108" t="s">
        <v>30</v>
      </c>
      <c r="G1108" t="s">
        <v>24</v>
      </c>
      <c r="H1108" t="s">
        <v>25</v>
      </c>
      <c r="I1108">
        <v>1</v>
      </c>
      <c r="J1108" s="5">
        <v>12539</v>
      </c>
      <c r="K1108" s="5">
        <v>12539</v>
      </c>
      <c r="L1108" s="5">
        <v>0</v>
      </c>
      <c r="M1108" s="12">
        <v>0</v>
      </c>
      <c r="N1108" s="5">
        <f t="shared" si="34"/>
        <v>12539</v>
      </c>
      <c r="O1108" s="5">
        <v>6450.29</v>
      </c>
      <c r="P1108" s="5">
        <f t="shared" si="35"/>
        <v>6088.71</v>
      </c>
      <c r="Q1108" t="s">
        <v>364</v>
      </c>
      <c r="R1108">
        <v>2026</v>
      </c>
      <c r="S1108">
        <v>10</v>
      </c>
    </row>
    <row r="1109" spans="1:19" x14ac:dyDescent="0.3">
      <c r="A1109" s="19" t="s">
        <v>1167</v>
      </c>
      <c r="B1109" s="20">
        <v>46307</v>
      </c>
      <c r="C1109" s="19" t="s">
        <v>46</v>
      </c>
      <c r="D1109" s="19" t="s">
        <v>21</v>
      </c>
      <c r="E1109" s="19" t="s">
        <v>22</v>
      </c>
      <c r="F1109" s="19" t="s">
        <v>35</v>
      </c>
      <c r="G1109" s="19" t="s">
        <v>31</v>
      </c>
      <c r="H1109" s="19" t="s">
        <v>25</v>
      </c>
      <c r="I1109" s="19">
        <v>2</v>
      </c>
      <c r="J1109" s="21">
        <v>12428</v>
      </c>
      <c r="K1109" s="21">
        <v>24856</v>
      </c>
      <c r="L1109" s="21">
        <v>3728.4</v>
      </c>
      <c r="M1109" s="15">
        <v>0.15</v>
      </c>
      <c r="N1109" s="21">
        <f t="shared" si="34"/>
        <v>21127.599999999999</v>
      </c>
      <c r="O1109" s="21">
        <v>15484.79</v>
      </c>
      <c r="P1109" s="21">
        <f t="shared" si="35"/>
        <v>5642.8099999999977</v>
      </c>
      <c r="Q1109" s="19" t="s">
        <v>364</v>
      </c>
      <c r="R1109" s="19">
        <v>2026</v>
      </c>
      <c r="S1109" s="19">
        <v>10</v>
      </c>
    </row>
    <row r="1110" spans="1:19" x14ac:dyDescent="0.3">
      <c r="A1110" t="s">
        <v>1168</v>
      </c>
      <c r="B1110" s="2">
        <v>46307</v>
      </c>
      <c r="C1110" t="s">
        <v>64</v>
      </c>
      <c r="D1110" t="s">
        <v>29</v>
      </c>
      <c r="E1110" t="s">
        <v>42</v>
      </c>
      <c r="F1110" t="s">
        <v>40</v>
      </c>
      <c r="G1110" t="s">
        <v>31</v>
      </c>
      <c r="H1110" t="s">
        <v>25</v>
      </c>
      <c r="I1110">
        <v>5</v>
      </c>
      <c r="J1110" s="5">
        <v>31376</v>
      </c>
      <c r="K1110" s="5">
        <v>156880</v>
      </c>
      <c r="L1110" s="5">
        <v>0</v>
      </c>
      <c r="M1110" s="12">
        <v>0</v>
      </c>
      <c r="N1110" s="5">
        <f t="shared" si="34"/>
        <v>156880</v>
      </c>
      <c r="O1110" s="5">
        <v>84717.3</v>
      </c>
      <c r="P1110" s="5">
        <f t="shared" si="35"/>
        <v>72162.7</v>
      </c>
      <c r="Q1110" t="s">
        <v>364</v>
      </c>
      <c r="R1110">
        <v>2026</v>
      </c>
      <c r="S1110">
        <v>10</v>
      </c>
    </row>
    <row r="1111" spans="1:19" x14ac:dyDescent="0.3">
      <c r="A1111" s="19" t="s">
        <v>1169</v>
      </c>
      <c r="B1111" s="20">
        <v>46308</v>
      </c>
      <c r="C1111" s="19" t="s">
        <v>48</v>
      </c>
      <c r="D1111" s="19" t="s">
        <v>34</v>
      </c>
      <c r="E1111" s="19" t="s">
        <v>42</v>
      </c>
      <c r="F1111" s="19" t="s">
        <v>35</v>
      </c>
      <c r="G1111" s="19" t="s">
        <v>31</v>
      </c>
      <c r="H1111" s="19" t="s">
        <v>25</v>
      </c>
      <c r="I1111" s="19">
        <v>1</v>
      </c>
      <c r="J1111" s="21">
        <v>23828</v>
      </c>
      <c r="K1111" s="21">
        <v>23828</v>
      </c>
      <c r="L1111" s="21">
        <v>0</v>
      </c>
      <c r="M1111" s="15">
        <v>0</v>
      </c>
      <c r="N1111" s="21">
        <f t="shared" si="34"/>
        <v>23828</v>
      </c>
      <c r="O1111" s="21">
        <v>11766.3</v>
      </c>
      <c r="P1111" s="21">
        <f t="shared" si="35"/>
        <v>12061.7</v>
      </c>
      <c r="Q1111" s="19" t="s">
        <v>364</v>
      </c>
      <c r="R1111" s="19">
        <v>2026</v>
      </c>
      <c r="S1111" s="19">
        <v>10</v>
      </c>
    </row>
    <row r="1112" spans="1:19" x14ac:dyDescent="0.3">
      <c r="A1112" t="s">
        <v>1170</v>
      </c>
      <c r="B1112" s="2">
        <v>46308</v>
      </c>
      <c r="C1112" t="s">
        <v>71</v>
      </c>
      <c r="D1112" t="s">
        <v>34</v>
      </c>
      <c r="E1112" t="s">
        <v>42</v>
      </c>
      <c r="F1112" t="s">
        <v>37</v>
      </c>
      <c r="G1112" t="s">
        <v>24</v>
      </c>
      <c r="H1112" t="s">
        <v>25</v>
      </c>
      <c r="I1112">
        <v>2</v>
      </c>
      <c r="J1112" s="5">
        <v>49442</v>
      </c>
      <c r="K1112" s="5">
        <v>98884</v>
      </c>
      <c r="L1112" s="5">
        <v>0</v>
      </c>
      <c r="M1112" s="12">
        <v>0</v>
      </c>
      <c r="N1112" s="5">
        <f t="shared" si="34"/>
        <v>98884</v>
      </c>
      <c r="O1112" s="5">
        <v>48940.26</v>
      </c>
      <c r="P1112" s="5">
        <f t="shared" si="35"/>
        <v>49943.74</v>
      </c>
      <c r="Q1112" t="s">
        <v>364</v>
      </c>
      <c r="R1112">
        <v>2026</v>
      </c>
      <c r="S1112">
        <v>10</v>
      </c>
    </row>
    <row r="1113" spans="1:19" x14ac:dyDescent="0.3">
      <c r="A1113" s="19" t="s">
        <v>1171</v>
      </c>
      <c r="B1113" s="20">
        <v>46309</v>
      </c>
      <c r="C1113" s="19" t="s">
        <v>33</v>
      </c>
      <c r="D1113" s="19" t="s">
        <v>34</v>
      </c>
      <c r="E1113" s="19" t="s">
        <v>42</v>
      </c>
      <c r="F1113" s="19" t="s">
        <v>23</v>
      </c>
      <c r="G1113" s="19" t="s">
        <v>31</v>
      </c>
      <c r="H1113" s="19" t="s">
        <v>25</v>
      </c>
      <c r="I1113" s="19">
        <v>1</v>
      </c>
      <c r="J1113" s="21">
        <v>43652</v>
      </c>
      <c r="K1113" s="21">
        <v>43652</v>
      </c>
      <c r="L1113" s="21">
        <v>2182.6</v>
      </c>
      <c r="M1113" s="15">
        <v>0.05</v>
      </c>
      <c r="N1113" s="21">
        <f t="shared" si="34"/>
        <v>41469.4</v>
      </c>
      <c r="O1113" s="21">
        <v>22784.959999999999</v>
      </c>
      <c r="P1113" s="21">
        <f t="shared" si="35"/>
        <v>18684.440000000002</v>
      </c>
      <c r="Q1113" s="19" t="s">
        <v>364</v>
      </c>
      <c r="R1113" s="19">
        <v>2026</v>
      </c>
      <c r="S1113" s="19">
        <v>10</v>
      </c>
    </row>
    <row r="1114" spans="1:19" x14ac:dyDescent="0.3">
      <c r="A1114" t="s">
        <v>1172</v>
      </c>
      <c r="B1114" s="2">
        <v>46311</v>
      </c>
      <c r="C1114" t="s">
        <v>71</v>
      </c>
      <c r="D1114" t="s">
        <v>34</v>
      </c>
      <c r="E1114" t="s">
        <v>56</v>
      </c>
      <c r="F1114" t="s">
        <v>35</v>
      </c>
      <c r="G1114" t="s">
        <v>31</v>
      </c>
      <c r="H1114" t="s">
        <v>25</v>
      </c>
      <c r="I1114">
        <v>2</v>
      </c>
      <c r="J1114" s="5">
        <v>50798</v>
      </c>
      <c r="K1114" s="5">
        <v>101596</v>
      </c>
      <c r="L1114" s="5">
        <v>0</v>
      </c>
      <c r="M1114" s="12">
        <v>0</v>
      </c>
      <c r="N1114" s="5">
        <f t="shared" si="34"/>
        <v>101596</v>
      </c>
      <c r="O1114" s="5">
        <v>66416.14</v>
      </c>
      <c r="P1114" s="5">
        <f t="shared" si="35"/>
        <v>35179.86</v>
      </c>
      <c r="Q1114" t="s">
        <v>364</v>
      </c>
      <c r="R1114">
        <v>2026</v>
      </c>
      <c r="S1114">
        <v>10</v>
      </c>
    </row>
    <row r="1115" spans="1:19" x14ac:dyDescent="0.3">
      <c r="A1115" s="19" t="s">
        <v>1173</v>
      </c>
      <c r="B1115" s="20">
        <v>46311</v>
      </c>
      <c r="C1115" s="19" t="s">
        <v>75</v>
      </c>
      <c r="D1115" s="19" t="s">
        <v>34</v>
      </c>
      <c r="E1115" s="19" t="s">
        <v>42</v>
      </c>
      <c r="F1115" s="19" t="s">
        <v>23</v>
      </c>
      <c r="G1115" s="19" t="s">
        <v>31</v>
      </c>
      <c r="H1115" s="19" t="s">
        <v>25</v>
      </c>
      <c r="I1115" s="19">
        <v>2</v>
      </c>
      <c r="J1115" s="21">
        <v>36022</v>
      </c>
      <c r="K1115" s="21">
        <v>72044</v>
      </c>
      <c r="L1115" s="21">
        <v>10806.6</v>
      </c>
      <c r="M1115" s="15">
        <v>0.15</v>
      </c>
      <c r="N1115" s="21">
        <f t="shared" si="34"/>
        <v>61237.4</v>
      </c>
      <c r="O1115" s="21">
        <v>38348.92</v>
      </c>
      <c r="P1115" s="21">
        <f t="shared" si="35"/>
        <v>22888.480000000003</v>
      </c>
      <c r="Q1115" s="19" t="s">
        <v>364</v>
      </c>
      <c r="R1115" s="19">
        <v>2026</v>
      </c>
      <c r="S1115" s="19">
        <v>10</v>
      </c>
    </row>
    <row r="1116" spans="1:19" x14ac:dyDescent="0.3">
      <c r="A1116" t="s">
        <v>1174</v>
      </c>
      <c r="B1116" s="2">
        <v>46311</v>
      </c>
      <c r="C1116" t="s">
        <v>28</v>
      </c>
      <c r="D1116" t="s">
        <v>29</v>
      </c>
      <c r="E1116" t="s">
        <v>44</v>
      </c>
      <c r="F1116" t="s">
        <v>35</v>
      </c>
      <c r="G1116" t="s">
        <v>31</v>
      </c>
      <c r="H1116" t="s">
        <v>25</v>
      </c>
      <c r="I1116">
        <v>2</v>
      </c>
      <c r="J1116" s="5">
        <v>67462</v>
      </c>
      <c r="K1116" s="5">
        <v>134924</v>
      </c>
      <c r="L1116" s="5">
        <v>0</v>
      </c>
      <c r="M1116" s="12">
        <v>0</v>
      </c>
      <c r="N1116" s="5">
        <f t="shared" si="34"/>
        <v>134924</v>
      </c>
      <c r="O1116" s="5">
        <v>91459.04</v>
      </c>
      <c r="P1116" s="5">
        <f t="shared" si="35"/>
        <v>43464.960000000006</v>
      </c>
      <c r="Q1116" t="s">
        <v>364</v>
      </c>
      <c r="R1116">
        <v>2026</v>
      </c>
      <c r="S1116">
        <v>10</v>
      </c>
    </row>
    <row r="1117" spans="1:19" x14ac:dyDescent="0.3">
      <c r="A1117" s="19" t="s">
        <v>1175</v>
      </c>
      <c r="B1117" s="20">
        <v>46312</v>
      </c>
      <c r="C1117" s="19" t="s">
        <v>82</v>
      </c>
      <c r="D1117" s="19" t="s">
        <v>21</v>
      </c>
      <c r="E1117" s="19" t="s">
        <v>22</v>
      </c>
      <c r="F1117" s="19" t="s">
        <v>37</v>
      </c>
      <c r="G1117" s="19" t="s">
        <v>31</v>
      </c>
      <c r="H1117" s="19" t="s">
        <v>25</v>
      </c>
      <c r="I1117" s="19">
        <v>3</v>
      </c>
      <c r="J1117" s="21">
        <v>45959</v>
      </c>
      <c r="K1117" s="21">
        <v>137877</v>
      </c>
      <c r="L1117" s="21">
        <v>0</v>
      </c>
      <c r="M1117" s="15">
        <v>0</v>
      </c>
      <c r="N1117" s="21">
        <f t="shared" si="34"/>
        <v>137877</v>
      </c>
      <c r="O1117" s="21">
        <v>80826.52</v>
      </c>
      <c r="P1117" s="21">
        <f t="shared" si="35"/>
        <v>57050.479999999996</v>
      </c>
      <c r="Q1117" s="19" t="s">
        <v>364</v>
      </c>
      <c r="R1117" s="19">
        <v>2026</v>
      </c>
      <c r="S1117" s="19">
        <v>10</v>
      </c>
    </row>
    <row r="1118" spans="1:19" x14ac:dyDescent="0.3">
      <c r="A1118" t="s">
        <v>1176</v>
      </c>
      <c r="B1118" s="2">
        <v>46312</v>
      </c>
      <c r="C1118" t="s">
        <v>20</v>
      </c>
      <c r="D1118" t="s">
        <v>21</v>
      </c>
      <c r="E1118" t="s">
        <v>56</v>
      </c>
      <c r="F1118" t="s">
        <v>40</v>
      </c>
      <c r="G1118" t="s">
        <v>31</v>
      </c>
      <c r="H1118" t="s">
        <v>25</v>
      </c>
      <c r="I1118">
        <v>3</v>
      </c>
      <c r="J1118" s="5">
        <v>14890</v>
      </c>
      <c r="K1118" s="5">
        <v>44670</v>
      </c>
      <c r="L1118" s="5">
        <v>0</v>
      </c>
      <c r="M1118" s="12">
        <v>0</v>
      </c>
      <c r="N1118" s="5">
        <f t="shared" si="34"/>
        <v>44670</v>
      </c>
      <c r="O1118" s="5">
        <v>30215.48</v>
      </c>
      <c r="P1118" s="5">
        <f t="shared" si="35"/>
        <v>14454.52</v>
      </c>
      <c r="Q1118" t="s">
        <v>364</v>
      </c>
      <c r="R1118">
        <v>2026</v>
      </c>
      <c r="S1118">
        <v>10</v>
      </c>
    </row>
    <row r="1119" spans="1:19" x14ac:dyDescent="0.3">
      <c r="A1119" s="19" t="s">
        <v>1177</v>
      </c>
      <c r="B1119" s="20">
        <v>46312</v>
      </c>
      <c r="C1119" s="19" t="s">
        <v>50</v>
      </c>
      <c r="D1119" s="19" t="s">
        <v>34</v>
      </c>
      <c r="E1119" s="19" t="s">
        <v>56</v>
      </c>
      <c r="F1119" s="19" t="s">
        <v>40</v>
      </c>
      <c r="G1119" s="19" t="s">
        <v>24</v>
      </c>
      <c r="H1119" s="19" t="s">
        <v>25</v>
      </c>
      <c r="I1119" s="19">
        <v>1</v>
      </c>
      <c r="J1119" s="21">
        <v>18700</v>
      </c>
      <c r="K1119" s="21">
        <v>18700</v>
      </c>
      <c r="L1119" s="21">
        <v>0</v>
      </c>
      <c r="M1119" s="15">
        <v>0</v>
      </c>
      <c r="N1119" s="21">
        <f t="shared" si="34"/>
        <v>18700</v>
      </c>
      <c r="O1119" s="21">
        <v>12352.83</v>
      </c>
      <c r="P1119" s="21">
        <f t="shared" si="35"/>
        <v>6347.17</v>
      </c>
      <c r="Q1119" s="19" t="s">
        <v>364</v>
      </c>
      <c r="R1119" s="19">
        <v>2026</v>
      </c>
      <c r="S1119" s="19">
        <v>10</v>
      </c>
    </row>
    <row r="1120" spans="1:19" x14ac:dyDescent="0.3">
      <c r="A1120" t="s">
        <v>1178</v>
      </c>
      <c r="B1120" s="2">
        <v>46313</v>
      </c>
      <c r="C1120" t="s">
        <v>46</v>
      </c>
      <c r="D1120" t="s">
        <v>21</v>
      </c>
      <c r="E1120" t="s">
        <v>22</v>
      </c>
      <c r="F1120" t="s">
        <v>37</v>
      </c>
      <c r="G1120" t="s">
        <v>24</v>
      </c>
      <c r="H1120" t="s">
        <v>25</v>
      </c>
      <c r="I1120">
        <v>2</v>
      </c>
      <c r="J1120" s="5">
        <v>11560</v>
      </c>
      <c r="K1120" s="5">
        <v>23120</v>
      </c>
      <c r="L1120" s="5">
        <v>1156</v>
      </c>
      <c r="M1120" s="12">
        <v>0.05</v>
      </c>
      <c r="N1120" s="5">
        <f t="shared" si="34"/>
        <v>21964</v>
      </c>
      <c r="O1120" s="5">
        <v>14242.53</v>
      </c>
      <c r="P1120" s="5">
        <f t="shared" si="35"/>
        <v>7721.4699999999993</v>
      </c>
      <c r="Q1120" t="s">
        <v>364</v>
      </c>
      <c r="R1120">
        <v>2026</v>
      </c>
      <c r="S1120">
        <v>10</v>
      </c>
    </row>
    <row r="1121" spans="1:19" x14ac:dyDescent="0.3">
      <c r="A1121" s="19" t="s">
        <v>1179</v>
      </c>
      <c r="B1121" s="20">
        <v>46313</v>
      </c>
      <c r="C1121" s="19" t="s">
        <v>33</v>
      </c>
      <c r="D1121" s="19" t="s">
        <v>34</v>
      </c>
      <c r="E1121" s="19" t="s">
        <v>56</v>
      </c>
      <c r="F1121" s="19" t="s">
        <v>37</v>
      </c>
      <c r="G1121" s="19" t="s">
        <v>24</v>
      </c>
      <c r="H1121" s="19" t="s">
        <v>25</v>
      </c>
      <c r="I1121" s="19">
        <v>3</v>
      </c>
      <c r="J1121" s="21">
        <v>42248</v>
      </c>
      <c r="K1121" s="21">
        <v>126744</v>
      </c>
      <c r="L1121" s="21">
        <v>0</v>
      </c>
      <c r="M1121" s="15">
        <v>0</v>
      </c>
      <c r="N1121" s="21">
        <f t="shared" si="34"/>
        <v>126744</v>
      </c>
      <c r="O1121" s="21">
        <v>69438.55</v>
      </c>
      <c r="P1121" s="21">
        <f t="shared" si="35"/>
        <v>57305.45</v>
      </c>
      <c r="Q1121" s="19" t="s">
        <v>364</v>
      </c>
      <c r="R1121" s="19">
        <v>2026</v>
      </c>
      <c r="S1121" s="19">
        <v>10</v>
      </c>
    </row>
    <row r="1122" spans="1:19" x14ac:dyDescent="0.3">
      <c r="A1122" t="s">
        <v>1180</v>
      </c>
      <c r="B1122" s="2">
        <v>46314</v>
      </c>
      <c r="C1122" t="s">
        <v>33</v>
      </c>
      <c r="D1122" t="s">
        <v>34</v>
      </c>
      <c r="E1122" t="s">
        <v>22</v>
      </c>
      <c r="F1122" t="s">
        <v>35</v>
      </c>
      <c r="G1122" t="s">
        <v>24</v>
      </c>
      <c r="H1122" t="s">
        <v>25</v>
      </c>
      <c r="I1122">
        <v>1</v>
      </c>
      <c r="J1122" s="5">
        <v>40485</v>
      </c>
      <c r="K1122" s="5">
        <v>40485</v>
      </c>
      <c r="L1122" s="5">
        <v>0</v>
      </c>
      <c r="M1122" s="12">
        <v>0</v>
      </c>
      <c r="N1122" s="5">
        <f t="shared" si="34"/>
        <v>40485</v>
      </c>
      <c r="O1122" s="5">
        <v>21165.62</v>
      </c>
      <c r="P1122" s="5">
        <f t="shared" si="35"/>
        <v>19319.38</v>
      </c>
      <c r="Q1122" t="s">
        <v>364</v>
      </c>
      <c r="R1122">
        <v>2026</v>
      </c>
      <c r="S1122">
        <v>10</v>
      </c>
    </row>
    <row r="1123" spans="1:19" x14ac:dyDescent="0.3">
      <c r="A1123" s="19" t="s">
        <v>1181</v>
      </c>
      <c r="B1123" s="20">
        <v>46316</v>
      </c>
      <c r="C1123" s="19" t="s">
        <v>33</v>
      </c>
      <c r="D1123" s="19" t="s">
        <v>34</v>
      </c>
      <c r="E1123" s="19" t="s">
        <v>42</v>
      </c>
      <c r="F1123" s="19" t="s">
        <v>40</v>
      </c>
      <c r="G1123" s="19" t="s">
        <v>31</v>
      </c>
      <c r="H1123" s="19" t="s">
        <v>25</v>
      </c>
      <c r="I1123" s="19">
        <v>2</v>
      </c>
      <c r="J1123" s="21">
        <v>44407</v>
      </c>
      <c r="K1123" s="21">
        <v>88814</v>
      </c>
      <c r="L1123" s="21">
        <v>0</v>
      </c>
      <c r="M1123" s="15">
        <v>0</v>
      </c>
      <c r="N1123" s="21">
        <f t="shared" si="34"/>
        <v>88814</v>
      </c>
      <c r="O1123" s="21">
        <v>56561.57</v>
      </c>
      <c r="P1123" s="21">
        <f t="shared" si="35"/>
        <v>32252.43</v>
      </c>
      <c r="Q1123" s="19" t="s">
        <v>364</v>
      </c>
      <c r="R1123" s="19">
        <v>2026</v>
      </c>
      <c r="S1123" s="19">
        <v>10</v>
      </c>
    </row>
    <row r="1124" spans="1:19" x14ac:dyDescent="0.3">
      <c r="A1124" t="s">
        <v>1182</v>
      </c>
      <c r="B1124" s="2">
        <v>46316</v>
      </c>
      <c r="C1124" t="s">
        <v>64</v>
      </c>
      <c r="D1124" t="s">
        <v>29</v>
      </c>
      <c r="E1124" t="s">
        <v>22</v>
      </c>
      <c r="F1124" t="s">
        <v>35</v>
      </c>
      <c r="G1124" t="s">
        <v>31</v>
      </c>
      <c r="H1124" t="s">
        <v>25</v>
      </c>
      <c r="I1124">
        <v>4</v>
      </c>
      <c r="J1124" s="5">
        <v>29761</v>
      </c>
      <c r="K1124" s="5">
        <v>119044</v>
      </c>
      <c r="L1124" s="5">
        <v>0</v>
      </c>
      <c r="M1124" s="12">
        <v>0</v>
      </c>
      <c r="N1124" s="5">
        <f t="shared" si="34"/>
        <v>119044</v>
      </c>
      <c r="O1124" s="5">
        <v>64466.02</v>
      </c>
      <c r="P1124" s="5">
        <f t="shared" si="35"/>
        <v>54577.98</v>
      </c>
      <c r="Q1124" t="s">
        <v>364</v>
      </c>
      <c r="R1124">
        <v>2026</v>
      </c>
      <c r="S1124">
        <v>10</v>
      </c>
    </row>
    <row r="1125" spans="1:19" x14ac:dyDescent="0.3">
      <c r="A1125" s="19" t="s">
        <v>1183</v>
      </c>
      <c r="B1125" s="20">
        <v>46317</v>
      </c>
      <c r="C1125" s="19" t="s">
        <v>64</v>
      </c>
      <c r="D1125" s="19" t="s">
        <v>29</v>
      </c>
      <c r="E1125" s="19" t="s">
        <v>22</v>
      </c>
      <c r="F1125" s="19" t="s">
        <v>40</v>
      </c>
      <c r="G1125" s="19" t="s">
        <v>31</v>
      </c>
      <c r="H1125" s="19" t="s">
        <v>25</v>
      </c>
      <c r="I1125" s="19">
        <v>1</v>
      </c>
      <c r="J1125" s="21">
        <v>28520</v>
      </c>
      <c r="K1125" s="21">
        <v>28520</v>
      </c>
      <c r="L1125" s="21">
        <v>0</v>
      </c>
      <c r="M1125" s="15">
        <v>0</v>
      </c>
      <c r="N1125" s="21">
        <f t="shared" si="34"/>
        <v>28520</v>
      </c>
      <c r="O1125" s="21">
        <v>14982.45</v>
      </c>
      <c r="P1125" s="21">
        <f t="shared" si="35"/>
        <v>13537.55</v>
      </c>
      <c r="Q1125" s="19" t="s">
        <v>364</v>
      </c>
      <c r="R1125" s="19">
        <v>2026</v>
      </c>
      <c r="S1125" s="19">
        <v>10</v>
      </c>
    </row>
    <row r="1126" spans="1:19" x14ac:dyDescent="0.3">
      <c r="A1126" t="s">
        <v>1184</v>
      </c>
      <c r="B1126" s="2">
        <v>46318</v>
      </c>
      <c r="C1126" t="s">
        <v>50</v>
      </c>
      <c r="D1126" t="s">
        <v>34</v>
      </c>
      <c r="E1126" t="s">
        <v>56</v>
      </c>
      <c r="F1126" t="s">
        <v>23</v>
      </c>
      <c r="G1126" t="s">
        <v>24</v>
      </c>
      <c r="H1126" t="s">
        <v>25</v>
      </c>
      <c r="I1126">
        <v>2</v>
      </c>
      <c r="J1126" s="5">
        <v>18915</v>
      </c>
      <c r="K1126" s="5">
        <v>37830</v>
      </c>
      <c r="L1126" s="5">
        <v>0</v>
      </c>
      <c r="M1126" s="12">
        <v>0</v>
      </c>
      <c r="N1126" s="5">
        <f t="shared" si="34"/>
        <v>37830</v>
      </c>
      <c r="O1126" s="5">
        <v>24746.85</v>
      </c>
      <c r="P1126" s="5">
        <f t="shared" si="35"/>
        <v>13083.150000000001</v>
      </c>
      <c r="Q1126" t="s">
        <v>364</v>
      </c>
      <c r="R1126">
        <v>2026</v>
      </c>
      <c r="S1126">
        <v>10</v>
      </c>
    </row>
    <row r="1127" spans="1:19" x14ac:dyDescent="0.3">
      <c r="A1127" s="19" t="s">
        <v>1185</v>
      </c>
      <c r="B1127" s="20">
        <v>46320</v>
      </c>
      <c r="C1127" s="19" t="s">
        <v>48</v>
      </c>
      <c r="D1127" s="19" t="s">
        <v>34</v>
      </c>
      <c r="E1127" s="19" t="s">
        <v>56</v>
      </c>
      <c r="F1127" s="19" t="s">
        <v>23</v>
      </c>
      <c r="G1127" s="19" t="s">
        <v>24</v>
      </c>
      <c r="H1127" s="19" t="s">
        <v>25</v>
      </c>
      <c r="I1127" s="19">
        <v>1</v>
      </c>
      <c r="J1127" s="21">
        <v>23562</v>
      </c>
      <c r="K1127" s="21">
        <v>23562</v>
      </c>
      <c r="L1127" s="21">
        <v>0</v>
      </c>
      <c r="M1127" s="15">
        <v>0</v>
      </c>
      <c r="N1127" s="21">
        <f t="shared" si="34"/>
        <v>23562</v>
      </c>
      <c r="O1127" s="21">
        <v>12177.9</v>
      </c>
      <c r="P1127" s="21">
        <f t="shared" si="35"/>
        <v>11384.1</v>
      </c>
      <c r="Q1127" s="19" t="s">
        <v>364</v>
      </c>
      <c r="R1127" s="19">
        <v>2026</v>
      </c>
      <c r="S1127" s="19">
        <v>10</v>
      </c>
    </row>
    <row r="1128" spans="1:19" x14ac:dyDescent="0.3">
      <c r="A1128" t="s">
        <v>1186</v>
      </c>
      <c r="B1128" s="2">
        <v>46320</v>
      </c>
      <c r="C1128" t="s">
        <v>46</v>
      </c>
      <c r="D1128" t="s">
        <v>21</v>
      </c>
      <c r="E1128" t="s">
        <v>56</v>
      </c>
      <c r="F1128" t="s">
        <v>40</v>
      </c>
      <c r="G1128" t="s">
        <v>31</v>
      </c>
      <c r="H1128" t="s">
        <v>25</v>
      </c>
      <c r="I1128">
        <v>4</v>
      </c>
      <c r="J1128" s="5">
        <v>11910</v>
      </c>
      <c r="K1128" s="5">
        <v>47640</v>
      </c>
      <c r="L1128" s="5">
        <v>0</v>
      </c>
      <c r="M1128" s="12">
        <v>0</v>
      </c>
      <c r="N1128" s="5">
        <f t="shared" si="34"/>
        <v>47640</v>
      </c>
      <c r="O1128" s="5">
        <v>29809.65</v>
      </c>
      <c r="P1128" s="5">
        <f t="shared" si="35"/>
        <v>17830.349999999999</v>
      </c>
      <c r="Q1128" t="s">
        <v>364</v>
      </c>
      <c r="R1128">
        <v>2026</v>
      </c>
      <c r="S1128">
        <v>10</v>
      </c>
    </row>
    <row r="1129" spans="1:19" x14ac:dyDescent="0.3">
      <c r="A1129" s="19" t="s">
        <v>1187</v>
      </c>
      <c r="B1129" s="20">
        <v>46320</v>
      </c>
      <c r="C1129" s="19" t="s">
        <v>33</v>
      </c>
      <c r="D1129" s="19" t="s">
        <v>34</v>
      </c>
      <c r="E1129" s="19" t="s">
        <v>56</v>
      </c>
      <c r="F1129" s="19" t="s">
        <v>40</v>
      </c>
      <c r="G1129" s="19" t="s">
        <v>24</v>
      </c>
      <c r="H1129" s="19" t="s">
        <v>25</v>
      </c>
      <c r="I1129" s="19">
        <v>2</v>
      </c>
      <c r="J1129" s="21">
        <v>42827</v>
      </c>
      <c r="K1129" s="21">
        <v>85654</v>
      </c>
      <c r="L1129" s="21">
        <v>12848.1</v>
      </c>
      <c r="M1129" s="15">
        <v>0.15</v>
      </c>
      <c r="N1129" s="21">
        <f t="shared" si="34"/>
        <v>72805.899999999994</v>
      </c>
      <c r="O1129" s="21">
        <v>49742.559999999998</v>
      </c>
      <c r="P1129" s="21">
        <f t="shared" si="35"/>
        <v>23063.339999999997</v>
      </c>
      <c r="Q1129" s="19" t="s">
        <v>364</v>
      </c>
      <c r="R1129" s="19">
        <v>2026</v>
      </c>
      <c r="S1129" s="19">
        <v>10</v>
      </c>
    </row>
    <row r="1130" spans="1:19" x14ac:dyDescent="0.3">
      <c r="A1130" t="s">
        <v>1188</v>
      </c>
      <c r="B1130" s="2">
        <v>46322</v>
      </c>
      <c r="C1130" t="s">
        <v>82</v>
      </c>
      <c r="D1130" t="s">
        <v>21</v>
      </c>
      <c r="E1130" t="s">
        <v>22</v>
      </c>
      <c r="F1130" t="s">
        <v>37</v>
      </c>
      <c r="G1130" t="s">
        <v>31</v>
      </c>
      <c r="H1130" t="s">
        <v>25</v>
      </c>
      <c r="I1130">
        <v>1</v>
      </c>
      <c r="J1130" s="5">
        <v>44044</v>
      </c>
      <c r="K1130" s="5">
        <v>44044</v>
      </c>
      <c r="L1130" s="5">
        <v>0</v>
      </c>
      <c r="M1130" s="12">
        <v>0</v>
      </c>
      <c r="N1130" s="5">
        <f t="shared" si="34"/>
        <v>44044</v>
      </c>
      <c r="O1130" s="5">
        <v>24385.360000000001</v>
      </c>
      <c r="P1130" s="5">
        <f t="shared" si="35"/>
        <v>19658.64</v>
      </c>
      <c r="Q1130" t="s">
        <v>364</v>
      </c>
      <c r="R1130">
        <v>2026</v>
      </c>
      <c r="S1130">
        <v>10</v>
      </c>
    </row>
    <row r="1131" spans="1:19" x14ac:dyDescent="0.3">
      <c r="A1131" s="19" t="s">
        <v>1189</v>
      </c>
      <c r="B1131" s="20">
        <v>46323</v>
      </c>
      <c r="C1131" s="19" t="s">
        <v>46</v>
      </c>
      <c r="D1131" s="19" t="s">
        <v>21</v>
      </c>
      <c r="E1131" s="19" t="s">
        <v>42</v>
      </c>
      <c r="F1131" s="19" t="s">
        <v>40</v>
      </c>
      <c r="G1131" s="19" t="s">
        <v>24</v>
      </c>
      <c r="H1131" s="19" t="s">
        <v>25</v>
      </c>
      <c r="I1131" s="19">
        <v>1</v>
      </c>
      <c r="J1131" s="21">
        <v>11624</v>
      </c>
      <c r="K1131" s="21">
        <v>11624</v>
      </c>
      <c r="L1131" s="21">
        <v>0</v>
      </c>
      <c r="M1131" s="15">
        <v>0</v>
      </c>
      <c r="N1131" s="21">
        <f t="shared" si="34"/>
        <v>11624</v>
      </c>
      <c r="O1131" s="21">
        <v>5627.13</v>
      </c>
      <c r="P1131" s="21">
        <f t="shared" si="35"/>
        <v>5996.87</v>
      </c>
      <c r="Q1131" s="19" t="s">
        <v>364</v>
      </c>
      <c r="R1131" s="19">
        <v>2026</v>
      </c>
      <c r="S1131" s="19">
        <v>10</v>
      </c>
    </row>
    <row r="1132" spans="1:19" x14ac:dyDescent="0.3">
      <c r="A1132" t="s">
        <v>1190</v>
      </c>
      <c r="B1132" s="2">
        <v>46323</v>
      </c>
      <c r="C1132" t="s">
        <v>50</v>
      </c>
      <c r="D1132" t="s">
        <v>34</v>
      </c>
      <c r="E1132" t="s">
        <v>56</v>
      </c>
      <c r="F1132" t="s">
        <v>23</v>
      </c>
      <c r="G1132" t="s">
        <v>31</v>
      </c>
      <c r="H1132" t="s">
        <v>25</v>
      </c>
      <c r="I1132">
        <v>3</v>
      </c>
      <c r="J1132" s="5">
        <v>17166</v>
      </c>
      <c r="K1132" s="5">
        <v>51498</v>
      </c>
      <c r="L1132" s="5">
        <v>0</v>
      </c>
      <c r="M1132" s="12">
        <v>0</v>
      </c>
      <c r="N1132" s="5">
        <f t="shared" si="34"/>
        <v>51498</v>
      </c>
      <c r="O1132" s="5">
        <v>31187.5</v>
      </c>
      <c r="P1132" s="5">
        <f t="shared" si="35"/>
        <v>20310.5</v>
      </c>
      <c r="Q1132" t="s">
        <v>364</v>
      </c>
      <c r="R1132">
        <v>2026</v>
      </c>
      <c r="S1132">
        <v>10</v>
      </c>
    </row>
    <row r="1133" spans="1:19" x14ac:dyDescent="0.3">
      <c r="A1133" s="19" t="s">
        <v>1191</v>
      </c>
      <c r="B1133" s="20">
        <v>46324</v>
      </c>
      <c r="C1133" s="19" t="s">
        <v>82</v>
      </c>
      <c r="D1133" s="19" t="s">
        <v>21</v>
      </c>
      <c r="E1133" s="19" t="s">
        <v>42</v>
      </c>
      <c r="F1133" s="19" t="s">
        <v>37</v>
      </c>
      <c r="G1133" s="19" t="s">
        <v>24</v>
      </c>
      <c r="H1133" s="19" t="s">
        <v>25</v>
      </c>
      <c r="I1133" s="19">
        <v>1</v>
      </c>
      <c r="J1133" s="21">
        <v>43735</v>
      </c>
      <c r="K1133" s="21">
        <v>43735</v>
      </c>
      <c r="L1133" s="21">
        <v>0</v>
      </c>
      <c r="M1133" s="15">
        <v>0</v>
      </c>
      <c r="N1133" s="21">
        <f t="shared" si="34"/>
        <v>43735</v>
      </c>
      <c r="O1133" s="21">
        <v>28197.23</v>
      </c>
      <c r="P1133" s="21">
        <f t="shared" si="35"/>
        <v>15537.77</v>
      </c>
      <c r="Q1133" s="19" t="s">
        <v>364</v>
      </c>
      <c r="R1133" s="19">
        <v>2026</v>
      </c>
      <c r="S1133" s="19">
        <v>10</v>
      </c>
    </row>
    <row r="1134" spans="1:19" x14ac:dyDescent="0.3">
      <c r="A1134" t="s">
        <v>1192</v>
      </c>
      <c r="B1134" s="2">
        <v>46327</v>
      </c>
      <c r="C1134" t="s">
        <v>46</v>
      </c>
      <c r="D1134" t="s">
        <v>21</v>
      </c>
      <c r="E1134" t="s">
        <v>44</v>
      </c>
      <c r="F1134" t="s">
        <v>40</v>
      </c>
      <c r="G1134" t="s">
        <v>31</v>
      </c>
      <c r="H1134" t="s">
        <v>388</v>
      </c>
      <c r="I1134">
        <v>1</v>
      </c>
      <c r="J1134" s="5">
        <v>12518</v>
      </c>
      <c r="K1134" s="5">
        <v>12518</v>
      </c>
      <c r="L1134" s="5">
        <v>625.9</v>
      </c>
      <c r="M1134" s="12">
        <v>0.05</v>
      </c>
      <c r="N1134" s="5">
        <f t="shared" si="34"/>
        <v>11892.1</v>
      </c>
      <c r="O1134" s="5">
        <v>8483.42</v>
      </c>
      <c r="P1134" s="5">
        <f t="shared" si="35"/>
        <v>3408.6800000000003</v>
      </c>
      <c r="Q1134" t="s">
        <v>389</v>
      </c>
      <c r="R1134">
        <v>2026</v>
      </c>
      <c r="S1134">
        <v>11</v>
      </c>
    </row>
    <row r="1135" spans="1:19" x14ac:dyDescent="0.3">
      <c r="A1135" s="19" t="s">
        <v>1193</v>
      </c>
      <c r="B1135" s="20">
        <v>46330</v>
      </c>
      <c r="C1135" s="19" t="s">
        <v>71</v>
      </c>
      <c r="D1135" s="19" t="s">
        <v>34</v>
      </c>
      <c r="E1135" s="19" t="s">
        <v>22</v>
      </c>
      <c r="F1135" s="19" t="s">
        <v>40</v>
      </c>
      <c r="G1135" s="19" t="s">
        <v>31</v>
      </c>
      <c r="H1135" s="19" t="s">
        <v>388</v>
      </c>
      <c r="I1135" s="19">
        <v>1</v>
      </c>
      <c r="J1135" s="21">
        <v>53506</v>
      </c>
      <c r="K1135" s="21">
        <v>53506</v>
      </c>
      <c r="L1135" s="21">
        <v>8025.9</v>
      </c>
      <c r="M1135" s="15">
        <v>0.15</v>
      </c>
      <c r="N1135" s="21">
        <f t="shared" si="34"/>
        <v>45480.1</v>
      </c>
      <c r="O1135" s="21">
        <v>33880.69</v>
      </c>
      <c r="P1135" s="21">
        <f t="shared" si="35"/>
        <v>11599.409999999996</v>
      </c>
      <c r="Q1135" s="19" t="s">
        <v>389</v>
      </c>
      <c r="R1135" s="19">
        <v>2026</v>
      </c>
      <c r="S1135" s="19">
        <v>11</v>
      </c>
    </row>
    <row r="1136" spans="1:19" x14ac:dyDescent="0.3">
      <c r="A1136" t="s">
        <v>1194</v>
      </c>
      <c r="B1136" s="2">
        <v>46330</v>
      </c>
      <c r="C1136" t="s">
        <v>82</v>
      </c>
      <c r="D1136" t="s">
        <v>21</v>
      </c>
      <c r="E1136" t="s">
        <v>42</v>
      </c>
      <c r="F1136" t="s">
        <v>23</v>
      </c>
      <c r="G1136" t="s">
        <v>24</v>
      </c>
      <c r="H1136" t="s">
        <v>388</v>
      </c>
      <c r="I1136">
        <v>2</v>
      </c>
      <c r="J1136" s="5">
        <v>41832</v>
      </c>
      <c r="K1136" s="5">
        <v>83664</v>
      </c>
      <c r="L1136" s="5">
        <v>8366.4</v>
      </c>
      <c r="M1136" s="12">
        <v>0.1</v>
      </c>
      <c r="N1136" s="5">
        <f t="shared" si="34"/>
        <v>75297.600000000006</v>
      </c>
      <c r="O1136" s="5">
        <v>42563.02</v>
      </c>
      <c r="P1136" s="5">
        <f t="shared" si="35"/>
        <v>32734.580000000009</v>
      </c>
      <c r="Q1136" t="s">
        <v>389</v>
      </c>
      <c r="R1136">
        <v>2026</v>
      </c>
      <c r="S1136">
        <v>11</v>
      </c>
    </row>
    <row r="1137" spans="1:19" x14ac:dyDescent="0.3">
      <c r="A1137" s="19" t="s">
        <v>1195</v>
      </c>
      <c r="B1137" s="20">
        <v>46330</v>
      </c>
      <c r="C1137" s="19" t="s">
        <v>46</v>
      </c>
      <c r="D1137" s="19" t="s">
        <v>21</v>
      </c>
      <c r="E1137" s="19" t="s">
        <v>42</v>
      </c>
      <c r="F1137" s="19" t="s">
        <v>40</v>
      </c>
      <c r="G1137" s="19" t="s">
        <v>31</v>
      </c>
      <c r="H1137" s="19" t="s">
        <v>388</v>
      </c>
      <c r="I1137" s="19">
        <v>3</v>
      </c>
      <c r="J1137" s="21">
        <v>12216</v>
      </c>
      <c r="K1137" s="21">
        <v>36648</v>
      </c>
      <c r="L1137" s="21">
        <v>3664.8</v>
      </c>
      <c r="M1137" s="15">
        <v>0.1</v>
      </c>
      <c r="N1137" s="21">
        <f t="shared" si="34"/>
        <v>32983.199999999997</v>
      </c>
      <c r="O1137" s="21">
        <v>21604.85</v>
      </c>
      <c r="P1137" s="21">
        <f t="shared" si="35"/>
        <v>11378.349999999999</v>
      </c>
      <c r="Q1137" s="19" t="s">
        <v>389</v>
      </c>
      <c r="R1137" s="19">
        <v>2026</v>
      </c>
      <c r="S1137" s="19">
        <v>11</v>
      </c>
    </row>
    <row r="1138" spans="1:19" x14ac:dyDescent="0.3">
      <c r="A1138" t="s">
        <v>1196</v>
      </c>
      <c r="B1138" s="2">
        <v>46331</v>
      </c>
      <c r="C1138" t="s">
        <v>33</v>
      </c>
      <c r="D1138" t="s">
        <v>34</v>
      </c>
      <c r="E1138" t="s">
        <v>22</v>
      </c>
      <c r="F1138" t="s">
        <v>35</v>
      </c>
      <c r="G1138" t="s">
        <v>24</v>
      </c>
      <c r="H1138" t="s">
        <v>25</v>
      </c>
      <c r="I1138">
        <v>4</v>
      </c>
      <c r="J1138" s="5">
        <v>38767</v>
      </c>
      <c r="K1138" s="5">
        <v>155068</v>
      </c>
      <c r="L1138" s="5">
        <v>0</v>
      </c>
      <c r="M1138" s="12">
        <v>0</v>
      </c>
      <c r="N1138" s="5">
        <f t="shared" si="34"/>
        <v>155068</v>
      </c>
      <c r="O1138" s="5">
        <v>80895.86</v>
      </c>
      <c r="P1138" s="5">
        <f t="shared" si="35"/>
        <v>74172.14</v>
      </c>
      <c r="Q1138" t="s">
        <v>389</v>
      </c>
      <c r="R1138">
        <v>2026</v>
      </c>
      <c r="S1138">
        <v>11</v>
      </c>
    </row>
    <row r="1139" spans="1:19" x14ac:dyDescent="0.3">
      <c r="A1139" s="19" t="s">
        <v>1197</v>
      </c>
      <c r="B1139" s="20">
        <v>46331</v>
      </c>
      <c r="C1139" s="19" t="s">
        <v>82</v>
      </c>
      <c r="D1139" s="19" t="s">
        <v>21</v>
      </c>
      <c r="E1139" s="19" t="s">
        <v>44</v>
      </c>
      <c r="F1139" s="19" t="s">
        <v>37</v>
      </c>
      <c r="G1139" s="19" t="s">
        <v>31</v>
      </c>
      <c r="H1139" s="19" t="s">
        <v>388</v>
      </c>
      <c r="I1139" s="19">
        <v>3</v>
      </c>
      <c r="J1139" s="21">
        <v>42461</v>
      </c>
      <c r="K1139" s="21">
        <v>127383</v>
      </c>
      <c r="L1139" s="21">
        <v>6369.15</v>
      </c>
      <c r="M1139" s="15">
        <v>0.05</v>
      </c>
      <c r="N1139" s="21">
        <f t="shared" si="34"/>
        <v>121013.85</v>
      </c>
      <c r="O1139" s="21">
        <v>83884.27</v>
      </c>
      <c r="P1139" s="21">
        <f t="shared" si="35"/>
        <v>37129.58</v>
      </c>
      <c r="Q1139" s="19" t="s">
        <v>389</v>
      </c>
      <c r="R1139" s="19">
        <v>2026</v>
      </c>
      <c r="S1139" s="19">
        <v>11</v>
      </c>
    </row>
    <row r="1140" spans="1:19" x14ac:dyDescent="0.3">
      <c r="A1140" t="s">
        <v>1198</v>
      </c>
      <c r="B1140" s="2">
        <v>46332</v>
      </c>
      <c r="C1140" t="s">
        <v>64</v>
      </c>
      <c r="D1140" t="s">
        <v>29</v>
      </c>
      <c r="E1140" t="s">
        <v>22</v>
      </c>
      <c r="F1140" t="s">
        <v>30</v>
      </c>
      <c r="G1140" t="s">
        <v>31</v>
      </c>
      <c r="H1140" t="s">
        <v>388</v>
      </c>
      <c r="I1140">
        <v>1</v>
      </c>
      <c r="J1140" s="5">
        <v>28274</v>
      </c>
      <c r="K1140" s="5">
        <v>28274</v>
      </c>
      <c r="L1140" s="5">
        <v>2827.4</v>
      </c>
      <c r="M1140" s="12">
        <v>0.1</v>
      </c>
      <c r="N1140" s="5">
        <f t="shared" si="34"/>
        <v>25446.6</v>
      </c>
      <c r="O1140" s="5">
        <v>17393.55</v>
      </c>
      <c r="P1140" s="5">
        <f t="shared" si="35"/>
        <v>8053.0499999999993</v>
      </c>
      <c r="Q1140" t="s">
        <v>389</v>
      </c>
      <c r="R1140">
        <v>2026</v>
      </c>
      <c r="S1140">
        <v>11</v>
      </c>
    </row>
    <row r="1141" spans="1:19" x14ac:dyDescent="0.3">
      <c r="A1141" s="19" t="s">
        <v>1199</v>
      </c>
      <c r="B1141" s="20">
        <v>46332</v>
      </c>
      <c r="C1141" s="19" t="s">
        <v>20</v>
      </c>
      <c r="D1141" s="19" t="s">
        <v>21</v>
      </c>
      <c r="E1141" s="19" t="s">
        <v>42</v>
      </c>
      <c r="F1141" s="19" t="s">
        <v>40</v>
      </c>
      <c r="G1141" s="19" t="s">
        <v>31</v>
      </c>
      <c r="H1141" s="19" t="s">
        <v>388</v>
      </c>
      <c r="I1141" s="19">
        <v>3</v>
      </c>
      <c r="J1141" s="21">
        <v>14240</v>
      </c>
      <c r="K1141" s="21">
        <v>42720</v>
      </c>
      <c r="L1141" s="21">
        <v>4272</v>
      </c>
      <c r="M1141" s="15">
        <v>0.1</v>
      </c>
      <c r="N1141" s="21">
        <f t="shared" si="34"/>
        <v>38448</v>
      </c>
      <c r="O1141" s="21">
        <v>28147.21</v>
      </c>
      <c r="P1141" s="21">
        <f t="shared" si="35"/>
        <v>10300.790000000001</v>
      </c>
      <c r="Q1141" s="19" t="s">
        <v>389</v>
      </c>
      <c r="R1141" s="19">
        <v>2026</v>
      </c>
      <c r="S1141" s="19">
        <v>11</v>
      </c>
    </row>
    <row r="1142" spans="1:19" x14ac:dyDescent="0.3">
      <c r="A1142" t="s">
        <v>1200</v>
      </c>
      <c r="B1142" s="2">
        <v>46332</v>
      </c>
      <c r="C1142" t="s">
        <v>75</v>
      </c>
      <c r="D1142" t="s">
        <v>34</v>
      </c>
      <c r="E1142" t="s">
        <v>22</v>
      </c>
      <c r="F1142" t="s">
        <v>37</v>
      </c>
      <c r="G1142" t="s">
        <v>31</v>
      </c>
      <c r="H1142" t="s">
        <v>388</v>
      </c>
      <c r="I1142">
        <v>1</v>
      </c>
      <c r="J1142" s="5">
        <v>35249</v>
      </c>
      <c r="K1142" s="5">
        <v>35249</v>
      </c>
      <c r="L1142" s="5">
        <v>5287.35</v>
      </c>
      <c r="M1142" s="12">
        <v>0.15</v>
      </c>
      <c r="N1142" s="5">
        <f t="shared" si="34"/>
        <v>29961.65</v>
      </c>
      <c r="O1142" s="5">
        <v>17426.23</v>
      </c>
      <c r="P1142" s="5">
        <f t="shared" si="35"/>
        <v>12535.420000000002</v>
      </c>
      <c r="Q1142" t="s">
        <v>389</v>
      </c>
      <c r="R1142">
        <v>2026</v>
      </c>
      <c r="S1142">
        <v>11</v>
      </c>
    </row>
    <row r="1143" spans="1:19" x14ac:dyDescent="0.3">
      <c r="A1143" s="19" t="s">
        <v>1201</v>
      </c>
      <c r="B1143" s="20">
        <v>46334</v>
      </c>
      <c r="C1143" s="19" t="s">
        <v>33</v>
      </c>
      <c r="D1143" s="19" t="s">
        <v>34</v>
      </c>
      <c r="E1143" s="19" t="s">
        <v>22</v>
      </c>
      <c r="F1143" s="19" t="s">
        <v>40</v>
      </c>
      <c r="G1143" s="19" t="s">
        <v>31</v>
      </c>
      <c r="H1143" s="19" t="s">
        <v>388</v>
      </c>
      <c r="I1143" s="19">
        <v>1</v>
      </c>
      <c r="J1143" s="21">
        <v>43532</v>
      </c>
      <c r="K1143" s="21">
        <v>43532</v>
      </c>
      <c r="L1143" s="21">
        <v>2176.6</v>
      </c>
      <c r="M1143" s="15">
        <v>0.05</v>
      </c>
      <c r="N1143" s="21">
        <f t="shared" si="34"/>
        <v>41355.4</v>
      </c>
      <c r="O1143" s="21">
        <v>23137.07</v>
      </c>
      <c r="P1143" s="21">
        <f t="shared" si="35"/>
        <v>18218.330000000002</v>
      </c>
      <c r="Q1143" s="19" t="s">
        <v>389</v>
      </c>
      <c r="R1143" s="19">
        <v>2026</v>
      </c>
      <c r="S1143" s="19">
        <v>11</v>
      </c>
    </row>
    <row r="1144" spans="1:19" x14ac:dyDescent="0.3">
      <c r="A1144" t="s">
        <v>1202</v>
      </c>
      <c r="B1144" s="2">
        <v>46334</v>
      </c>
      <c r="C1144" t="s">
        <v>46</v>
      </c>
      <c r="D1144" t="s">
        <v>21</v>
      </c>
      <c r="E1144" t="s">
        <v>44</v>
      </c>
      <c r="F1144" t="s">
        <v>35</v>
      </c>
      <c r="G1144" t="s">
        <v>31</v>
      </c>
      <c r="H1144" t="s">
        <v>388</v>
      </c>
      <c r="I1144">
        <v>2</v>
      </c>
      <c r="J1144" s="5">
        <v>12655</v>
      </c>
      <c r="K1144" s="5">
        <v>25310</v>
      </c>
      <c r="L1144" s="5">
        <v>5062</v>
      </c>
      <c r="M1144" s="12">
        <v>0.2</v>
      </c>
      <c r="N1144" s="5">
        <f t="shared" si="34"/>
        <v>20248</v>
      </c>
      <c r="O1144" s="5">
        <v>13877.51</v>
      </c>
      <c r="P1144" s="5">
        <f t="shared" si="35"/>
        <v>6370.49</v>
      </c>
      <c r="Q1144" t="s">
        <v>389</v>
      </c>
      <c r="R1144">
        <v>2026</v>
      </c>
      <c r="S1144">
        <v>11</v>
      </c>
    </row>
    <row r="1145" spans="1:19" x14ac:dyDescent="0.3">
      <c r="A1145" s="19" t="s">
        <v>1203</v>
      </c>
      <c r="B1145" s="20">
        <v>46335</v>
      </c>
      <c r="C1145" s="19" t="s">
        <v>64</v>
      </c>
      <c r="D1145" s="19" t="s">
        <v>29</v>
      </c>
      <c r="E1145" s="19" t="s">
        <v>22</v>
      </c>
      <c r="F1145" s="19" t="s">
        <v>37</v>
      </c>
      <c r="G1145" s="19" t="s">
        <v>31</v>
      </c>
      <c r="H1145" s="19" t="s">
        <v>388</v>
      </c>
      <c r="I1145" s="19">
        <v>4</v>
      </c>
      <c r="J1145" s="21">
        <v>32342</v>
      </c>
      <c r="K1145" s="21">
        <v>129368</v>
      </c>
      <c r="L1145" s="21">
        <v>6468.4</v>
      </c>
      <c r="M1145" s="15">
        <v>0.05</v>
      </c>
      <c r="N1145" s="21">
        <f t="shared" si="34"/>
        <v>122899.6</v>
      </c>
      <c r="O1145" s="21">
        <v>79720.12</v>
      </c>
      <c r="P1145" s="21">
        <f t="shared" si="35"/>
        <v>43179.48000000001</v>
      </c>
      <c r="Q1145" s="19" t="s">
        <v>389</v>
      </c>
      <c r="R1145" s="19">
        <v>2026</v>
      </c>
      <c r="S1145" s="19">
        <v>11</v>
      </c>
    </row>
    <row r="1146" spans="1:19" x14ac:dyDescent="0.3">
      <c r="A1146" t="s">
        <v>1204</v>
      </c>
      <c r="B1146" s="2">
        <v>46336</v>
      </c>
      <c r="C1146" t="s">
        <v>64</v>
      </c>
      <c r="D1146" t="s">
        <v>29</v>
      </c>
      <c r="E1146" t="s">
        <v>42</v>
      </c>
      <c r="F1146" t="s">
        <v>30</v>
      </c>
      <c r="G1146" t="s">
        <v>24</v>
      </c>
      <c r="H1146" t="s">
        <v>388</v>
      </c>
      <c r="I1146">
        <v>4</v>
      </c>
      <c r="J1146" s="5">
        <v>31535</v>
      </c>
      <c r="K1146" s="5">
        <v>126140</v>
      </c>
      <c r="L1146" s="5">
        <v>6307</v>
      </c>
      <c r="M1146" s="12">
        <v>0.05</v>
      </c>
      <c r="N1146" s="5">
        <f t="shared" si="34"/>
        <v>119833</v>
      </c>
      <c r="O1146" s="5">
        <v>83471.92</v>
      </c>
      <c r="P1146" s="5">
        <f t="shared" si="35"/>
        <v>36361.08</v>
      </c>
      <c r="Q1146" t="s">
        <v>389</v>
      </c>
      <c r="R1146">
        <v>2026</v>
      </c>
      <c r="S1146">
        <v>11</v>
      </c>
    </row>
    <row r="1147" spans="1:19" x14ac:dyDescent="0.3">
      <c r="A1147" s="19" t="s">
        <v>1205</v>
      </c>
      <c r="B1147" s="20">
        <v>46337</v>
      </c>
      <c r="C1147" s="19" t="s">
        <v>50</v>
      </c>
      <c r="D1147" s="19" t="s">
        <v>34</v>
      </c>
      <c r="E1147" s="19" t="s">
        <v>56</v>
      </c>
      <c r="F1147" s="19" t="s">
        <v>23</v>
      </c>
      <c r="G1147" s="19" t="s">
        <v>24</v>
      </c>
      <c r="H1147" s="19" t="s">
        <v>388</v>
      </c>
      <c r="I1147" s="19">
        <v>2</v>
      </c>
      <c r="J1147" s="21">
        <v>16901</v>
      </c>
      <c r="K1147" s="21">
        <v>33802</v>
      </c>
      <c r="L1147" s="21">
        <v>3380.2</v>
      </c>
      <c r="M1147" s="15">
        <v>0.1</v>
      </c>
      <c r="N1147" s="21">
        <f t="shared" si="34"/>
        <v>30421.8</v>
      </c>
      <c r="O1147" s="21">
        <v>18327.46</v>
      </c>
      <c r="P1147" s="21">
        <f t="shared" si="35"/>
        <v>12094.34</v>
      </c>
      <c r="Q1147" s="19" t="s">
        <v>389</v>
      </c>
      <c r="R1147" s="19">
        <v>2026</v>
      </c>
      <c r="S1147" s="19">
        <v>11</v>
      </c>
    </row>
    <row r="1148" spans="1:19" x14ac:dyDescent="0.3">
      <c r="A1148" t="s">
        <v>1206</v>
      </c>
      <c r="B1148" s="2">
        <v>46338</v>
      </c>
      <c r="C1148" t="s">
        <v>28</v>
      </c>
      <c r="D1148" t="s">
        <v>29</v>
      </c>
      <c r="E1148" t="s">
        <v>22</v>
      </c>
      <c r="F1148" t="s">
        <v>30</v>
      </c>
      <c r="G1148" t="s">
        <v>31</v>
      </c>
      <c r="H1148" t="s">
        <v>388</v>
      </c>
      <c r="I1148">
        <v>3</v>
      </c>
      <c r="J1148" s="5">
        <v>63168</v>
      </c>
      <c r="K1148" s="5">
        <v>189504</v>
      </c>
      <c r="L1148" s="5">
        <v>18950.400000000001</v>
      </c>
      <c r="M1148" s="12">
        <v>0.1</v>
      </c>
      <c r="N1148" s="5">
        <f t="shared" si="34"/>
        <v>170553.60000000001</v>
      </c>
      <c r="O1148" s="5">
        <v>124601.27</v>
      </c>
      <c r="P1148" s="5">
        <f t="shared" si="35"/>
        <v>45952.33</v>
      </c>
      <c r="Q1148" t="s">
        <v>389</v>
      </c>
      <c r="R1148">
        <v>2026</v>
      </c>
      <c r="S1148">
        <v>11</v>
      </c>
    </row>
    <row r="1149" spans="1:19" x14ac:dyDescent="0.3">
      <c r="A1149" s="19" t="s">
        <v>1207</v>
      </c>
      <c r="B1149" s="20">
        <v>46338</v>
      </c>
      <c r="C1149" s="19" t="s">
        <v>50</v>
      </c>
      <c r="D1149" s="19" t="s">
        <v>34</v>
      </c>
      <c r="E1149" s="19" t="s">
        <v>44</v>
      </c>
      <c r="F1149" s="19" t="s">
        <v>37</v>
      </c>
      <c r="G1149" s="19" t="s">
        <v>24</v>
      </c>
      <c r="H1149" s="19" t="s">
        <v>388</v>
      </c>
      <c r="I1149" s="19">
        <v>1</v>
      </c>
      <c r="J1149" s="21">
        <v>18178</v>
      </c>
      <c r="K1149" s="21">
        <v>18178</v>
      </c>
      <c r="L1149" s="21">
        <v>908.9</v>
      </c>
      <c r="M1149" s="15">
        <v>0.05</v>
      </c>
      <c r="N1149" s="21">
        <f t="shared" si="34"/>
        <v>17269.099999999999</v>
      </c>
      <c r="O1149" s="21">
        <v>9032.18</v>
      </c>
      <c r="P1149" s="21">
        <f t="shared" si="35"/>
        <v>8236.9199999999983</v>
      </c>
      <c r="Q1149" s="19" t="s">
        <v>389</v>
      </c>
      <c r="R1149" s="19">
        <v>2026</v>
      </c>
      <c r="S1149" s="19">
        <v>11</v>
      </c>
    </row>
    <row r="1150" spans="1:19" x14ac:dyDescent="0.3">
      <c r="A1150" t="s">
        <v>1208</v>
      </c>
      <c r="B1150" s="2">
        <v>46340</v>
      </c>
      <c r="C1150" t="s">
        <v>71</v>
      </c>
      <c r="D1150" t="s">
        <v>34</v>
      </c>
      <c r="E1150" t="s">
        <v>44</v>
      </c>
      <c r="F1150" t="s">
        <v>30</v>
      </c>
      <c r="G1150" t="s">
        <v>31</v>
      </c>
      <c r="H1150" t="s">
        <v>388</v>
      </c>
      <c r="I1150">
        <v>4</v>
      </c>
      <c r="J1150" s="5">
        <v>52636</v>
      </c>
      <c r="K1150" s="5">
        <v>210544</v>
      </c>
      <c r="L1150" s="5">
        <v>21054.400000000001</v>
      </c>
      <c r="M1150" s="12">
        <v>0.1</v>
      </c>
      <c r="N1150" s="5">
        <f t="shared" si="34"/>
        <v>189489.6</v>
      </c>
      <c r="O1150" s="5">
        <v>140449.46</v>
      </c>
      <c r="P1150" s="5">
        <f t="shared" si="35"/>
        <v>49040.140000000014</v>
      </c>
      <c r="Q1150" t="s">
        <v>389</v>
      </c>
      <c r="R1150">
        <v>2026</v>
      </c>
      <c r="S1150">
        <v>11</v>
      </c>
    </row>
    <row r="1151" spans="1:19" x14ac:dyDescent="0.3">
      <c r="A1151" s="19" t="s">
        <v>1209</v>
      </c>
      <c r="B1151" s="20">
        <v>46341</v>
      </c>
      <c r="C1151" s="19" t="s">
        <v>48</v>
      </c>
      <c r="D1151" s="19" t="s">
        <v>34</v>
      </c>
      <c r="E1151" s="19" t="s">
        <v>44</v>
      </c>
      <c r="F1151" s="19" t="s">
        <v>40</v>
      </c>
      <c r="G1151" s="19" t="s">
        <v>31</v>
      </c>
      <c r="H1151" s="19" t="s">
        <v>25</v>
      </c>
      <c r="I1151" s="19">
        <v>1</v>
      </c>
      <c r="J1151" s="21">
        <v>23982</v>
      </c>
      <c r="K1151" s="21">
        <v>23982</v>
      </c>
      <c r="L1151" s="21">
        <v>0</v>
      </c>
      <c r="M1151" s="15">
        <v>0</v>
      </c>
      <c r="N1151" s="21">
        <f t="shared" si="34"/>
        <v>23982</v>
      </c>
      <c r="O1151" s="21">
        <v>15321.54</v>
      </c>
      <c r="P1151" s="21">
        <f t="shared" si="35"/>
        <v>8660.4599999999991</v>
      </c>
      <c r="Q1151" s="19" t="s">
        <v>389</v>
      </c>
      <c r="R1151" s="19">
        <v>2026</v>
      </c>
      <c r="S1151" s="19">
        <v>11</v>
      </c>
    </row>
    <row r="1152" spans="1:19" x14ac:dyDescent="0.3">
      <c r="A1152" t="s">
        <v>1210</v>
      </c>
      <c r="B1152" s="2">
        <v>46341</v>
      </c>
      <c r="C1152" t="s">
        <v>46</v>
      </c>
      <c r="D1152" t="s">
        <v>21</v>
      </c>
      <c r="E1152" t="s">
        <v>42</v>
      </c>
      <c r="F1152" t="s">
        <v>40</v>
      </c>
      <c r="G1152" t="s">
        <v>24</v>
      </c>
      <c r="H1152" t="s">
        <v>388</v>
      </c>
      <c r="I1152">
        <v>2</v>
      </c>
      <c r="J1152" s="5">
        <v>11584</v>
      </c>
      <c r="K1152" s="5">
        <v>23168</v>
      </c>
      <c r="L1152" s="5">
        <v>2316.8000000000002</v>
      </c>
      <c r="M1152" s="12">
        <v>0.1</v>
      </c>
      <c r="N1152" s="5">
        <f t="shared" si="34"/>
        <v>20851.2</v>
      </c>
      <c r="O1152" s="5">
        <v>15024.28</v>
      </c>
      <c r="P1152" s="5">
        <f t="shared" si="35"/>
        <v>5826.92</v>
      </c>
      <c r="Q1152" t="s">
        <v>389</v>
      </c>
      <c r="R1152">
        <v>2026</v>
      </c>
      <c r="S1152">
        <v>11</v>
      </c>
    </row>
    <row r="1153" spans="1:19" x14ac:dyDescent="0.3">
      <c r="A1153" s="19" t="s">
        <v>1211</v>
      </c>
      <c r="B1153" s="20">
        <v>46343</v>
      </c>
      <c r="C1153" s="19" t="s">
        <v>46</v>
      </c>
      <c r="D1153" s="19" t="s">
        <v>21</v>
      </c>
      <c r="E1153" s="19" t="s">
        <v>44</v>
      </c>
      <c r="F1153" s="19" t="s">
        <v>35</v>
      </c>
      <c r="G1153" s="19" t="s">
        <v>31</v>
      </c>
      <c r="H1153" s="19" t="s">
        <v>388</v>
      </c>
      <c r="I1153" s="19">
        <v>3</v>
      </c>
      <c r="J1153" s="21">
        <v>11827</v>
      </c>
      <c r="K1153" s="21">
        <v>35481</v>
      </c>
      <c r="L1153" s="21">
        <v>1774.05</v>
      </c>
      <c r="M1153" s="15">
        <v>0.05</v>
      </c>
      <c r="N1153" s="21">
        <f t="shared" si="34"/>
        <v>33706.949999999997</v>
      </c>
      <c r="O1153" s="21">
        <v>19754.64</v>
      </c>
      <c r="P1153" s="21">
        <f t="shared" si="35"/>
        <v>13952.309999999998</v>
      </c>
      <c r="Q1153" s="19" t="s">
        <v>389</v>
      </c>
      <c r="R1153" s="19">
        <v>2026</v>
      </c>
      <c r="S1153" s="19">
        <v>11</v>
      </c>
    </row>
    <row r="1154" spans="1:19" x14ac:dyDescent="0.3">
      <c r="A1154" t="s">
        <v>1212</v>
      </c>
      <c r="B1154" s="2">
        <v>46343</v>
      </c>
      <c r="C1154" t="s">
        <v>20</v>
      </c>
      <c r="D1154" t="s">
        <v>21</v>
      </c>
      <c r="E1154" t="s">
        <v>44</v>
      </c>
      <c r="F1154" t="s">
        <v>35</v>
      </c>
      <c r="G1154" t="s">
        <v>31</v>
      </c>
      <c r="H1154" t="s">
        <v>388</v>
      </c>
      <c r="I1154">
        <v>1</v>
      </c>
      <c r="J1154" s="5">
        <v>15984</v>
      </c>
      <c r="K1154" s="5">
        <v>15984</v>
      </c>
      <c r="L1154" s="5">
        <v>1598.4</v>
      </c>
      <c r="M1154" s="12">
        <v>0.1</v>
      </c>
      <c r="N1154" s="5">
        <f t="shared" si="34"/>
        <v>14385.6</v>
      </c>
      <c r="O1154" s="5">
        <v>8362.99</v>
      </c>
      <c r="P1154" s="5">
        <f t="shared" si="35"/>
        <v>6022.6100000000006</v>
      </c>
      <c r="Q1154" t="s">
        <v>389</v>
      </c>
      <c r="R1154">
        <v>2026</v>
      </c>
      <c r="S1154">
        <v>11</v>
      </c>
    </row>
    <row r="1155" spans="1:19" x14ac:dyDescent="0.3">
      <c r="A1155" s="19" t="s">
        <v>1213</v>
      </c>
      <c r="B1155" s="20">
        <v>46344</v>
      </c>
      <c r="C1155" s="19" t="s">
        <v>48</v>
      </c>
      <c r="D1155" s="19" t="s">
        <v>34</v>
      </c>
      <c r="E1155" s="19" t="s">
        <v>56</v>
      </c>
      <c r="F1155" s="19" t="s">
        <v>30</v>
      </c>
      <c r="G1155" s="19" t="s">
        <v>31</v>
      </c>
      <c r="H1155" s="19" t="s">
        <v>388</v>
      </c>
      <c r="I1155" s="19">
        <v>5</v>
      </c>
      <c r="J1155" s="21">
        <v>24879</v>
      </c>
      <c r="K1155" s="21">
        <v>124395</v>
      </c>
      <c r="L1155" s="21">
        <v>18659.25</v>
      </c>
      <c r="M1155" s="15">
        <v>0.15</v>
      </c>
      <c r="N1155" s="21">
        <f t="shared" ref="N1155:N1202" si="36">K1155-L1155</f>
        <v>105735.75</v>
      </c>
      <c r="O1155" s="21">
        <v>80687.02</v>
      </c>
      <c r="P1155" s="21">
        <f t="shared" si="35"/>
        <v>25048.729999999996</v>
      </c>
      <c r="Q1155" s="19" t="s">
        <v>389</v>
      </c>
      <c r="R1155" s="19">
        <v>2026</v>
      </c>
      <c r="S1155" s="19">
        <v>11</v>
      </c>
    </row>
    <row r="1156" spans="1:19" x14ac:dyDescent="0.3">
      <c r="A1156" t="s">
        <v>1214</v>
      </c>
      <c r="B1156" s="2">
        <v>46348</v>
      </c>
      <c r="C1156" t="s">
        <v>28</v>
      </c>
      <c r="D1156" t="s">
        <v>29</v>
      </c>
      <c r="E1156" t="s">
        <v>22</v>
      </c>
      <c r="F1156" t="s">
        <v>23</v>
      </c>
      <c r="G1156" t="s">
        <v>24</v>
      </c>
      <c r="H1156" t="s">
        <v>388</v>
      </c>
      <c r="I1156">
        <v>3</v>
      </c>
      <c r="J1156" s="5">
        <v>69415</v>
      </c>
      <c r="K1156" s="5">
        <v>208245</v>
      </c>
      <c r="L1156" s="5">
        <v>10412.25</v>
      </c>
      <c r="M1156" s="12">
        <v>0.05</v>
      </c>
      <c r="N1156" s="5">
        <f t="shared" si="36"/>
        <v>197832.75</v>
      </c>
      <c r="O1156" s="5">
        <v>123005.33</v>
      </c>
      <c r="P1156" s="5">
        <f t="shared" ref="P1156:P1202" si="37">N1156-O1156</f>
        <v>74827.42</v>
      </c>
      <c r="Q1156" t="s">
        <v>389</v>
      </c>
      <c r="R1156">
        <v>2026</v>
      </c>
      <c r="S1156">
        <v>11</v>
      </c>
    </row>
    <row r="1157" spans="1:19" x14ac:dyDescent="0.3">
      <c r="A1157" s="19" t="s">
        <v>1215</v>
      </c>
      <c r="B1157" s="20">
        <v>46348</v>
      </c>
      <c r="C1157" s="19" t="s">
        <v>20</v>
      </c>
      <c r="D1157" s="19" t="s">
        <v>21</v>
      </c>
      <c r="E1157" s="19" t="s">
        <v>44</v>
      </c>
      <c r="F1157" s="19" t="s">
        <v>40</v>
      </c>
      <c r="G1157" s="19" t="s">
        <v>31</v>
      </c>
      <c r="H1157" s="19" t="s">
        <v>25</v>
      </c>
      <c r="I1157" s="19">
        <v>1</v>
      </c>
      <c r="J1157" s="21">
        <v>15847</v>
      </c>
      <c r="K1157" s="21">
        <v>15847</v>
      </c>
      <c r="L1157" s="21">
        <v>0</v>
      </c>
      <c r="M1157" s="15">
        <v>0</v>
      </c>
      <c r="N1157" s="21">
        <f t="shared" si="36"/>
        <v>15847</v>
      </c>
      <c r="O1157" s="21">
        <v>9570.64</v>
      </c>
      <c r="P1157" s="21">
        <f t="shared" si="37"/>
        <v>6276.3600000000006</v>
      </c>
      <c r="Q1157" s="19" t="s">
        <v>389</v>
      </c>
      <c r="R1157" s="19">
        <v>2026</v>
      </c>
      <c r="S1157" s="19">
        <v>11</v>
      </c>
    </row>
    <row r="1158" spans="1:19" x14ac:dyDescent="0.3">
      <c r="A1158" t="s">
        <v>1216</v>
      </c>
      <c r="B1158" s="2">
        <v>46351</v>
      </c>
      <c r="C1158" t="s">
        <v>46</v>
      </c>
      <c r="D1158" t="s">
        <v>21</v>
      </c>
      <c r="E1158" t="s">
        <v>42</v>
      </c>
      <c r="F1158" t="s">
        <v>40</v>
      </c>
      <c r="G1158" t="s">
        <v>24</v>
      </c>
      <c r="H1158" t="s">
        <v>25</v>
      </c>
      <c r="I1158">
        <v>1</v>
      </c>
      <c r="J1158" s="5">
        <v>11904</v>
      </c>
      <c r="K1158" s="5">
        <v>11904</v>
      </c>
      <c r="L1158" s="5">
        <v>0</v>
      </c>
      <c r="M1158" s="12">
        <v>0</v>
      </c>
      <c r="N1158" s="5">
        <f t="shared" si="36"/>
        <v>11904</v>
      </c>
      <c r="O1158" s="5">
        <v>7196.01</v>
      </c>
      <c r="P1158" s="5">
        <f t="shared" si="37"/>
        <v>4707.99</v>
      </c>
      <c r="Q1158" t="s">
        <v>389</v>
      </c>
      <c r="R1158">
        <v>2026</v>
      </c>
      <c r="S1158">
        <v>11</v>
      </c>
    </row>
    <row r="1159" spans="1:19" x14ac:dyDescent="0.3">
      <c r="A1159" s="19" t="s">
        <v>1217</v>
      </c>
      <c r="B1159" s="20">
        <v>46352</v>
      </c>
      <c r="C1159" s="19" t="s">
        <v>20</v>
      </c>
      <c r="D1159" s="19" t="s">
        <v>21</v>
      </c>
      <c r="E1159" s="19" t="s">
        <v>22</v>
      </c>
      <c r="F1159" s="19" t="s">
        <v>40</v>
      </c>
      <c r="G1159" s="19" t="s">
        <v>31</v>
      </c>
      <c r="H1159" s="19" t="s">
        <v>388</v>
      </c>
      <c r="I1159" s="19">
        <v>1</v>
      </c>
      <c r="J1159" s="21">
        <v>15201</v>
      </c>
      <c r="K1159" s="21">
        <v>15201</v>
      </c>
      <c r="L1159" s="21">
        <v>2280.15</v>
      </c>
      <c r="M1159" s="15">
        <v>0.15</v>
      </c>
      <c r="N1159" s="21">
        <f t="shared" si="36"/>
        <v>12920.85</v>
      </c>
      <c r="O1159" s="21">
        <v>7425.45</v>
      </c>
      <c r="P1159" s="21">
        <f t="shared" si="37"/>
        <v>5495.4000000000005</v>
      </c>
      <c r="Q1159" s="19" t="s">
        <v>389</v>
      </c>
      <c r="R1159" s="19">
        <v>2026</v>
      </c>
      <c r="S1159" s="19">
        <v>11</v>
      </c>
    </row>
    <row r="1160" spans="1:19" x14ac:dyDescent="0.3">
      <c r="A1160" t="s">
        <v>1218</v>
      </c>
      <c r="B1160" s="2">
        <v>46352</v>
      </c>
      <c r="C1160" t="s">
        <v>71</v>
      </c>
      <c r="D1160" t="s">
        <v>34</v>
      </c>
      <c r="E1160" t="s">
        <v>22</v>
      </c>
      <c r="F1160" t="s">
        <v>35</v>
      </c>
      <c r="G1160" t="s">
        <v>31</v>
      </c>
      <c r="H1160" t="s">
        <v>388</v>
      </c>
      <c r="I1160">
        <v>2</v>
      </c>
      <c r="J1160" s="5">
        <v>48984</v>
      </c>
      <c r="K1160" s="5">
        <v>97968</v>
      </c>
      <c r="L1160" s="5">
        <v>14695.2</v>
      </c>
      <c r="M1160" s="12">
        <v>0.15</v>
      </c>
      <c r="N1160" s="5">
        <f t="shared" si="36"/>
        <v>83272.800000000003</v>
      </c>
      <c r="O1160" s="5">
        <v>50303.77</v>
      </c>
      <c r="P1160" s="5">
        <f t="shared" si="37"/>
        <v>32969.030000000006</v>
      </c>
      <c r="Q1160" t="s">
        <v>389</v>
      </c>
      <c r="R1160">
        <v>2026</v>
      </c>
      <c r="S1160">
        <v>11</v>
      </c>
    </row>
    <row r="1161" spans="1:19" x14ac:dyDescent="0.3">
      <c r="A1161" s="19" t="s">
        <v>1219</v>
      </c>
      <c r="B1161" s="20">
        <v>46354</v>
      </c>
      <c r="C1161" s="19" t="s">
        <v>50</v>
      </c>
      <c r="D1161" s="19" t="s">
        <v>34</v>
      </c>
      <c r="E1161" s="19" t="s">
        <v>22</v>
      </c>
      <c r="F1161" s="19" t="s">
        <v>40</v>
      </c>
      <c r="G1161" s="19" t="s">
        <v>31</v>
      </c>
      <c r="H1161" s="19" t="s">
        <v>25</v>
      </c>
      <c r="I1161" s="19">
        <v>1</v>
      </c>
      <c r="J1161" s="21">
        <v>17566</v>
      </c>
      <c r="K1161" s="21">
        <v>17566</v>
      </c>
      <c r="L1161" s="21">
        <v>0</v>
      </c>
      <c r="M1161" s="15">
        <v>0</v>
      </c>
      <c r="N1161" s="21">
        <f t="shared" si="36"/>
        <v>17566</v>
      </c>
      <c r="O1161" s="21">
        <v>9810.92</v>
      </c>
      <c r="P1161" s="21">
        <f t="shared" si="37"/>
        <v>7755.08</v>
      </c>
      <c r="Q1161" s="19" t="s">
        <v>389</v>
      </c>
      <c r="R1161" s="19">
        <v>2026</v>
      </c>
      <c r="S1161" s="19">
        <v>11</v>
      </c>
    </row>
    <row r="1162" spans="1:19" x14ac:dyDescent="0.3">
      <c r="A1162" t="s">
        <v>1220</v>
      </c>
      <c r="B1162" s="2">
        <v>46354</v>
      </c>
      <c r="C1162" t="s">
        <v>28</v>
      </c>
      <c r="D1162" t="s">
        <v>29</v>
      </c>
      <c r="E1162" t="s">
        <v>42</v>
      </c>
      <c r="F1162" t="s">
        <v>23</v>
      </c>
      <c r="G1162" t="s">
        <v>24</v>
      </c>
      <c r="H1162" t="s">
        <v>25</v>
      </c>
      <c r="I1162">
        <v>2</v>
      </c>
      <c r="J1162" s="5">
        <v>68117</v>
      </c>
      <c r="K1162" s="5">
        <v>136234</v>
      </c>
      <c r="L1162" s="5">
        <v>0</v>
      </c>
      <c r="M1162" s="12">
        <v>0</v>
      </c>
      <c r="N1162" s="5">
        <f t="shared" si="36"/>
        <v>136234</v>
      </c>
      <c r="O1162" s="5">
        <v>72465.88</v>
      </c>
      <c r="P1162" s="5">
        <f t="shared" si="37"/>
        <v>63768.119999999995</v>
      </c>
      <c r="Q1162" t="s">
        <v>389</v>
      </c>
      <c r="R1162">
        <v>2026</v>
      </c>
      <c r="S1162">
        <v>11</v>
      </c>
    </row>
    <row r="1163" spans="1:19" x14ac:dyDescent="0.3">
      <c r="A1163" s="19" t="s">
        <v>1221</v>
      </c>
      <c r="B1163" s="20">
        <v>46354</v>
      </c>
      <c r="C1163" s="19" t="s">
        <v>48</v>
      </c>
      <c r="D1163" s="19" t="s">
        <v>34</v>
      </c>
      <c r="E1163" s="19" t="s">
        <v>42</v>
      </c>
      <c r="F1163" s="19" t="s">
        <v>40</v>
      </c>
      <c r="G1163" s="19" t="s">
        <v>31</v>
      </c>
      <c r="H1163" s="19" t="s">
        <v>25</v>
      </c>
      <c r="I1163" s="19">
        <v>4</v>
      </c>
      <c r="J1163" s="21">
        <v>26689</v>
      </c>
      <c r="K1163" s="21">
        <v>106756</v>
      </c>
      <c r="L1163" s="21">
        <v>0</v>
      </c>
      <c r="M1163" s="15">
        <v>0</v>
      </c>
      <c r="N1163" s="21">
        <f t="shared" si="36"/>
        <v>106756</v>
      </c>
      <c r="O1163" s="21">
        <v>64283.57</v>
      </c>
      <c r="P1163" s="21">
        <f t="shared" si="37"/>
        <v>42472.43</v>
      </c>
      <c r="Q1163" s="19" t="s">
        <v>389</v>
      </c>
      <c r="R1163" s="19">
        <v>2026</v>
      </c>
      <c r="S1163" s="19">
        <v>11</v>
      </c>
    </row>
    <row r="1164" spans="1:19" x14ac:dyDescent="0.3">
      <c r="A1164" t="s">
        <v>1222</v>
      </c>
      <c r="B1164" s="2">
        <v>46354</v>
      </c>
      <c r="C1164" t="s">
        <v>46</v>
      </c>
      <c r="D1164" t="s">
        <v>21</v>
      </c>
      <c r="E1164" t="s">
        <v>42</v>
      </c>
      <c r="F1164" t="s">
        <v>23</v>
      </c>
      <c r="G1164" t="s">
        <v>31</v>
      </c>
      <c r="H1164" t="s">
        <v>388</v>
      </c>
      <c r="I1164">
        <v>3</v>
      </c>
      <c r="J1164" s="5">
        <v>11588</v>
      </c>
      <c r="K1164" s="5">
        <v>34764</v>
      </c>
      <c r="L1164" s="5">
        <v>1738.2</v>
      </c>
      <c r="M1164" s="12">
        <v>0.05</v>
      </c>
      <c r="N1164" s="5">
        <f t="shared" si="36"/>
        <v>33025.800000000003</v>
      </c>
      <c r="O1164" s="5">
        <v>22840.78</v>
      </c>
      <c r="P1164" s="5">
        <f t="shared" si="37"/>
        <v>10185.020000000004</v>
      </c>
      <c r="Q1164" t="s">
        <v>389</v>
      </c>
      <c r="R1164">
        <v>2026</v>
      </c>
      <c r="S1164">
        <v>11</v>
      </c>
    </row>
    <row r="1165" spans="1:19" x14ac:dyDescent="0.3">
      <c r="A1165" s="19" t="s">
        <v>1223</v>
      </c>
      <c r="B1165" s="20">
        <v>46354</v>
      </c>
      <c r="C1165" s="19" t="s">
        <v>28</v>
      </c>
      <c r="D1165" s="19" t="s">
        <v>29</v>
      </c>
      <c r="E1165" s="19" t="s">
        <v>56</v>
      </c>
      <c r="F1165" s="19" t="s">
        <v>37</v>
      </c>
      <c r="G1165" s="19" t="s">
        <v>31</v>
      </c>
      <c r="H1165" s="19" t="s">
        <v>388</v>
      </c>
      <c r="I1165" s="19">
        <v>1</v>
      </c>
      <c r="J1165" s="21">
        <v>68143</v>
      </c>
      <c r="K1165" s="21">
        <v>68143</v>
      </c>
      <c r="L1165" s="21">
        <v>10221.450000000001</v>
      </c>
      <c r="M1165" s="15">
        <v>0.15</v>
      </c>
      <c r="N1165" s="21">
        <f t="shared" si="36"/>
        <v>57921.55</v>
      </c>
      <c r="O1165" s="21">
        <v>37429.089999999997</v>
      </c>
      <c r="P1165" s="21">
        <f t="shared" si="37"/>
        <v>20492.460000000006</v>
      </c>
      <c r="Q1165" s="19" t="s">
        <v>389</v>
      </c>
      <c r="R1165" s="19">
        <v>2026</v>
      </c>
      <c r="S1165" s="19">
        <v>11</v>
      </c>
    </row>
    <row r="1166" spans="1:19" x14ac:dyDescent="0.3">
      <c r="A1166" t="s">
        <v>1224</v>
      </c>
      <c r="B1166" s="2">
        <v>46354</v>
      </c>
      <c r="C1166" t="s">
        <v>48</v>
      </c>
      <c r="D1166" t="s">
        <v>34</v>
      </c>
      <c r="E1166" t="s">
        <v>22</v>
      </c>
      <c r="F1166" t="s">
        <v>37</v>
      </c>
      <c r="G1166" t="s">
        <v>24</v>
      </c>
      <c r="H1166" t="s">
        <v>388</v>
      </c>
      <c r="I1166">
        <v>3</v>
      </c>
      <c r="J1166" s="5">
        <v>23233</v>
      </c>
      <c r="K1166" s="5">
        <v>69699</v>
      </c>
      <c r="L1166" s="5">
        <v>6969.9</v>
      </c>
      <c r="M1166" s="12">
        <v>0.1</v>
      </c>
      <c r="N1166" s="5">
        <f t="shared" si="36"/>
        <v>62729.1</v>
      </c>
      <c r="O1166" s="5">
        <v>40067.29</v>
      </c>
      <c r="P1166" s="5">
        <f t="shared" si="37"/>
        <v>22661.809999999998</v>
      </c>
      <c r="Q1166" t="s">
        <v>389</v>
      </c>
      <c r="R1166">
        <v>2026</v>
      </c>
      <c r="S1166">
        <v>11</v>
      </c>
    </row>
    <row r="1167" spans="1:19" x14ac:dyDescent="0.3">
      <c r="A1167" s="19" t="s">
        <v>1225</v>
      </c>
      <c r="B1167" s="20">
        <v>46355</v>
      </c>
      <c r="C1167" s="19" t="s">
        <v>71</v>
      </c>
      <c r="D1167" s="19" t="s">
        <v>34</v>
      </c>
      <c r="E1167" s="19" t="s">
        <v>56</v>
      </c>
      <c r="F1167" s="19" t="s">
        <v>30</v>
      </c>
      <c r="G1167" s="19" t="s">
        <v>31</v>
      </c>
      <c r="H1167" s="19" t="s">
        <v>388</v>
      </c>
      <c r="I1167" s="19">
        <v>3</v>
      </c>
      <c r="J1167" s="21">
        <v>48630</v>
      </c>
      <c r="K1167" s="21">
        <v>145890</v>
      </c>
      <c r="L1167" s="21">
        <v>21883.5</v>
      </c>
      <c r="M1167" s="15">
        <v>0.15</v>
      </c>
      <c r="N1167" s="21">
        <f t="shared" si="36"/>
        <v>124006.5</v>
      </c>
      <c r="O1167" s="21">
        <v>95448.960000000006</v>
      </c>
      <c r="P1167" s="21">
        <f t="shared" si="37"/>
        <v>28557.539999999994</v>
      </c>
      <c r="Q1167" s="19" t="s">
        <v>389</v>
      </c>
      <c r="R1167" s="19">
        <v>2026</v>
      </c>
      <c r="S1167" s="19">
        <v>11</v>
      </c>
    </row>
    <row r="1168" spans="1:19" x14ac:dyDescent="0.3">
      <c r="A1168" t="s">
        <v>1226</v>
      </c>
      <c r="B1168" s="2">
        <v>46356</v>
      </c>
      <c r="C1168" t="s">
        <v>71</v>
      </c>
      <c r="D1168" t="s">
        <v>34</v>
      </c>
      <c r="E1168" t="s">
        <v>56</v>
      </c>
      <c r="F1168" t="s">
        <v>30</v>
      </c>
      <c r="G1168" t="s">
        <v>31</v>
      </c>
      <c r="H1168" t="s">
        <v>388</v>
      </c>
      <c r="I1168">
        <v>2</v>
      </c>
      <c r="J1168" s="5">
        <v>49888</v>
      </c>
      <c r="K1168" s="5">
        <v>99776</v>
      </c>
      <c r="L1168" s="5">
        <v>4988.8</v>
      </c>
      <c r="M1168" s="12">
        <v>0.05</v>
      </c>
      <c r="N1168" s="5">
        <f t="shared" si="36"/>
        <v>94787.199999999997</v>
      </c>
      <c r="O1168" s="5">
        <v>58284.51</v>
      </c>
      <c r="P1168" s="5">
        <f t="shared" si="37"/>
        <v>36502.689999999995</v>
      </c>
      <c r="Q1168" t="s">
        <v>389</v>
      </c>
      <c r="R1168">
        <v>2026</v>
      </c>
      <c r="S1168">
        <v>11</v>
      </c>
    </row>
    <row r="1169" spans="1:19" x14ac:dyDescent="0.3">
      <c r="A1169" s="19" t="s">
        <v>1227</v>
      </c>
      <c r="B1169" s="20">
        <v>46357</v>
      </c>
      <c r="C1169" s="19" t="s">
        <v>64</v>
      </c>
      <c r="D1169" s="19" t="s">
        <v>29</v>
      </c>
      <c r="E1169" s="19" t="s">
        <v>44</v>
      </c>
      <c r="F1169" s="19" t="s">
        <v>30</v>
      </c>
      <c r="G1169" s="19" t="s">
        <v>31</v>
      </c>
      <c r="H1169" s="19" t="s">
        <v>415</v>
      </c>
      <c r="I1169" s="19">
        <v>2</v>
      </c>
      <c r="J1169" s="21">
        <v>27673</v>
      </c>
      <c r="K1169" s="21">
        <v>55346</v>
      </c>
      <c r="L1169" s="21">
        <v>5534.6</v>
      </c>
      <c r="M1169" s="15">
        <v>0.1</v>
      </c>
      <c r="N1169" s="21">
        <f t="shared" si="36"/>
        <v>49811.4</v>
      </c>
      <c r="O1169" s="21">
        <v>29686.9</v>
      </c>
      <c r="P1169" s="21">
        <f t="shared" si="37"/>
        <v>20124.5</v>
      </c>
      <c r="Q1169" s="19" t="s">
        <v>416</v>
      </c>
      <c r="R1169" s="19">
        <v>2026</v>
      </c>
      <c r="S1169" s="19">
        <v>12</v>
      </c>
    </row>
    <row r="1170" spans="1:19" x14ac:dyDescent="0.3">
      <c r="A1170" t="s">
        <v>1228</v>
      </c>
      <c r="B1170" s="2">
        <v>46357</v>
      </c>
      <c r="C1170" t="s">
        <v>75</v>
      </c>
      <c r="D1170" t="s">
        <v>34</v>
      </c>
      <c r="E1170" t="s">
        <v>22</v>
      </c>
      <c r="F1170" t="s">
        <v>37</v>
      </c>
      <c r="G1170" t="s">
        <v>31</v>
      </c>
      <c r="H1170" t="s">
        <v>415</v>
      </c>
      <c r="I1170">
        <v>3</v>
      </c>
      <c r="J1170" s="5">
        <v>35193</v>
      </c>
      <c r="K1170" s="5">
        <v>105579</v>
      </c>
      <c r="L1170" s="5">
        <v>15836.85</v>
      </c>
      <c r="M1170" s="12">
        <v>0.15</v>
      </c>
      <c r="N1170" s="5">
        <f t="shared" si="36"/>
        <v>89742.15</v>
      </c>
      <c r="O1170" s="5">
        <v>71350.960000000006</v>
      </c>
      <c r="P1170" s="5">
        <f t="shared" si="37"/>
        <v>18391.189999999988</v>
      </c>
      <c r="Q1170" t="s">
        <v>416</v>
      </c>
      <c r="R1170">
        <v>2026</v>
      </c>
      <c r="S1170">
        <v>12</v>
      </c>
    </row>
    <row r="1171" spans="1:19" x14ac:dyDescent="0.3">
      <c r="A1171" s="19" t="s">
        <v>1229</v>
      </c>
      <c r="B1171" s="20">
        <v>46358</v>
      </c>
      <c r="C1171" s="19" t="s">
        <v>33</v>
      </c>
      <c r="D1171" s="19" t="s">
        <v>34</v>
      </c>
      <c r="E1171" s="19" t="s">
        <v>22</v>
      </c>
      <c r="F1171" s="19" t="s">
        <v>40</v>
      </c>
      <c r="G1171" s="19" t="s">
        <v>24</v>
      </c>
      <c r="H1171" s="19" t="s">
        <v>415</v>
      </c>
      <c r="I1171" s="19">
        <v>3</v>
      </c>
      <c r="J1171" s="21">
        <v>44548</v>
      </c>
      <c r="K1171" s="21">
        <v>133644</v>
      </c>
      <c r="L1171" s="21">
        <v>13364.4</v>
      </c>
      <c r="M1171" s="15">
        <v>0.1</v>
      </c>
      <c r="N1171" s="21">
        <f t="shared" si="36"/>
        <v>120279.6</v>
      </c>
      <c r="O1171" s="21">
        <v>67158.53</v>
      </c>
      <c r="P1171" s="21">
        <f t="shared" si="37"/>
        <v>53121.070000000007</v>
      </c>
      <c r="Q1171" s="19" t="s">
        <v>416</v>
      </c>
      <c r="R1171" s="19">
        <v>2026</v>
      </c>
      <c r="S1171" s="19">
        <v>12</v>
      </c>
    </row>
    <row r="1172" spans="1:19" x14ac:dyDescent="0.3">
      <c r="A1172" t="s">
        <v>1230</v>
      </c>
      <c r="B1172" s="2">
        <v>46359</v>
      </c>
      <c r="C1172" t="s">
        <v>28</v>
      </c>
      <c r="D1172" t="s">
        <v>29</v>
      </c>
      <c r="E1172" t="s">
        <v>22</v>
      </c>
      <c r="F1172" t="s">
        <v>40</v>
      </c>
      <c r="G1172" t="s">
        <v>24</v>
      </c>
      <c r="H1172" t="s">
        <v>25</v>
      </c>
      <c r="I1172">
        <v>2</v>
      </c>
      <c r="J1172" s="5">
        <v>68653</v>
      </c>
      <c r="K1172" s="5">
        <v>137306</v>
      </c>
      <c r="L1172" s="5">
        <v>0</v>
      </c>
      <c r="M1172" s="12">
        <v>0</v>
      </c>
      <c r="N1172" s="5">
        <f t="shared" si="36"/>
        <v>137306</v>
      </c>
      <c r="O1172" s="5">
        <v>73819.81</v>
      </c>
      <c r="P1172" s="5">
        <f t="shared" si="37"/>
        <v>63486.19</v>
      </c>
      <c r="Q1172" t="s">
        <v>416</v>
      </c>
      <c r="R1172">
        <v>2026</v>
      </c>
      <c r="S1172">
        <v>12</v>
      </c>
    </row>
    <row r="1173" spans="1:19" x14ac:dyDescent="0.3">
      <c r="A1173" s="19" t="s">
        <v>1231</v>
      </c>
      <c r="B1173" s="20">
        <v>46361</v>
      </c>
      <c r="C1173" s="19" t="s">
        <v>28</v>
      </c>
      <c r="D1173" s="19" t="s">
        <v>29</v>
      </c>
      <c r="E1173" s="19" t="s">
        <v>42</v>
      </c>
      <c r="F1173" s="19" t="s">
        <v>40</v>
      </c>
      <c r="G1173" s="19" t="s">
        <v>24</v>
      </c>
      <c r="H1173" s="19" t="s">
        <v>415</v>
      </c>
      <c r="I1173" s="19">
        <v>3</v>
      </c>
      <c r="J1173" s="21">
        <v>68506</v>
      </c>
      <c r="K1173" s="21">
        <v>205518</v>
      </c>
      <c r="L1173" s="21">
        <v>10275.9</v>
      </c>
      <c r="M1173" s="15">
        <v>0.05</v>
      </c>
      <c r="N1173" s="21">
        <f t="shared" si="36"/>
        <v>195242.1</v>
      </c>
      <c r="O1173" s="21">
        <v>121806.22</v>
      </c>
      <c r="P1173" s="21">
        <f t="shared" si="37"/>
        <v>73435.88</v>
      </c>
      <c r="Q1173" s="19" t="s">
        <v>416</v>
      </c>
      <c r="R1173" s="19">
        <v>2026</v>
      </c>
      <c r="S1173" s="19">
        <v>12</v>
      </c>
    </row>
    <row r="1174" spans="1:19" x14ac:dyDescent="0.3">
      <c r="A1174" t="s">
        <v>1232</v>
      </c>
      <c r="B1174" s="2">
        <v>46361</v>
      </c>
      <c r="C1174" t="s">
        <v>33</v>
      </c>
      <c r="D1174" t="s">
        <v>34</v>
      </c>
      <c r="E1174" t="s">
        <v>22</v>
      </c>
      <c r="F1174" t="s">
        <v>37</v>
      </c>
      <c r="G1174" t="s">
        <v>31</v>
      </c>
      <c r="H1174" t="s">
        <v>415</v>
      </c>
      <c r="I1174">
        <v>3</v>
      </c>
      <c r="J1174" s="5">
        <v>42868</v>
      </c>
      <c r="K1174" s="5">
        <v>128604</v>
      </c>
      <c r="L1174" s="5">
        <v>12860.4</v>
      </c>
      <c r="M1174" s="12">
        <v>0.1</v>
      </c>
      <c r="N1174" s="5">
        <f t="shared" si="36"/>
        <v>115743.6</v>
      </c>
      <c r="O1174" s="5">
        <v>80020.539999999994</v>
      </c>
      <c r="P1174" s="5">
        <f t="shared" si="37"/>
        <v>35723.060000000012</v>
      </c>
      <c r="Q1174" t="s">
        <v>416</v>
      </c>
      <c r="R1174">
        <v>2026</v>
      </c>
      <c r="S1174">
        <v>12</v>
      </c>
    </row>
    <row r="1175" spans="1:19" x14ac:dyDescent="0.3">
      <c r="A1175" s="19" t="s">
        <v>1233</v>
      </c>
      <c r="B1175" s="20">
        <v>46362</v>
      </c>
      <c r="C1175" s="19" t="s">
        <v>50</v>
      </c>
      <c r="D1175" s="19" t="s">
        <v>34</v>
      </c>
      <c r="E1175" s="19" t="s">
        <v>22</v>
      </c>
      <c r="F1175" s="19" t="s">
        <v>40</v>
      </c>
      <c r="G1175" s="19" t="s">
        <v>24</v>
      </c>
      <c r="H1175" s="19" t="s">
        <v>415</v>
      </c>
      <c r="I1175" s="19">
        <v>3</v>
      </c>
      <c r="J1175" s="21">
        <v>17865</v>
      </c>
      <c r="K1175" s="21">
        <v>53595</v>
      </c>
      <c r="L1175" s="21">
        <v>5359.5</v>
      </c>
      <c r="M1175" s="15">
        <v>0.1</v>
      </c>
      <c r="N1175" s="21">
        <f t="shared" si="36"/>
        <v>48235.5</v>
      </c>
      <c r="O1175" s="21">
        <v>35989.33</v>
      </c>
      <c r="P1175" s="21">
        <f t="shared" si="37"/>
        <v>12246.169999999998</v>
      </c>
      <c r="Q1175" s="19" t="s">
        <v>416</v>
      </c>
      <c r="R1175" s="19">
        <v>2026</v>
      </c>
      <c r="S1175" s="19">
        <v>12</v>
      </c>
    </row>
    <row r="1176" spans="1:19" x14ac:dyDescent="0.3">
      <c r="A1176" t="s">
        <v>1234</v>
      </c>
      <c r="B1176" s="2">
        <v>46362</v>
      </c>
      <c r="C1176" t="s">
        <v>82</v>
      </c>
      <c r="D1176" t="s">
        <v>21</v>
      </c>
      <c r="E1176" t="s">
        <v>22</v>
      </c>
      <c r="F1176" t="s">
        <v>40</v>
      </c>
      <c r="G1176" t="s">
        <v>24</v>
      </c>
      <c r="H1176" t="s">
        <v>415</v>
      </c>
      <c r="I1176">
        <v>1</v>
      </c>
      <c r="J1176" s="5">
        <v>45751</v>
      </c>
      <c r="K1176" s="5">
        <v>45751</v>
      </c>
      <c r="L1176" s="5">
        <v>2287.5500000000002</v>
      </c>
      <c r="M1176" s="12">
        <v>0.05</v>
      </c>
      <c r="N1176" s="5">
        <f t="shared" si="36"/>
        <v>43463.45</v>
      </c>
      <c r="O1176" s="5">
        <v>26749.71</v>
      </c>
      <c r="P1176" s="5">
        <f t="shared" si="37"/>
        <v>16713.739999999998</v>
      </c>
      <c r="Q1176" t="s">
        <v>416</v>
      </c>
      <c r="R1176">
        <v>2026</v>
      </c>
      <c r="S1176">
        <v>12</v>
      </c>
    </row>
    <row r="1177" spans="1:19" x14ac:dyDescent="0.3">
      <c r="A1177" s="19" t="s">
        <v>1235</v>
      </c>
      <c r="B1177" s="20">
        <v>46363</v>
      </c>
      <c r="C1177" s="19" t="s">
        <v>46</v>
      </c>
      <c r="D1177" s="19" t="s">
        <v>21</v>
      </c>
      <c r="E1177" s="19" t="s">
        <v>56</v>
      </c>
      <c r="F1177" s="19" t="s">
        <v>40</v>
      </c>
      <c r="G1177" s="19" t="s">
        <v>24</v>
      </c>
      <c r="H1177" s="19" t="s">
        <v>415</v>
      </c>
      <c r="I1177" s="19">
        <v>1</v>
      </c>
      <c r="J1177" s="21">
        <v>12092</v>
      </c>
      <c r="K1177" s="21">
        <v>12092</v>
      </c>
      <c r="L1177" s="21">
        <v>1813.8</v>
      </c>
      <c r="M1177" s="15">
        <v>0.15</v>
      </c>
      <c r="N1177" s="21">
        <f t="shared" si="36"/>
        <v>10278.200000000001</v>
      </c>
      <c r="O1177" s="21">
        <v>7937.52</v>
      </c>
      <c r="P1177" s="21">
        <f t="shared" si="37"/>
        <v>2340.6800000000003</v>
      </c>
      <c r="Q1177" s="19" t="s">
        <v>416</v>
      </c>
      <c r="R1177" s="19">
        <v>2026</v>
      </c>
      <c r="S1177" s="19">
        <v>12</v>
      </c>
    </row>
    <row r="1178" spans="1:19" x14ac:dyDescent="0.3">
      <c r="A1178" t="s">
        <v>1236</v>
      </c>
      <c r="B1178" s="2">
        <v>46364</v>
      </c>
      <c r="C1178" t="s">
        <v>50</v>
      </c>
      <c r="D1178" t="s">
        <v>34</v>
      </c>
      <c r="E1178" t="s">
        <v>42</v>
      </c>
      <c r="F1178" t="s">
        <v>37</v>
      </c>
      <c r="G1178" t="s">
        <v>24</v>
      </c>
      <c r="H1178" t="s">
        <v>415</v>
      </c>
      <c r="I1178">
        <v>3</v>
      </c>
      <c r="J1178" s="5">
        <v>18549</v>
      </c>
      <c r="K1178" s="5">
        <v>55647</v>
      </c>
      <c r="L1178" s="5">
        <v>2782.35</v>
      </c>
      <c r="M1178" s="12">
        <v>0.05</v>
      </c>
      <c r="N1178" s="5">
        <f t="shared" si="36"/>
        <v>52864.65</v>
      </c>
      <c r="O1178" s="5">
        <v>30930.39</v>
      </c>
      <c r="P1178" s="5">
        <f t="shared" si="37"/>
        <v>21934.260000000002</v>
      </c>
      <c r="Q1178" t="s">
        <v>416</v>
      </c>
      <c r="R1178">
        <v>2026</v>
      </c>
      <c r="S1178">
        <v>12</v>
      </c>
    </row>
    <row r="1179" spans="1:19" x14ac:dyDescent="0.3">
      <c r="A1179" s="19" t="s">
        <v>1237</v>
      </c>
      <c r="B1179" s="20">
        <v>46364</v>
      </c>
      <c r="C1179" s="19" t="s">
        <v>50</v>
      </c>
      <c r="D1179" s="19" t="s">
        <v>34</v>
      </c>
      <c r="E1179" s="19" t="s">
        <v>56</v>
      </c>
      <c r="F1179" s="19" t="s">
        <v>40</v>
      </c>
      <c r="G1179" s="19" t="s">
        <v>31</v>
      </c>
      <c r="H1179" s="19" t="s">
        <v>415</v>
      </c>
      <c r="I1179" s="19">
        <v>4</v>
      </c>
      <c r="J1179" s="21">
        <v>18165</v>
      </c>
      <c r="K1179" s="21">
        <v>72660</v>
      </c>
      <c r="L1179" s="21">
        <v>7266</v>
      </c>
      <c r="M1179" s="15">
        <v>0.1</v>
      </c>
      <c r="N1179" s="21">
        <f t="shared" si="36"/>
        <v>65394</v>
      </c>
      <c r="O1179" s="21">
        <v>44567.43</v>
      </c>
      <c r="P1179" s="21">
        <f t="shared" si="37"/>
        <v>20826.57</v>
      </c>
      <c r="Q1179" s="19" t="s">
        <v>416</v>
      </c>
      <c r="R1179" s="19">
        <v>2026</v>
      </c>
      <c r="S1179" s="19">
        <v>12</v>
      </c>
    </row>
    <row r="1180" spans="1:19" x14ac:dyDescent="0.3">
      <c r="A1180" t="s">
        <v>1238</v>
      </c>
      <c r="B1180" s="2">
        <v>46366</v>
      </c>
      <c r="C1180" t="s">
        <v>48</v>
      </c>
      <c r="D1180" t="s">
        <v>34</v>
      </c>
      <c r="E1180" t="s">
        <v>42</v>
      </c>
      <c r="F1180" t="s">
        <v>30</v>
      </c>
      <c r="G1180" t="s">
        <v>24</v>
      </c>
      <c r="H1180" t="s">
        <v>25</v>
      </c>
      <c r="I1180">
        <v>2</v>
      </c>
      <c r="J1180" s="5">
        <v>26114</v>
      </c>
      <c r="K1180" s="5">
        <v>52228</v>
      </c>
      <c r="L1180" s="5">
        <v>0</v>
      </c>
      <c r="M1180" s="12">
        <v>0</v>
      </c>
      <c r="N1180" s="5">
        <f t="shared" si="36"/>
        <v>52228</v>
      </c>
      <c r="O1180" s="5">
        <v>31346.799999999999</v>
      </c>
      <c r="P1180" s="5">
        <f t="shared" si="37"/>
        <v>20881.2</v>
      </c>
      <c r="Q1180" t="s">
        <v>416</v>
      </c>
      <c r="R1180">
        <v>2026</v>
      </c>
      <c r="S1180">
        <v>12</v>
      </c>
    </row>
    <row r="1181" spans="1:19" x14ac:dyDescent="0.3">
      <c r="A1181" s="19" t="s">
        <v>1239</v>
      </c>
      <c r="B1181" s="20">
        <v>46366</v>
      </c>
      <c r="C1181" s="19" t="s">
        <v>28</v>
      </c>
      <c r="D1181" s="19" t="s">
        <v>29</v>
      </c>
      <c r="E1181" s="19" t="s">
        <v>42</v>
      </c>
      <c r="F1181" s="19" t="s">
        <v>35</v>
      </c>
      <c r="G1181" s="19" t="s">
        <v>24</v>
      </c>
      <c r="H1181" s="19" t="s">
        <v>415</v>
      </c>
      <c r="I1181" s="19">
        <v>4</v>
      </c>
      <c r="J1181" s="21">
        <v>69507</v>
      </c>
      <c r="K1181" s="21">
        <v>278028</v>
      </c>
      <c r="L1181" s="21">
        <v>41704.199999999997</v>
      </c>
      <c r="M1181" s="15">
        <v>0.15</v>
      </c>
      <c r="N1181" s="21">
        <f t="shared" si="36"/>
        <v>236323.8</v>
      </c>
      <c r="O1181" s="21">
        <v>185685.73</v>
      </c>
      <c r="P1181" s="21">
        <f t="shared" si="37"/>
        <v>50638.069999999978</v>
      </c>
      <c r="Q1181" s="19" t="s">
        <v>416</v>
      </c>
      <c r="R1181" s="19">
        <v>2026</v>
      </c>
      <c r="S1181" s="19">
        <v>12</v>
      </c>
    </row>
    <row r="1182" spans="1:19" x14ac:dyDescent="0.3">
      <c r="A1182" t="s">
        <v>1240</v>
      </c>
      <c r="B1182" s="2">
        <v>46368</v>
      </c>
      <c r="C1182" t="s">
        <v>28</v>
      </c>
      <c r="D1182" t="s">
        <v>29</v>
      </c>
      <c r="E1182" t="s">
        <v>44</v>
      </c>
      <c r="F1182" t="s">
        <v>40</v>
      </c>
      <c r="G1182" t="s">
        <v>31</v>
      </c>
      <c r="H1182" t="s">
        <v>415</v>
      </c>
      <c r="I1182">
        <v>1</v>
      </c>
      <c r="J1182" s="5">
        <v>64750</v>
      </c>
      <c r="K1182" s="5">
        <v>64750</v>
      </c>
      <c r="L1182" s="5">
        <v>9712.5</v>
      </c>
      <c r="M1182" s="12">
        <v>0.15</v>
      </c>
      <c r="N1182" s="5">
        <f t="shared" si="36"/>
        <v>55037.5</v>
      </c>
      <c r="O1182" s="5">
        <v>36188.47</v>
      </c>
      <c r="P1182" s="5">
        <f t="shared" si="37"/>
        <v>18849.03</v>
      </c>
      <c r="Q1182" t="s">
        <v>416</v>
      </c>
      <c r="R1182">
        <v>2026</v>
      </c>
      <c r="S1182">
        <v>12</v>
      </c>
    </row>
    <row r="1183" spans="1:19" x14ac:dyDescent="0.3">
      <c r="A1183" s="19" t="s">
        <v>1241</v>
      </c>
      <c r="B1183" s="20">
        <v>46368</v>
      </c>
      <c r="C1183" s="19" t="s">
        <v>75</v>
      </c>
      <c r="D1183" s="19" t="s">
        <v>34</v>
      </c>
      <c r="E1183" s="19" t="s">
        <v>56</v>
      </c>
      <c r="F1183" s="19" t="s">
        <v>40</v>
      </c>
      <c r="G1183" s="19" t="s">
        <v>24</v>
      </c>
      <c r="H1183" s="19" t="s">
        <v>415</v>
      </c>
      <c r="I1183" s="19">
        <v>1</v>
      </c>
      <c r="J1183" s="21">
        <v>35271</v>
      </c>
      <c r="K1183" s="21">
        <v>35271</v>
      </c>
      <c r="L1183" s="21">
        <v>5290.65</v>
      </c>
      <c r="M1183" s="15">
        <v>0.15</v>
      </c>
      <c r="N1183" s="21">
        <f t="shared" si="36"/>
        <v>29980.35</v>
      </c>
      <c r="O1183" s="21">
        <v>20048.79</v>
      </c>
      <c r="P1183" s="21">
        <f t="shared" si="37"/>
        <v>9931.5599999999977</v>
      </c>
      <c r="Q1183" s="19" t="s">
        <v>416</v>
      </c>
      <c r="R1183" s="19">
        <v>2026</v>
      </c>
      <c r="S1183" s="19">
        <v>12</v>
      </c>
    </row>
    <row r="1184" spans="1:19" x14ac:dyDescent="0.3">
      <c r="A1184" t="s">
        <v>1242</v>
      </c>
      <c r="B1184" s="2">
        <v>46368</v>
      </c>
      <c r="C1184" t="s">
        <v>46</v>
      </c>
      <c r="D1184" t="s">
        <v>21</v>
      </c>
      <c r="E1184" t="s">
        <v>44</v>
      </c>
      <c r="F1184" t="s">
        <v>40</v>
      </c>
      <c r="G1184" t="s">
        <v>31</v>
      </c>
      <c r="H1184" t="s">
        <v>25</v>
      </c>
      <c r="I1184">
        <v>2</v>
      </c>
      <c r="J1184" s="5">
        <v>11194</v>
      </c>
      <c r="K1184" s="5">
        <v>22388</v>
      </c>
      <c r="L1184" s="5">
        <v>0</v>
      </c>
      <c r="M1184" s="12">
        <v>0</v>
      </c>
      <c r="N1184" s="5">
        <f t="shared" si="36"/>
        <v>22388</v>
      </c>
      <c r="O1184" s="5">
        <v>12639.18</v>
      </c>
      <c r="P1184" s="5">
        <f t="shared" si="37"/>
        <v>9748.82</v>
      </c>
      <c r="Q1184" t="s">
        <v>416</v>
      </c>
      <c r="R1184">
        <v>2026</v>
      </c>
      <c r="S1184">
        <v>12</v>
      </c>
    </row>
    <row r="1185" spans="1:19" x14ac:dyDescent="0.3">
      <c r="A1185" s="19" t="s">
        <v>1243</v>
      </c>
      <c r="B1185" s="20">
        <v>46368</v>
      </c>
      <c r="C1185" s="19" t="s">
        <v>48</v>
      </c>
      <c r="D1185" s="19" t="s">
        <v>34</v>
      </c>
      <c r="E1185" s="19" t="s">
        <v>42</v>
      </c>
      <c r="F1185" s="19" t="s">
        <v>37</v>
      </c>
      <c r="G1185" s="19" t="s">
        <v>24</v>
      </c>
      <c r="H1185" s="19" t="s">
        <v>415</v>
      </c>
      <c r="I1185" s="19">
        <v>3</v>
      </c>
      <c r="J1185" s="21">
        <v>24224</v>
      </c>
      <c r="K1185" s="21">
        <v>72672</v>
      </c>
      <c r="L1185" s="21">
        <v>3633.6</v>
      </c>
      <c r="M1185" s="15">
        <v>0.05</v>
      </c>
      <c r="N1185" s="21">
        <f t="shared" si="36"/>
        <v>69038.399999999994</v>
      </c>
      <c r="O1185" s="21">
        <v>44069.61</v>
      </c>
      <c r="P1185" s="21">
        <f t="shared" si="37"/>
        <v>24968.789999999994</v>
      </c>
      <c r="Q1185" s="19" t="s">
        <v>416</v>
      </c>
      <c r="R1185" s="19">
        <v>2026</v>
      </c>
      <c r="S1185" s="19">
        <v>12</v>
      </c>
    </row>
    <row r="1186" spans="1:19" x14ac:dyDescent="0.3">
      <c r="A1186" t="s">
        <v>1244</v>
      </c>
      <c r="B1186" s="2">
        <v>46369</v>
      </c>
      <c r="C1186" t="s">
        <v>33</v>
      </c>
      <c r="D1186" t="s">
        <v>34</v>
      </c>
      <c r="E1186" t="s">
        <v>44</v>
      </c>
      <c r="F1186" t="s">
        <v>37</v>
      </c>
      <c r="G1186" t="s">
        <v>31</v>
      </c>
      <c r="H1186" t="s">
        <v>25</v>
      </c>
      <c r="I1186">
        <v>3</v>
      </c>
      <c r="J1186" s="5">
        <v>42439</v>
      </c>
      <c r="K1186" s="5">
        <v>127317</v>
      </c>
      <c r="L1186" s="5">
        <v>0</v>
      </c>
      <c r="M1186" s="12">
        <v>0</v>
      </c>
      <c r="N1186" s="5">
        <f t="shared" si="36"/>
        <v>127317</v>
      </c>
      <c r="O1186" s="5">
        <v>81411.86</v>
      </c>
      <c r="P1186" s="5">
        <f t="shared" si="37"/>
        <v>45905.14</v>
      </c>
      <c r="Q1186" t="s">
        <v>416</v>
      </c>
      <c r="R1186">
        <v>2026</v>
      </c>
      <c r="S1186">
        <v>12</v>
      </c>
    </row>
    <row r="1187" spans="1:19" x14ac:dyDescent="0.3">
      <c r="A1187" s="19" t="s">
        <v>1245</v>
      </c>
      <c r="B1187" s="20">
        <v>46369</v>
      </c>
      <c r="C1187" s="19" t="s">
        <v>71</v>
      </c>
      <c r="D1187" s="19" t="s">
        <v>34</v>
      </c>
      <c r="E1187" s="19" t="s">
        <v>44</v>
      </c>
      <c r="F1187" s="19" t="s">
        <v>30</v>
      </c>
      <c r="G1187" s="19" t="s">
        <v>31</v>
      </c>
      <c r="H1187" s="19" t="s">
        <v>415</v>
      </c>
      <c r="I1187" s="19">
        <v>1</v>
      </c>
      <c r="J1187" s="21">
        <v>52641</v>
      </c>
      <c r="K1187" s="21">
        <v>52641</v>
      </c>
      <c r="L1187" s="21">
        <v>5264.1</v>
      </c>
      <c r="M1187" s="15">
        <v>0.1</v>
      </c>
      <c r="N1187" s="21">
        <f t="shared" si="36"/>
        <v>47376.9</v>
      </c>
      <c r="O1187" s="21">
        <v>31945.22</v>
      </c>
      <c r="P1187" s="21">
        <f t="shared" si="37"/>
        <v>15431.68</v>
      </c>
      <c r="Q1187" s="19" t="s">
        <v>416</v>
      </c>
      <c r="R1187" s="19">
        <v>2026</v>
      </c>
      <c r="S1187" s="19">
        <v>12</v>
      </c>
    </row>
    <row r="1188" spans="1:19" x14ac:dyDescent="0.3">
      <c r="A1188" t="s">
        <v>1246</v>
      </c>
      <c r="B1188" s="2">
        <v>46369</v>
      </c>
      <c r="C1188" t="s">
        <v>20</v>
      </c>
      <c r="D1188" t="s">
        <v>21</v>
      </c>
      <c r="E1188" t="s">
        <v>44</v>
      </c>
      <c r="F1188" t="s">
        <v>37</v>
      </c>
      <c r="G1188" t="s">
        <v>24</v>
      </c>
      <c r="H1188" t="s">
        <v>25</v>
      </c>
      <c r="I1188">
        <v>1</v>
      </c>
      <c r="J1188" s="5">
        <v>15883</v>
      </c>
      <c r="K1188" s="5">
        <v>15883</v>
      </c>
      <c r="L1188" s="5">
        <v>2382.4499999999998</v>
      </c>
      <c r="M1188" s="12">
        <v>0.15</v>
      </c>
      <c r="N1188" s="5">
        <f t="shared" si="36"/>
        <v>13500.55</v>
      </c>
      <c r="O1188" s="5">
        <v>7818.7</v>
      </c>
      <c r="P1188" s="5">
        <f t="shared" si="37"/>
        <v>5681.8499999999995</v>
      </c>
      <c r="Q1188" t="s">
        <v>416</v>
      </c>
      <c r="R1188">
        <v>2026</v>
      </c>
      <c r="S1188">
        <v>12</v>
      </c>
    </row>
    <row r="1189" spans="1:19" x14ac:dyDescent="0.3">
      <c r="A1189" s="19" t="s">
        <v>1247</v>
      </c>
      <c r="B1189" s="20">
        <v>46371</v>
      </c>
      <c r="C1189" s="19" t="s">
        <v>71</v>
      </c>
      <c r="D1189" s="19" t="s">
        <v>34</v>
      </c>
      <c r="E1189" s="19" t="s">
        <v>44</v>
      </c>
      <c r="F1189" s="19" t="s">
        <v>30</v>
      </c>
      <c r="G1189" s="19" t="s">
        <v>24</v>
      </c>
      <c r="H1189" s="19" t="s">
        <v>415</v>
      </c>
      <c r="I1189" s="19">
        <v>4</v>
      </c>
      <c r="J1189" s="21">
        <v>46074</v>
      </c>
      <c r="K1189" s="21">
        <v>184296</v>
      </c>
      <c r="L1189" s="21">
        <v>18429.599999999999</v>
      </c>
      <c r="M1189" s="15">
        <v>0.1</v>
      </c>
      <c r="N1189" s="21">
        <f t="shared" si="36"/>
        <v>165866.4</v>
      </c>
      <c r="O1189" s="21">
        <v>90160.15</v>
      </c>
      <c r="P1189" s="21">
        <f t="shared" si="37"/>
        <v>75706.25</v>
      </c>
      <c r="Q1189" s="19" t="s">
        <v>416</v>
      </c>
      <c r="R1189" s="19">
        <v>2026</v>
      </c>
      <c r="S1189" s="19">
        <v>12</v>
      </c>
    </row>
    <row r="1190" spans="1:19" x14ac:dyDescent="0.3">
      <c r="A1190" t="s">
        <v>1248</v>
      </c>
      <c r="B1190" s="2">
        <v>46373</v>
      </c>
      <c r="C1190" t="s">
        <v>71</v>
      </c>
      <c r="D1190" t="s">
        <v>34</v>
      </c>
      <c r="E1190" t="s">
        <v>42</v>
      </c>
      <c r="F1190" t="s">
        <v>37</v>
      </c>
      <c r="G1190" t="s">
        <v>24</v>
      </c>
      <c r="H1190" t="s">
        <v>415</v>
      </c>
      <c r="I1190">
        <v>1</v>
      </c>
      <c r="J1190" s="5">
        <v>49908</v>
      </c>
      <c r="K1190" s="5">
        <v>49908</v>
      </c>
      <c r="L1190" s="5">
        <v>4990.8</v>
      </c>
      <c r="M1190" s="12">
        <v>0.1</v>
      </c>
      <c r="N1190" s="5">
        <f t="shared" si="36"/>
        <v>44917.2</v>
      </c>
      <c r="O1190" s="5">
        <v>30612.92</v>
      </c>
      <c r="P1190" s="5">
        <f t="shared" si="37"/>
        <v>14304.279999999999</v>
      </c>
      <c r="Q1190" t="s">
        <v>416</v>
      </c>
      <c r="R1190">
        <v>2026</v>
      </c>
      <c r="S1190">
        <v>12</v>
      </c>
    </row>
    <row r="1191" spans="1:19" x14ac:dyDescent="0.3">
      <c r="A1191" s="19" t="s">
        <v>1249</v>
      </c>
      <c r="B1191" s="20">
        <v>46373</v>
      </c>
      <c r="C1191" s="19" t="s">
        <v>82</v>
      </c>
      <c r="D1191" s="19" t="s">
        <v>21</v>
      </c>
      <c r="E1191" s="19" t="s">
        <v>44</v>
      </c>
      <c r="F1191" s="19" t="s">
        <v>30</v>
      </c>
      <c r="G1191" s="19" t="s">
        <v>24</v>
      </c>
      <c r="H1191" s="19" t="s">
        <v>25</v>
      </c>
      <c r="I1191" s="19">
        <v>2</v>
      </c>
      <c r="J1191" s="21">
        <v>44165</v>
      </c>
      <c r="K1191" s="21">
        <v>88330</v>
      </c>
      <c r="L1191" s="21">
        <v>0</v>
      </c>
      <c r="M1191" s="15">
        <v>0</v>
      </c>
      <c r="N1191" s="21">
        <f t="shared" si="36"/>
        <v>88330</v>
      </c>
      <c r="O1191" s="21">
        <v>59867.17</v>
      </c>
      <c r="P1191" s="21">
        <f t="shared" si="37"/>
        <v>28462.83</v>
      </c>
      <c r="Q1191" s="19" t="s">
        <v>416</v>
      </c>
      <c r="R1191" s="19">
        <v>2026</v>
      </c>
      <c r="S1191" s="19">
        <v>12</v>
      </c>
    </row>
    <row r="1192" spans="1:19" x14ac:dyDescent="0.3">
      <c r="A1192" t="s">
        <v>1250</v>
      </c>
      <c r="B1192" s="2">
        <v>46373</v>
      </c>
      <c r="C1192" t="s">
        <v>71</v>
      </c>
      <c r="D1192" t="s">
        <v>34</v>
      </c>
      <c r="E1192" t="s">
        <v>56</v>
      </c>
      <c r="F1192" t="s">
        <v>40</v>
      </c>
      <c r="G1192" t="s">
        <v>24</v>
      </c>
      <c r="H1192" t="s">
        <v>415</v>
      </c>
      <c r="I1192">
        <v>3</v>
      </c>
      <c r="J1192" s="5">
        <v>49793</v>
      </c>
      <c r="K1192" s="5">
        <v>149379</v>
      </c>
      <c r="L1192" s="5">
        <v>29875.8</v>
      </c>
      <c r="M1192" s="12">
        <v>0.2</v>
      </c>
      <c r="N1192" s="5">
        <f t="shared" si="36"/>
        <v>119503.2</v>
      </c>
      <c r="O1192" s="5">
        <v>73138.720000000001</v>
      </c>
      <c r="P1192" s="5">
        <f t="shared" si="37"/>
        <v>46364.479999999996</v>
      </c>
      <c r="Q1192" t="s">
        <v>416</v>
      </c>
      <c r="R1192">
        <v>2026</v>
      </c>
      <c r="S1192">
        <v>12</v>
      </c>
    </row>
    <row r="1193" spans="1:19" x14ac:dyDescent="0.3">
      <c r="A1193" s="19" t="s">
        <v>1251</v>
      </c>
      <c r="B1193" s="20">
        <v>46374</v>
      </c>
      <c r="C1193" s="19" t="s">
        <v>33</v>
      </c>
      <c r="D1193" s="19" t="s">
        <v>34</v>
      </c>
      <c r="E1193" s="19" t="s">
        <v>42</v>
      </c>
      <c r="F1193" s="19" t="s">
        <v>37</v>
      </c>
      <c r="G1193" s="19" t="s">
        <v>31</v>
      </c>
      <c r="H1193" s="19" t="s">
        <v>415</v>
      </c>
      <c r="I1193" s="19">
        <v>1</v>
      </c>
      <c r="J1193" s="21">
        <v>39810</v>
      </c>
      <c r="K1193" s="21">
        <v>39810</v>
      </c>
      <c r="L1193" s="21">
        <v>5971.5</v>
      </c>
      <c r="M1193" s="15">
        <v>0.15</v>
      </c>
      <c r="N1193" s="21">
        <f t="shared" si="36"/>
        <v>33838.5</v>
      </c>
      <c r="O1193" s="21">
        <v>22420.25</v>
      </c>
      <c r="P1193" s="21">
        <f t="shared" si="37"/>
        <v>11418.25</v>
      </c>
      <c r="Q1193" s="19" t="s">
        <v>416</v>
      </c>
      <c r="R1193" s="19">
        <v>2026</v>
      </c>
      <c r="S1193" s="19">
        <v>12</v>
      </c>
    </row>
    <row r="1194" spans="1:19" x14ac:dyDescent="0.3">
      <c r="A1194" t="s">
        <v>1252</v>
      </c>
      <c r="B1194" s="2">
        <v>46377</v>
      </c>
      <c r="C1194" t="s">
        <v>46</v>
      </c>
      <c r="D1194" t="s">
        <v>21</v>
      </c>
      <c r="E1194" t="s">
        <v>42</v>
      </c>
      <c r="F1194" t="s">
        <v>40</v>
      </c>
      <c r="G1194" t="s">
        <v>31</v>
      </c>
      <c r="H1194" t="s">
        <v>25</v>
      </c>
      <c r="I1194">
        <v>4</v>
      </c>
      <c r="J1194" s="5">
        <v>12394</v>
      </c>
      <c r="K1194" s="5">
        <v>49576</v>
      </c>
      <c r="L1194" s="5">
        <v>0</v>
      </c>
      <c r="M1194" s="12">
        <v>0</v>
      </c>
      <c r="N1194" s="5">
        <f t="shared" si="36"/>
        <v>49576</v>
      </c>
      <c r="O1194" s="5">
        <v>31793.71</v>
      </c>
      <c r="P1194" s="5">
        <f t="shared" si="37"/>
        <v>17782.29</v>
      </c>
      <c r="Q1194" t="s">
        <v>416</v>
      </c>
      <c r="R1194">
        <v>2026</v>
      </c>
      <c r="S1194">
        <v>12</v>
      </c>
    </row>
    <row r="1195" spans="1:19" x14ac:dyDescent="0.3">
      <c r="A1195" s="19" t="s">
        <v>1253</v>
      </c>
      <c r="B1195" s="20">
        <v>46378</v>
      </c>
      <c r="C1195" s="19" t="s">
        <v>33</v>
      </c>
      <c r="D1195" s="19" t="s">
        <v>34</v>
      </c>
      <c r="E1195" s="19" t="s">
        <v>42</v>
      </c>
      <c r="F1195" s="19" t="s">
        <v>40</v>
      </c>
      <c r="G1195" s="19" t="s">
        <v>31</v>
      </c>
      <c r="H1195" s="19" t="s">
        <v>25</v>
      </c>
      <c r="I1195" s="19">
        <v>3</v>
      </c>
      <c r="J1195" s="21">
        <v>39351</v>
      </c>
      <c r="K1195" s="21">
        <v>118053</v>
      </c>
      <c r="L1195" s="21">
        <v>0</v>
      </c>
      <c r="M1195" s="15">
        <v>0</v>
      </c>
      <c r="N1195" s="21">
        <f t="shared" si="36"/>
        <v>118053</v>
      </c>
      <c r="O1195" s="21">
        <v>58879.1</v>
      </c>
      <c r="P1195" s="21">
        <f t="shared" si="37"/>
        <v>59173.9</v>
      </c>
      <c r="Q1195" s="19" t="s">
        <v>416</v>
      </c>
      <c r="R1195" s="19">
        <v>2026</v>
      </c>
      <c r="S1195" s="19">
        <v>12</v>
      </c>
    </row>
    <row r="1196" spans="1:19" x14ac:dyDescent="0.3">
      <c r="A1196" t="s">
        <v>1254</v>
      </c>
      <c r="B1196" s="2">
        <v>46378</v>
      </c>
      <c r="C1196" t="s">
        <v>46</v>
      </c>
      <c r="D1196" t="s">
        <v>21</v>
      </c>
      <c r="E1196" t="s">
        <v>22</v>
      </c>
      <c r="F1196" t="s">
        <v>37</v>
      </c>
      <c r="G1196" t="s">
        <v>31</v>
      </c>
      <c r="H1196" t="s">
        <v>415</v>
      </c>
      <c r="I1196">
        <v>4</v>
      </c>
      <c r="J1196" s="5">
        <v>11780</v>
      </c>
      <c r="K1196" s="5">
        <v>47120</v>
      </c>
      <c r="L1196" s="5">
        <v>2356</v>
      </c>
      <c r="M1196" s="12">
        <v>0.05</v>
      </c>
      <c r="N1196" s="5">
        <f t="shared" si="36"/>
        <v>44764</v>
      </c>
      <c r="O1196" s="5">
        <v>29170.62</v>
      </c>
      <c r="P1196" s="5">
        <f t="shared" si="37"/>
        <v>15593.380000000001</v>
      </c>
      <c r="Q1196" t="s">
        <v>416</v>
      </c>
      <c r="R1196">
        <v>2026</v>
      </c>
      <c r="S1196">
        <v>12</v>
      </c>
    </row>
    <row r="1197" spans="1:19" x14ac:dyDescent="0.3">
      <c r="A1197" s="19" t="s">
        <v>1255</v>
      </c>
      <c r="B1197" s="20">
        <v>46380</v>
      </c>
      <c r="C1197" s="19" t="s">
        <v>71</v>
      </c>
      <c r="D1197" s="19" t="s">
        <v>34</v>
      </c>
      <c r="E1197" s="19" t="s">
        <v>22</v>
      </c>
      <c r="F1197" s="19" t="s">
        <v>37</v>
      </c>
      <c r="G1197" s="19" t="s">
        <v>24</v>
      </c>
      <c r="H1197" s="19" t="s">
        <v>25</v>
      </c>
      <c r="I1197" s="19">
        <v>1</v>
      </c>
      <c r="J1197" s="21">
        <v>46761</v>
      </c>
      <c r="K1197" s="21">
        <v>46761</v>
      </c>
      <c r="L1197" s="21">
        <v>0</v>
      </c>
      <c r="M1197" s="15">
        <v>0</v>
      </c>
      <c r="N1197" s="21">
        <f t="shared" si="36"/>
        <v>46761</v>
      </c>
      <c r="O1197" s="21">
        <v>26220.07</v>
      </c>
      <c r="P1197" s="21">
        <f t="shared" si="37"/>
        <v>20540.93</v>
      </c>
      <c r="Q1197" s="19" t="s">
        <v>416</v>
      </c>
      <c r="R1197" s="19">
        <v>2026</v>
      </c>
      <c r="S1197" s="19">
        <v>12</v>
      </c>
    </row>
    <row r="1198" spans="1:19" x14ac:dyDescent="0.3">
      <c r="A1198" t="s">
        <v>1256</v>
      </c>
      <c r="B1198" s="2">
        <v>46384</v>
      </c>
      <c r="C1198" t="s">
        <v>75</v>
      </c>
      <c r="D1198" t="s">
        <v>34</v>
      </c>
      <c r="E1198" t="s">
        <v>56</v>
      </c>
      <c r="F1198" t="s">
        <v>23</v>
      </c>
      <c r="G1198" t="s">
        <v>31</v>
      </c>
      <c r="H1198" t="s">
        <v>25</v>
      </c>
      <c r="I1198">
        <v>2</v>
      </c>
      <c r="J1198" s="5">
        <v>38599</v>
      </c>
      <c r="K1198" s="5">
        <v>77198</v>
      </c>
      <c r="L1198" s="5">
        <v>0</v>
      </c>
      <c r="M1198" s="12">
        <v>0</v>
      </c>
      <c r="N1198" s="5">
        <f t="shared" si="36"/>
        <v>77198</v>
      </c>
      <c r="O1198" s="5">
        <v>51845.34</v>
      </c>
      <c r="P1198" s="5">
        <f t="shared" si="37"/>
        <v>25352.660000000003</v>
      </c>
      <c r="Q1198" t="s">
        <v>416</v>
      </c>
      <c r="R1198">
        <v>2026</v>
      </c>
      <c r="S1198">
        <v>12</v>
      </c>
    </row>
    <row r="1199" spans="1:19" x14ac:dyDescent="0.3">
      <c r="A1199" s="19" t="s">
        <v>1257</v>
      </c>
      <c r="B1199" s="20">
        <v>46384</v>
      </c>
      <c r="C1199" s="19" t="s">
        <v>75</v>
      </c>
      <c r="D1199" s="19" t="s">
        <v>34</v>
      </c>
      <c r="E1199" s="19" t="s">
        <v>22</v>
      </c>
      <c r="F1199" s="19" t="s">
        <v>37</v>
      </c>
      <c r="G1199" s="19" t="s">
        <v>31</v>
      </c>
      <c r="H1199" s="19" t="s">
        <v>415</v>
      </c>
      <c r="I1199" s="19">
        <v>1</v>
      </c>
      <c r="J1199" s="21">
        <v>37808</v>
      </c>
      <c r="K1199" s="21">
        <v>37808</v>
      </c>
      <c r="L1199" s="21">
        <v>3780.8</v>
      </c>
      <c r="M1199" s="15">
        <v>0.1</v>
      </c>
      <c r="N1199" s="21">
        <f t="shared" si="36"/>
        <v>34027.199999999997</v>
      </c>
      <c r="O1199" s="21">
        <v>25593.4</v>
      </c>
      <c r="P1199" s="21">
        <f t="shared" si="37"/>
        <v>8433.7999999999956</v>
      </c>
      <c r="Q1199" s="19" t="s">
        <v>416</v>
      </c>
      <c r="R1199" s="19">
        <v>2026</v>
      </c>
      <c r="S1199" s="19">
        <v>12</v>
      </c>
    </row>
    <row r="1200" spans="1:19" x14ac:dyDescent="0.3">
      <c r="A1200" t="s">
        <v>1258</v>
      </c>
      <c r="B1200" s="2">
        <v>46385</v>
      </c>
      <c r="C1200" t="s">
        <v>33</v>
      </c>
      <c r="D1200" t="s">
        <v>34</v>
      </c>
      <c r="E1200" t="s">
        <v>42</v>
      </c>
      <c r="F1200" t="s">
        <v>23</v>
      </c>
      <c r="G1200" t="s">
        <v>31</v>
      </c>
      <c r="H1200" t="s">
        <v>25</v>
      </c>
      <c r="I1200">
        <v>2</v>
      </c>
      <c r="J1200" s="5">
        <v>39538</v>
      </c>
      <c r="K1200" s="5">
        <v>79076</v>
      </c>
      <c r="L1200" s="5">
        <v>0</v>
      </c>
      <c r="M1200" s="12">
        <v>0</v>
      </c>
      <c r="N1200" s="5">
        <f t="shared" si="36"/>
        <v>79076</v>
      </c>
      <c r="O1200" s="5">
        <v>39105.699999999997</v>
      </c>
      <c r="P1200" s="5">
        <f t="shared" si="37"/>
        <v>39970.300000000003</v>
      </c>
      <c r="Q1200" t="s">
        <v>416</v>
      </c>
      <c r="R1200">
        <v>2026</v>
      </c>
      <c r="S1200">
        <v>12</v>
      </c>
    </row>
    <row r="1201" spans="1:19" x14ac:dyDescent="0.3">
      <c r="A1201" s="19" t="s">
        <v>1259</v>
      </c>
      <c r="B1201" s="20">
        <v>46387</v>
      </c>
      <c r="C1201" s="19" t="s">
        <v>82</v>
      </c>
      <c r="D1201" s="19" t="s">
        <v>21</v>
      </c>
      <c r="E1201" s="19" t="s">
        <v>44</v>
      </c>
      <c r="F1201" s="19" t="s">
        <v>40</v>
      </c>
      <c r="G1201" s="19" t="s">
        <v>24</v>
      </c>
      <c r="H1201" s="19" t="s">
        <v>415</v>
      </c>
      <c r="I1201" s="19">
        <v>1</v>
      </c>
      <c r="J1201" s="21">
        <v>43309</v>
      </c>
      <c r="K1201" s="21">
        <v>43309</v>
      </c>
      <c r="L1201" s="21">
        <v>4330.8999999999996</v>
      </c>
      <c r="M1201" s="15">
        <v>0.1</v>
      </c>
      <c r="N1201" s="21">
        <f t="shared" si="36"/>
        <v>38978.1</v>
      </c>
      <c r="O1201" s="21">
        <v>29006.55</v>
      </c>
      <c r="P1201" s="21">
        <f t="shared" si="37"/>
        <v>9971.5499999999993</v>
      </c>
      <c r="Q1201" s="19" t="s">
        <v>416</v>
      </c>
      <c r="R1201" s="19">
        <v>2026</v>
      </c>
      <c r="S1201" s="19">
        <v>12</v>
      </c>
    </row>
    <row r="1202" spans="1:19" x14ac:dyDescent="0.3">
      <c r="A1202" t="s">
        <v>1260</v>
      </c>
      <c r="B1202" s="2">
        <v>46387</v>
      </c>
      <c r="C1202" t="s">
        <v>50</v>
      </c>
      <c r="D1202" t="s">
        <v>34</v>
      </c>
      <c r="E1202" t="s">
        <v>44</v>
      </c>
      <c r="F1202" t="s">
        <v>23</v>
      </c>
      <c r="G1202" t="s">
        <v>24</v>
      </c>
      <c r="H1202" t="s">
        <v>25</v>
      </c>
      <c r="I1202">
        <v>4</v>
      </c>
      <c r="J1202" s="5">
        <v>18970</v>
      </c>
      <c r="K1202" s="5">
        <v>75880</v>
      </c>
      <c r="L1202" s="5">
        <v>0</v>
      </c>
      <c r="M1202" s="22">
        <v>0</v>
      </c>
      <c r="N1202" s="5">
        <f t="shared" si="36"/>
        <v>75880</v>
      </c>
      <c r="O1202" s="5">
        <v>46744.22</v>
      </c>
      <c r="P1202" s="5">
        <f t="shared" si="37"/>
        <v>29135.78</v>
      </c>
      <c r="Q1202" t="s">
        <v>416</v>
      </c>
      <c r="R1202">
        <v>2026</v>
      </c>
      <c r="S1202">
        <v>12</v>
      </c>
    </row>
  </sheetData>
  <mergeCells count="1">
    <mergeCell ref="A1:S1"/>
  </mergeCells>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BC4B-A760-4571-AD70-1D7C70CE2653}">
  <dimension ref="A3:B9"/>
  <sheetViews>
    <sheetView workbookViewId="0">
      <selection activeCell="C24" sqref="C24"/>
    </sheetView>
  </sheetViews>
  <sheetFormatPr defaultRowHeight="14.4" x14ac:dyDescent="0.3"/>
  <cols>
    <col min="1" max="1" width="12.5546875" bestFit="1" customWidth="1"/>
    <col min="2" max="2" width="20.77734375" bestFit="1" customWidth="1"/>
    <col min="3" max="3" width="21.88671875" bestFit="1" customWidth="1"/>
  </cols>
  <sheetData>
    <row r="3" spans="1:2" x14ac:dyDescent="0.3">
      <c r="A3" s="6" t="s">
        <v>1261</v>
      </c>
      <c r="B3" t="s">
        <v>1263</v>
      </c>
    </row>
    <row r="4" spans="1:2" x14ac:dyDescent="0.3">
      <c r="A4" s="7" t="s">
        <v>40</v>
      </c>
      <c r="B4" s="24">
        <v>27453307.099999998</v>
      </c>
    </row>
    <row r="5" spans="1:2" x14ac:dyDescent="0.3">
      <c r="A5" s="7" t="s">
        <v>37</v>
      </c>
      <c r="B5" s="24">
        <v>17299371.199999996</v>
      </c>
    </row>
    <row r="6" spans="1:2" x14ac:dyDescent="0.3">
      <c r="A6" s="7" t="s">
        <v>23</v>
      </c>
      <c r="B6" s="24">
        <v>13395048.550000001</v>
      </c>
    </row>
    <row r="7" spans="1:2" x14ac:dyDescent="0.3">
      <c r="A7" s="7" t="s">
        <v>35</v>
      </c>
      <c r="B7" s="24">
        <v>12692897.949999997</v>
      </c>
    </row>
    <row r="8" spans="1:2" x14ac:dyDescent="0.3">
      <c r="A8" s="7" t="s">
        <v>30</v>
      </c>
      <c r="B8" s="24">
        <v>9549138.9499999993</v>
      </c>
    </row>
    <row r="9" spans="1:2" x14ac:dyDescent="0.3">
      <c r="A9" s="7" t="s">
        <v>1262</v>
      </c>
      <c r="B9" s="24">
        <v>80389763.75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4FB34-4701-419F-9B00-172FCED64029}">
  <dimension ref="B3:C19"/>
  <sheetViews>
    <sheetView workbookViewId="0">
      <selection activeCell="F24" sqref="F24"/>
    </sheetView>
  </sheetViews>
  <sheetFormatPr defaultRowHeight="14.4" x14ac:dyDescent="0.3"/>
  <cols>
    <col min="2" max="2" width="12.5546875" bestFit="1" customWidth="1"/>
    <col min="3" max="3" width="20.77734375" bestFit="1" customWidth="1"/>
    <col min="4" max="4" width="11.109375" bestFit="1" customWidth="1"/>
    <col min="5" max="6" width="15.44140625" bestFit="1" customWidth="1"/>
    <col min="7" max="14" width="14.44140625" bestFit="1" customWidth="1"/>
    <col min="15" max="15" width="15.44140625" bestFit="1" customWidth="1"/>
    <col min="16" max="26" width="14.44140625" bestFit="1" customWidth="1"/>
    <col min="27" max="28" width="15.44140625" bestFit="1" customWidth="1"/>
    <col min="29" max="40" width="14.44140625" bestFit="1" customWidth="1"/>
    <col min="41" max="42" width="15.44140625" bestFit="1" customWidth="1"/>
  </cols>
  <sheetData>
    <row r="3" spans="2:3" x14ac:dyDescent="0.3">
      <c r="B3" s="6" t="s">
        <v>1261</v>
      </c>
      <c r="C3" t="s">
        <v>1263</v>
      </c>
    </row>
    <row r="4" spans="2:3" x14ac:dyDescent="0.3">
      <c r="B4" s="7">
        <v>2024</v>
      </c>
      <c r="C4" s="5">
        <v>24197675.400000002</v>
      </c>
    </row>
    <row r="5" spans="2:3" x14ac:dyDescent="0.3">
      <c r="B5" s="11" t="s">
        <v>1264</v>
      </c>
      <c r="C5" s="5">
        <v>6437693.6000000006</v>
      </c>
    </row>
    <row r="6" spans="2:3" x14ac:dyDescent="0.3">
      <c r="B6" s="11" t="s">
        <v>1265</v>
      </c>
      <c r="C6" s="5">
        <v>6890083.3499999987</v>
      </c>
    </row>
    <row r="7" spans="2:3" x14ac:dyDescent="0.3">
      <c r="B7" s="11" t="s">
        <v>1266</v>
      </c>
      <c r="C7" s="5">
        <v>5694962.1500000004</v>
      </c>
    </row>
    <row r="8" spans="2:3" x14ac:dyDescent="0.3">
      <c r="B8" s="11" t="s">
        <v>1267</v>
      </c>
      <c r="C8" s="5">
        <v>5174936.3</v>
      </c>
    </row>
    <row r="9" spans="2:3" x14ac:dyDescent="0.3">
      <c r="B9" s="7">
        <v>2025</v>
      </c>
      <c r="C9" s="5">
        <v>25624043</v>
      </c>
    </row>
    <row r="10" spans="2:3" x14ac:dyDescent="0.3">
      <c r="B10" s="11" t="s">
        <v>1264</v>
      </c>
      <c r="C10" s="5">
        <v>5294506.6999999983</v>
      </c>
    </row>
    <row r="11" spans="2:3" x14ac:dyDescent="0.3">
      <c r="B11" s="11" t="s">
        <v>1265</v>
      </c>
      <c r="C11" s="5">
        <v>6546027.5499999998</v>
      </c>
    </row>
    <row r="12" spans="2:3" x14ac:dyDescent="0.3">
      <c r="B12" s="11" t="s">
        <v>1266</v>
      </c>
      <c r="C12" s="5">
        <v>6703735.1500000004</v>
      </c>
    </row>
    <row r="13" spans="2:3" x14ac:dyDescent="0.3">
      <c r="B13" s="11" t="s">
        <v>1267</v>
      </c>
      <c r="C13" s="5">
        <v>7079773.5999999996</v>
      </c>
    </row>
    <row r="14" spans="2:3" x14ac:dyDescent="0.3">
      <c r="B14" s="7">
        <v>2026</v>
      </c>
      <c r="C14" s="5">
        <v>30568045.350000001</v>
      </c>
    </row>
    <row r="15" spans="2:3" x14ac:dyDescent="0.3">
      <c r="B15" s="11" t="s">
        <v>1264</v>
      </c>
      <c r="C15" s="5">
        <v>8975073.6999999974</v>
      </c>
    </row>
    <row r="16" spans="2:3" x14ac:dyDescent="0.3">
      <c r="B16" s="11" t="s">
        <v>1265</v>
      </c>
      <c r="C16" s="5">
        <v>7105758.1000000015</v>
      </c>
    </row>
    <row r="17" spans="2:3" x14ac:dyDescent="0.3">
      <c r="B17" s="11" t="s">
        <v>1266</v>
      </c>
      <c r="C17" s="5">
        <v>6870537.4500000011</v>
      </c>
    </row>
    <row r="18" spans="2:3" x14ac:dyDescent="0.3">
      <c r="B18" s="11" t="s">
        <v>1267</v>
      </c>
      <c r="C18" s="5">
        <v>7616676.1000000006</v>
      </c>
    </row>
    <row r="19" spans="2:3" x14ac:dyDescent="0.3">
      <c r="B19" s="7" t="s">
        <v>1262</v>
      </c>
      <c r="C19" s="5">
        <v>80389763.749999985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28EC-AD76-4567-A830-F6418BE91BAE}">
  <dimension ref="B2:C16"/>
  <sheetViews>
    <sheetView workbookViewId="0">
      <selection activeCell="O12" sqref="O12"/>
    </sheetView>
  </sheetViews>
  <sheetFormatPr defaultRowHeight="14.4" x14ac:dyDescent="0.3"/>
  <cols>
    <col min="2" max="2" width="12.77734375" bestFit="1" customWidth="1"/>
    <col min="3" max="3" width="20.77734375" bestFit="1" customWidth="1"/>
  </cols>
  <sheetData>
    <row r="2" spans="2:3" x14ac:dyDescent="0.3">
      <c r="B2" s="6" t="s">
        <v>1261</v>
      </c>
      <c r="C2" t="s">
        <v>1263</v>
      </c>
    </row>
    <row r="3" spans="2:3" x14ac:dyDescent="0.3">
      <c r="B3" s="7" t="s">
        <v>34</v>
      </c>
      <c r="C3" s="24">
        <v>42554933.25</v>
      </c>
    </row>
    <row r="4" spans="2:3" x14ac:dyDescent="0.3">
      <c r="B4" s="11" t="s">
        <v>71</v>
      </c>
      <c r="C4" s="24">
        <v>11398521.25</v>
      </c>
    </row>
    <row r="5" spans="2:3" x14ac:dyDescent="0.3">
      <c r="B5" s="11" t="s">
        <v>33</v>
      </c>
      <c r="C5" s="24">
        <v>11313986.750000002</v>
      </c>
    </row>
    <row r="6" spans="2:3" x14ac:dyDescent="0.3">
      <c r="B6" s="11" t="s">
        <v>75</v>
      </c>
      <c r="C6" s="24">
        <v>9040395.5500000007</v>
      </c>
    </row>
    <row r="7" spans="2:3" x14ac:dyDescent="0.3">
      <c r="B7" s="11" t="s">
        <v>48</v>
      </c>
      <c r="C7" s="24">
        <v>6414190.7999999998</v>
      </c>
    </row>
    <row r="8" spans="2:3" x14ac:dyDescent="0.3">
      <c r="B8" s="11" t="s">
        <v>50</v>
      </c>
      <c r="C8" s="24">
        <v>4387838.9000000004</v>
      </c>
    </row>
    <row r="9" spans="2:3" x14ac:dyDescent="0.3">
      <c r="B9" s="7" t="s">
        <v>29</v>
      </c>
      <c r="C9" s="24">
        <v>20061615.949999996</v>
      </c>
    </row>
    <row r="10" spans="2:3" x14ac:dyDescent="0.3">
      <c r="B10" s="11" t="s">
        <v>28</v>
      </c>
      <c r="C10" s="24">
        <v>12991879.199999997</v>
      </c>
    </row>
    <row r="11" spans="2:3" x14ac:dyDescent="0.3">
      <c r="B11" s="11" t="s">
        <v>64</v>
      </c>
      <c r="C11" s="24">
        <v>7069736.75</v>
      </c>
    </row>
    <row r="12" spans="2:3" x14ac:dyDescent="0.3">
      <c r="B12" s="7" t="s">
        <v>21</v>
      </c>
      <c r="C12" s="24">
        <v>17773214.549999997</v>
      </c>
    </row>
    <row r="13" spans="2:3" x14ac:dyDescent="0.3">
      <c r="B13" s="11" t="s">
        <v>82</v>
      </c>
      <c r="C13" s="24">
        <v>11190071.349999998</v>
      </c>
    </row>
    <row r="14" spans="2:3" x14ac:dyDescent="0.3">
      <c r="B14" s="11" t="s">
        <v>20</v>
      </c>
      <c r="C14" s="24">
        <v>3414742.0499999993</v>
      </c>
    </row>
    <row r="15" spans="2:3" x14ac:dyDescent="0.3">
      <c r="B15" s="11" t="s">
        <v>46</v>
      </c>
      <c r="C15" s="24">
        <v>3168401.1500000008</v>
      </c>
    </row>
    <row r="16" spans="2:3" x14ac:dyDescent="0.3">
      <c r="B16" s="7" t="s">
        <v>1262</v>
      </c>
      <c r="C16" s="24">
        <v>80389763.749999985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D764-B05F-4B10-A6E8-088A1A6D820D}">
  <dimension ref="A3:B10"/>
  <sheetViews>
    <sheetView workbookViewId="0">
      <selection activeCell="F22" sqref="F22"/>
    </sheetView>
  </sheetViews>
  <sheetFormatPr defaultRowHeight="14.4" x14ac:dyDescent="0.3"/>
  <cols>
    <col min="1" max="1" width="15" bestFit="1" customWidth="1"/>
    <col min="2" max="2" width="20.77734375" bestFit="1" customWidth="1"/>
    <col min="3" max="3" width="27" customWidth="1"/>
    <col min="4" max="4" width="21.88671875" bestFit="1" customWidth="1"/>
  </cols>
  <sheetData>
    <row r="3" spans="1:2" x14ac:dyDescent="0.3">
      <c r="A3" s="6" t="s">
        <v>1261</v>
      </c>
      <c r="B3" t="s">
        <v>1263</v>
      </c>
    </row>
    <row r="4" spans="1:2" x14ac:dyDescent="0.3">
      <c r="A4" s="7" t="s">
        <v>25</v>
      </c>
      <c r="B4" s="24">
        <v>55321480.899999984</v>
      </c>
    </row>
    <row r="5" spans="1:2" x14ac:dyDescent="0.3">
      <c r="A5" s="7" t="s">
        <v>133</v>
      </c>
      <c r="B5" s="24">
        <v>5662507.1000000015</v>
      </c>
    </row>
    <row r="6" spans="1:2" x14ac:dyDescent="0.3">
      <c r="A6" s="7" t="s">
        <v>388</v>
      </c>
      <c r="B6" s="24">
        <v>5572732.799999998</v>
      </c>
    </row>
    <row r="7" spans="1:2" x14ac:dyDescent="0.3">
      <c r="A7" s="7" t="s">
        <v>240</v>
      </c>
      <c r="B7" s="24">
        <v>5290037.95</v>
      </c>
    </row>
    <row r="8" spans="1:2" x14ac:dyDescent="0.3">
      <c r="A8" s="7" t="s">
        <v>415</v>
      </c>
      <c r="B8" s="24">
        <v>4667829.95</v>
      </c>
    </row>
    <row r="9" spans="1:2" x14ac:dyDescent="0.3">
      <c r="A9" s="7" t="s">
        <v>94</v>
      </c>
      <c r="B9" s="24">
        <v>3875175.0500000003</v>
      </c>
    </row>
    <row r="10" spans="1:2" x14ac:dyDescent="0.3">
      <c r="A10" s="7" t="s">
        <v>1262</v>
      </c>
      <c r="B10" s="24">
        <v>80389763.749999985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75F1-E9EC-4B8F-9B1A-3CCAA4ED6A04}">
  <dimension ref="B2:C5"/>
  <sheetViews>
    <sheetView workbookViewId="0">
      <selection activeCell="C19" sqref="C19"/>
    </sheetView>
  </sheetViews>
  <sheetFormatPr defaultRowHeight="14.4" x14ac:dyDescent="0.3"/>
  <cols>
    <col min="2" max="2" width="12.5546875" bestFit="1" customWidth="1"/>
    <col min="3" max="3" width="20.77734375" bestFit="1" customWidth="1"/>
  </cols>
  <sheetData>
    <row r="2" spans="2:3" x14ac:dyDescent="0.3">
      <c r="B2" s="6" t="s">
        <v>1261</v>
      </c>
      <c r="C2" t="s">
        <v>1263</v>
      </c>
    </row>
    <row r="3" spans="2:3" x14ac:dyDescent="0.3">
      <c r="B3" s="7" t="s">
        <v>31</v>
      </c>
      <c r="C3" s="5">
        <v>44643753.000000022</v>
      </c>
    </row>
    <row r="4" spans="2:3" x14ac:dyDescent="0.3">
      <c r="B4" s="7" t="s">
        <v>24</v>
      </c>
      <c r="C4" s="5">
        <v>35746010.749999993</v>
      </c>
    </row>
    <row r="5" spans="2:3" x14ac:dyDescent="0.3">
      <c r="B5" s="7" t="s">
        <v>1262</v>
      </c>
      <c r="C5" s="5">
        <v>80389763.750000015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A9E6-82B3-4FB5-9FD0-F29A36926E17}">
  <dimension ref="A1:N22"/>
  <sheetViews>
    <sheetView topLeftCell="B1" workbookViewId="0">
      <selection activeCell="N5" sqref="N5:N11"/>
    </sheetView>
  </sheetViews>
  <sheetFormatPr defaultRowHeight="14.4" x14ac:dyDescent="0.3"/>
  <cols>
    <col min="1" max="1" width="24.5546875" bestFit="1" customWidth="1"/>
    <col min="2" max="2" width="15.21875" bestFit="1" customWidth="1"/>
    <col min="3" max="3" width="10.5546875" customWidth="1"/>
    <col min="4" max="4" width="12.5546875" bestFit="1" customWidth="1"/>
    <col min="5" max="5" width="20.77734375" bestFit="1" customWidth="1"/>
    <col min="6" max="9" width="16.44140625" bestFit="1" customWidth="1"/>
    <col min="10" max="10" width="12.5546875" bestFit="1" customWidth="1"/>
    <col min="11" max="11" width="20.77734375" bestFit="1" customWidth="1"/>
    <col min="12" max="12" width="16.44140625" bestFit="1" customWidth="1"/>
    <col min="13" max="13" width="15" bestFit="1" customWidth="1"/>
    <col min="14" max="14" width="20.77734375" bestFit="1" customWidth="1"/>
    <col min="15" max="2394" width="16.44140625" bestFit="1" customWidth="1"/>
    <col min="2395" max="2395" width="19.6640625" bestFit="1" customWidth="1"/>
    <col min="2396" max="2396" width="21.33203125" bestFit="1" customWidth="1"/>
  </cols>
  <sheetData>
    <row r="1" spans="1:14" x14ac:dyDescent="0.3">
      <c r="A1" s="6" t="s">
        <v>1273</v>
      </c>
    </row>
    <row r="2" spans="1:14" x14ac:dyDescent="0.3">
      <c r="A2" s="7" t="s">
        <v>1263</v>
      </c>
      <c r="B2" s="24">
        <v>80389763.750000015</v>
      </c>
      <c r="D2" s="6" t="s">
        <v>1261</v>
      </c>
      <c r="E2" t="s">
        <v>1263</v>
      </c>
      <c r="G2" s="6" t="s">
        <v>1261</v>
      </c>
      <c r="H2" t="s">
        <v>1263</v>
      </c>
    </row>
    <row r="3" spans="1:14" x14ac:dyDescent="0.3">
      <c r="A3" s="7" t="s">
        <v>1271</v>
      </c>
      <c r="B3">
        <v>1200</v>
      </c>
      <c r="D3" s="7" t="s">
        <v>26</v>
      </c>
      <c r="E3" s="24">
        <v>7896485.9000000004</v>
      </c>
      <c r="G3" s="7" t="s">
        <v>37</v>
      </c>
      <c r="H3" s="5">
        <v>17299371.199999996</v>
      </c>
    </row>
    <row r="4" spans="1:14" x14ac:dyDescent="0.3">
      <c r="A4" s="7" t="s">
        <v>1272</v>
      </c>
      <c r="B4" s="24">
        <v>66991.469791666677</v>
      </c>
      <c r="D4" s="7" t="s">
        <v>91</v>
      </c>
      <c r="E4" s="24">
        <v>6052969.0999999987</v>
      </c>
      <c r="G4" s="7" t="s">
        <v>30</v>
      </c>
      <c r="H4" s="5">
        <v>9549138.9499999993</v>
      </c>
      <c r="M4" s="6" t="s">
        <v>1261</v>
      </c>
      <c r="N4" t="s">
        <v>1263</v>
      </c>
    </row>
    <row r="5" spans="1:14" x14ac:dyDescent="0.3">
      <c r="A5" s="7" t="s">
        <v>1270</v>
      </c>
      <c r="B5">
        <v>2527</v>
      </c>
      <c r="D5" s="7" t="s">
        <v>131</v>
      </c>
      <c r="E5" s="24">
        <v>6757818.9999999991</v>
      </c>
      <c r="G5" s="7" t="s">
        <v>40</v>
      </c>
      <c r="H5" s="5">
        <v>27453307.099999998</v>
      </c>
      <c r="M5" s="7" t="s">
        <v>25</v>
      </c>
      <c r="N5" s="24">
        <v>55321480.899999984</v>
      </c>
    </row>
    <row r="6" spans="1:14" x14ac:dyDescent="0.3">
      <c r="A6" s="7" t="s">
        <v>1268</v>
      </c>
      <c r="B6" s="24">
        <v>49015067.839999951</v>
      </c>
      <c r="D6" s="7" t="s">
        <v>165</v>
      </c>
      <c r="E6" s="24">
        <v>6491601.3500000006</v>
      </c>
      <c r="G6" s="7" t="s">
        <v>23</v>
      </c>
      <c r="H6" s="5">
        <v>13395048.550000001</v>
      </c>
      <c r="M6" s="7" t="s">
        <v>133</v>
      </c>
      <c r="N6" s="24">
        <v>5662507.1000000015</v>
      </c>
    </row>
    <row r="7" spans="1:14" x14ac:dyDescent="0.3">
      <c r="A7" s="7" t="s">
        <v>1269</v>
      </c>
      <c r="B7" s="24">
        <v>31374695.909999952</v>
      </c>
      <c r="D7" s="7" t="s">
        <v>201</v>
      </c>
      <c r="E7" s="24">
        <v>8401627.4499999993</v>
      </c>
      <c r="G7" s="7" t="s">
        <v>35</v>
      </c>
      <c r="H7" s="5">
        <v>12692897.949999997</v>
      </c>
      <c r="M7" s="7" t="s">
        <v>388</v>
      </c>
      <c r="N7" s="24">
        <v>5572732.799999998</v>
      </c>
    </row>
    <row r="8" spans="1:14" x14ac:dyDescent="0.3">
      <c r="D8" s="7" t="s">
        <v>241</v>
      </c>
      <c r="E8" s="24">
        <v>5648640.2000000011</v>
      </c>
      <c r="G8" s="7" t="s">
        <v>1262</v>
      </c>
      <c r="H8" s="5">
        <v>80389763.75</v>
      </c>
      <c r="M8" s="7" t="s">
        <v>240</v>
      </c>
      <c r="N8" s="24">
        <v>5290037.95</v>
      </c>
    </row>
    <row r="9" spans="1:14" x14ac:dyDescent="0.3">
      <c r="A9" s="6" t="s">
        <v>1261</v>
      </c>
      <c r="B9" t="s">
        <v>1263</v>
      </c>
      <c r="D9" s="7" t="s">
        <v>272</v>
      </c>
      <c r="E9" s="24">
        <v>6247287.0999999987</v>
      </c>
      <c r="M9" s="7" t="s">
        <v>415</v>
      </c>
      <c r="N9" s="24">
        <v>4667829.95</v>
      </c>
    </row>
    <row r="10" spans="1:14" x14ac:dyDescent="0.3">
      <c r="A10" s="7" t="s">
        <v>75</v>
      </c>
      <c r="B10" s="24">
        <v>9040395.5500000007</v>
      </c>
      <c r="D10" s="7" t="s">
        <v>300</v>
      </c>
      <c r="E10" s="24">
        <v>5929769.25</v>
      </c>
      <c r="M10" s="7" t="s">
        <v>94</v>
      </c>
      <c r="N10" s="24">
        <v>3875175.0500000003</v>
      </c>
    </row>
    <row r="11" spans="1:14" x14ac:dyDescent="0.3">
      <c r="A11" s="7" t="s">
        <v>82</v>
      </c>
      <c r="B11" s="24">
        <v>11190071.349999998</v>
      </c>
      <c r="D11" s="7" t="s">
        <v>334</v>
      </c>
      <c r="E11" s="24">
        <v>7092178.4000000013</v>
      </c>
      <c r="G11" s="6" t="s">
        <v>1261</v>
      </c>
      <c r="H11" t="s">
        <v>1263</v>
      </c>
      <c r="M11" s="7" t="s">
        <v>1262</v>
      </c>
      <c r="N11" s="24">
        <v>80389763.749999985</v>
      </c>
    </row>
    <row r="12" spans="1:14" x14ac:dyDescent="0.3">
      <c r="A12" s="7" t="s">
        <v>33</v>
      </c>
      <c r="B12" s="24">
        <v>11313986.750000002</v>
      </c>
      <c r="D12" s="7" t="s">
        <v>364</v>
      </c>
      <c r="E12" s="24">
        <v>6376517.2999999998</v>
      </c>
      <c r="G12" s="7" t="s">
        <v>34</v>
      </c>
      <c r="H12" s="5">
        <v>42554933.24999997</v>
      </c>
      <c r="J12" s="6" t="s">
        <v>1261</v>
      </c>
      <c r="K12" t="s">
        <v>1263</v>
      </c>
    </row>
    <row r="13" spans="1:14" x14ac:dyDescent="0.3">
      <c r="A13" s="7" t="s">
        <v>71</v>
      </c>
      <c r="B13" s="24">
        <v>11398521.25</v>
      </c>
      <c r="D13" s="7" t="s">
        <v>389</v>
      </c>
      <c r="E13" s="24">
        <v>6936881.1999999955</v>
      </c>
      <c r="G13" s="7" t="s">
        <v>29</v>
      </c>
      <c r="H13" s="5">
        <v>20061615.949999999</v>
      </c>
      <c r="J13" s="7" t="s">
        <v>40</v>
      </c>
      <c r="K13" s="24">
        <v>27453307.099999998</v>
      </c>
    </row>
    <row r="14" spans="1:14" x14ac:dyDescent="0.3">
      <c r="A14" s="7" t="s">
        <v>28</v>
      </c>
      <c r="B14" s="24">
        <v>12991879.199999997</v>
      </c>
      <c r="D14" s="7" t="s">
        <v>416</v>
      </c>
      <c r="E14" s="24">
        <v>6557987.4999999991</v>
      </c>
      <c r="G14" s="7" t="s">
        <v>21</v>
      </c>
      <c r="H14" s="5">
        <v>17773214.550000008</v>
      </c>
      <c r="J14" s="7" t="s">
        <v>37</v>
      </c>
      <c r="K14" s="24">
        <v>17299371.199999996</v>
      </c>
    </row>
    <row r="15" spans="1:14" x14ac:dyDescent="0.3">
      <c r="A15" s="7" t="s">
        <v>1262</v>
      </c>
      <c r="B15" s="24">
        <v>55934854.099999994</v>
      </c>
      <c r="D15" s="7" t="s">
        <v>1262</v>
      </c>
      <c r="E15" s="24">
        <v>80389763.75</v>
      </c>
      <c r="G15" s="7" t="s">
        <v>1262</v>
      </c>
      <c r="H15" s="5">
        <v>80389763.749999985</v>
      </c>
      <c r="J15" s="7" t="s">
        <v>23</v>
      </c>
      <c r="K15" s="24">
        <v>13395048.550000001</v>
      </c>
    </row>
    <row r="16" spans="1:14" x14ac:dyDescent="0.3">
      <c r="J16" s="7" t="s">
        <v>35</v>
      </c>
      <c r="K16" s="24">
        <v>12692897.949999997</v>
      </c>
    </row>
    <row r="17" spans="1:11" x14ac:dyDescent="0.3">
      <c r="G17" s="6" t="s">
        <v>1261</v>
      </c>
      <c r="H17" t="s">
        <v>1263</v>
      </c>
      <c r="J17" s="7" t="s">
        <v>30</v>
      </c>
      <c r="K17" s="24">
        <v>9549138.9499999993</v>
      </c>
    </row>
    <row r="18" spans="1:11" x14ac:dyDescent="0.3">
      <c r="A18" s="23">
        <f>MAX(Fashion_Retail_Sales_Data!B:B)</f>
        <v>46387</v>
      </c>
      <c r="D18" s="6" t="s">
        <v>1261</v>
      </c>
      <c r="E18" t="s">
        <v>1263</v>
      </c>
      <c r="G18" s="7" t="s">
        <v>56</v>
      </c>
      <c r="H18" s="24">
        <v>14687669.050000001</v>
      </c>
      <c r="J18" s="7" t="s">
        <v>1262</v>
      </c>
      <c r="K18" s="24">
        <v>80389763.75</v>
      </c>
    </row>
    <row r="19" spans="1:11" x14ac:dyDescent="0.3">
      <c r="A19" s="23">
        <f>MAX(Fashion_Retail_Sales_Data!B:B)</f>
        <v>46387</v>
      </c>
      <c r="D19" s="7" t="s">
        <v>31</v>
      </c>
      <c r="E19" s="5">
        <v>44643753.000000022</v>
      </c>
      <c r="G19" s="7" t="s">
        <v>22</v>
      </c>
      <c r="H19" s="24">
        <v>26536855.400000002</v>
      </c>
    </row>
    <row r="20" spans="1:11" x14ac:dyDescent="0.3">
      <c r="A20" s="23">
        <f>MAX(Fashion_Retail_Sales_Data!B:B)</f>
        <v>46387</v>
      </c>
      <c r="D20" s="7" t="s">
        <v>24</v>
      </c>
      <c r="E20" s="5">
        <v>35746010.749999993</v>
      </c>
      <c r="G20" s="7" t="s">
        <v>42</v>
      </c>
      <c r="H20" s="24">
        <v>22548465.399999999</v>
      </c>
    </row>
    <row r="21" spans="1:11" x14ac:dyDescent="0.3">
      <c r="D21" s="7" t="s">
        <v>1262</v>
      </c>
      <c r="E21" s="5">
        <v>80389763.750000015</v>
      </c>
      <c r="G21" s="7" t="s">
        <v>44</v>
      </c>
      <c r="H21" s="24">
        <v>16616773.899999995</v>
      </c>
    </row>
    <row r="22" spans="1:11" x14ac:dyDescent="0.3">
      <c r="G22" s="7" t="s">
        <v>1262</v>
      </c>
      <c r="H22" s="24">
        <v>80389763.75</v>
      </c>
    </row>
  </sheetData>
  <pageMargins left="0.7" right="0.7" top="0.75" bottom="0.75" header="0.3" footer="0.3"/>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BA61-105F-4231-8210-26ECC614DC7E}">
  <dimension ref="A1"/>
  <sheetViews>
    <sheetView tabSelected="1" zoomScale="50" zoomScaleNormal="50" workbookViewId="0">
      <selection activeCell="C1" sqref="C1:AE51"/>
    </sheetView>
  </sheetViews>
  <sheetFormatPr defaultRowHeight="14.4" x14ac:dyDescent="0.3"/>
  <cols>
    <col min="1" max="16384" width="8.88671875" style="2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Sales_Data</vt:lpstr>
      <vt:lpstr>Fashion_Retail_Sales_Data</vt:lpstr>
      <vt:lpstr>Sales by Region</vt:lpstr>
      <vt:lpstr>Sales Trend</vt:lpstr>
      <vt:lpstr>Sales by Product</vt:lpstr>
      <vt:lpstr>Sales by Campaing</vt:lpstr>
      <vt:lpstr>Customer Type</vt:lpstr>
      <vt:lpstr>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Amaechi</cp:lastModifiedBy>
  <cp:lastPrinted>2026-10-23T15:10:50Z</cp:lastPrinted>
  <dcterms:created xsi:type="dcterms:W3CDTF">2026-09-18T07:51:25Z</dcterms:created>
  <dcterms:modified xsi:type="dcterms:W3CDTF">2026-10-23T15:12:54Z</dcterms:modified>
</cp:coreProperties>
</file>